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thiemi_doi_ontario_ca/Documents/Documents/GitHub/TwinToTwin/"/>
    </mc:Choice>
  </mc:AlternateContent>
  <xr:revisionPtr revIDLastSave="247" documentId="11_F25DC773A252ABDACC10484B19D974245BDE58FD" xr6:coauthVersionLast="47" xr6:coauthVersionMax="47" xr10:uidLastSave="{C268D005-E554-4D19-94DD-76B8671B0765}"/>
  <bookViews>
    <workbookView xWindow="-110" yWindow="970" windowWidth="19420" windowHeight="10420" xr2:uid="{00000000-000D-0000-FFFF-FFFF00000000}"/>
  </bookViews>
  <sheets>
    <sheet name="Countries" sheetId="28" r:id="rId1"/>
    <sheet name="Population" sheetId="26" r:id="rId2"/>
    <sheet name="AUS" sheetId="1" r:id="rId3"/>
    <sheet name="AUT" sheetId="2" r:id="rId4"/>
    <sheet name="CAD" sheetId="3" r:id="rId5"/>
    <sheet name="CHE" sheetId="4" r:id="rId6"/>
    <sheet name="CHL" sheetId="5" r:id="rId7"/>
    <sheet name="CZE" sheetId="6" r:id="rId8"/>
    <sheet name="DEU" sheetId="7" r:id="rId9"/>
    <sheet name="DNK" sheetId="8" r:id="rId10"/>
    <sheet name="ENW" sheetId="9" r:id="rId11"/>
    <sheet name="ESP" sheetId="10" r:id="rId12"/>
    <sheet name="FIN" sheetId="11" r:id="rId13"/>
    <sheet name="FRA" sheetId="12" r:id="rId14"/>
    <sheet name="GRC" sheetId="13" r:id="rId15"/>
    <sheet name="ISL" sheetId="14" r:id="rId16"/>
    <sheet name="ITA" sheetId="15" r:id="rId17"/>
    <sheet name="JPN" sheetId="16" r:id="rId18"/>
    <sheet name="KOR" sheetId="17" r:id="rId19"/>
    <sheet name="LTU" sheetId="18" r:id="rId20"/>
    <sheet name="NLD" sheetId="19" r:id="rId21"/>
    <sheet name="NOR" sheetId="20" r:id="rId22"/>
    <sheet name="NZL" sheetId="21" r:id="rId23"/>
    <sheet name="SCO" sheetId="22" r:id="rId24"/>
    <sheet name="SWE" sheetId="23" r:id="rId25"/>
    <sheet name="URY" sheetId="24" r:id="rId26"/>
    <sheet name="USA" sheetId="25" r:id="rId27"/>
  </sheets>
  <definedNames>
    <definedName name="ExternalData_1" localSheetId="0" hidden="1">'Countries'!$A$1:$F$4514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5" l="1"/>
  <c r="D40" i="25"/>
  <c r="D39" i="25"/>
  <c r="F396" i="23"/>
  <c r="D396" i="23"/>
  <c r="F395" i="23"/>
  <c r="D395" i="23"/>
  <c r="F394" i="23"/>
  <c r="D394" i="23"/>
  <c r="F393" i="23"/>
  <c r="D393" i="23"/>
  <c r="F392" i="23"/>
  <c r="D392" i="23"/>
  <c r="F391" i="23"/>
  <c r="D391" i="23"/>
  <c r="F390" i="23"/>
  <c r="D390" i="23"/>
  <c r="F389" i="23"/>
  <c r="D389" i="23"/>
  <c r="F388" i="23"/>
  <c r="D388" i="23"/>
  <c r="F387" i="23"/>
  <c r="D387" i="23"/>
  <c r="F386" i="23"/>
  <c r="D386" i="23"/>
  <c r="F385" i="23"/>
  <c r="D385" i="23"/>
  <c r="F384" i="23"/>
  <c r="D384" i="23"/>
  <c r="F383" i="23"/>
  <c r="D383" i="23"/>
  <c r="F382" i="23"/>
  <c r="D382" i="23"/>
  <c r="F381" i="23"/>
  <c r="D381" i="23"/>
  <c r="F380" i="23"/>
  <c r="D380" i="23"/>
  <c r="F379" i="23"/>
  <c r="D379" i="23"/>
  <c r="F378" i="23"/>
  <c r="D378" i="23"/>
  <c r="F377" i="23"/>
  <c r="D377" i="23"/>
  <c r="F376" i="23"/>
  <c r="D376" i="23"/>
  <c r="F375" i="23"/>
  <c r="D375" i="23"/>
  <c r="F374" i="23"/>
  <c r="D374" i="23"/>
  <c r="F373" i="23"/>
  <c r="D373" i="23"/>
  <c r="F372" i="23"/>
  <c r="D372" i="23"/>
  <c r="F371" i="23"/>
  <c r="D371" i="23"/>
  <c r="F370" i="23"/>
  <c r="D370" i="23"/>
  <c r="F369" i="23"/>
  <c r="D369" i="23"/>
  <c r="F368" i="23"/>
  <c r="D368" i="23"/>
  <c r="F367" i="23"/>
  <c r="D367" i="23"/>
  <c r="F366" i="23"/>
  <c r="D366" i="23"/>
  <c r="F365" i="23"/>
  <c r="D365" i="23"/>
  <c r="F364" i="23"/>
  <c r="D364" i="23"/>
  <c r="F363" i="23"/>
  <c r="D363" i="23"/>
  <c r="F362" i="23"/>
  <c r="D362" i="23"/>
  <c r="F361" i="23"/>
  <c r="D361" i="23"/>
  <c r="F360" i="23"/>
  <c r="D360" i="23"/>
  <c r="F359" i="23"/>
  <c r="D359" i="23"/>
  <c r="F358" i="23"/>
  <c r="D358" i="23"/>
  <c r="F357" i="23"/>
  <c r="D357" i="23"/>
  <c r="F356" i="23"/>
  <c r="D356" i="23"/>
  <c r="F355" i="23"/>
  <c r="D355" i="23"/>
  <c r="F354" i="23"/>
  <c r="D354" i="23"/>
  <c r="F353" i="23"/>
  <c r="D353" i="23"/>
  <c r="F352" i="23"/>
  <c r="D352" i="23"/>
  <c r="F351" i="23"/>
  <c r="D351" i="23"/>
  <c r="F350" i="23"/>
  <c r="D350" i="23"/>
  <c r="F349" i="23"/>
  <c r="D349" i="23"/>
  <c r="F348" i="23"/>
  <c r="D348" i="23"/>
  <c r="F347" i="23"/>
  <c r="D347" i="23"/>
  <c r="F346" i="23"/>
  <c r="D346" i="23"/>
  <c r="F345" i="23"/>
  <c r="D345" i="23"/>
  <c r="F344" i="23"/>
  <c r="D344" i="23"/>
  <c r="F343" i="23"/>
  <c r="D343" i="23"/>
  <c r="F342" i="23"/>
  <c r="D342" i="23"/>
  <c r="F341" i="23"/>
  <c r="D341" i="23"/>
  <c r="F340" i="23"/>
  <c r="D340" i="23"/>
  <c r="F339" i="23"/>
  <c r="D339" i="23"/>
  <c r="F338" i="23"/>
  <c r="D338" i="23"/>
  <c r="F337" i="23"/>
  <c r="D337" i="23"/>
  <c r="F336" i="23"/>
  <c r="D336" i="23"/>
  <c r="F335" i="23"/>
  <c r="D335" i="23"/>
  <c r="F334" i="23"/>
  <c r="D334" i="23"/>
  <c r="F333" i="23"/>
  <c r="D333" i="23"/>
  <c r="F332" i="23"/>
  <c r="D332" i="23"/>
  <c r="F331" i="23"/>
  <c r="D331" i="23"/>
  <c r="F330" i="23"/>
  <c r="D330" i="23"/>
  <c r="F329" i="23"/>
  <c r="D329" i="23"/>
  <c r="F328" i="23"/>
  <c r="D328" i="23"/>
  <c r="F327" i="23"/>
  <c r="D327" i="23"/>
  <c r="F326" i="23"/>
  <c r="D326" i="23"/>
  <c r="F325" i="23"/>
  <c r="D325" i="23"/>
  <c r="F324" i="23"/>
  <c r="D324" i="23"/>
  <c r="F323" i="23"/>
  <c r="D323" i="23"/>
  <c r="F322" i="23"/>
  <c r="D322" i="23"/>
  <c r="F321" i="23"/>
  <c r="D321" i="23"/>
  <c r="F320" i="23"/>
  <c r="D320" i="23"/>
  <c r="F319" i="23"/>
  <c r="D319" i="23"/>
  <c r="F318" i="23"/>
  <c r="D318" i="23"/>
  <c r="F317" i="23"/>
  <c r="D317" i="23"/>
  <c r="F316" i="23"/>
  <c r="D316" i="23"/>
  <c r="F315" i="23"/>
  <c r="D315" i="23"/>
  <c r="F314" i="23"/>
  <c r="D314" i="23"/>
  <c r="F313" i="23"/>
  <c r="D313" i="23"/>
  <c r="F312" i="23"/>
  <c r="D312" i="23"/>
  <c r="F311" i="23"/>
  <c r="D311" i="23"/>
  <c r="F310" i="23"/>
  <c r="D310" i="23"/>
  <c r="F309" i="23"/>
  <c r="D309" i="23"/>
  <c r="F308" i="23"/>
  <c r="D308" i="23"/>
  <c r="F307" i="23"/>
  <c r="D307" i="23"/>
  <c r="F306" i="23"/>
  <c r="D306" i="23"/>
  <c r="F305" i="23"/>
  <c r="D305" i="23"/>
  <c r="F304" i="23"/>
  <c r="D304" i="23"/>
  <c r="F303" i="23"/>
  <c r="D303" i="23"/>
  <c r="F302" i="23"/>
  <c r="D302" i="23"/>
  <c r="F301" i="23"/>
  <c r="D301" i="23"/>
  <c r="F300" i="23"/>
  <c r="D300" i="23"/>
  <c r="F299" i="23"/>
  <c r="D299" i="23"/>
  <c r="F298" i="23"/>
  <c r="D298" i="23"/>
  <c r="F297" i="23"/>
  <c r="D297" i="23"/>
  <c r="F296" i="23"/>
  <c r="D296" i="23"/>
  <c r="F295" i="23"/>
  <c r="D295" i="23"/>
  <c r="F294" i="23"/>
  <c r="D294" i="23"/>
  <c r="F293" i="23"/>
  <c r="D293" i="23"/>
  <c r="F292" i="23"/>
  <c r="D292" i="23"/>
  <c r="F291" i="23"/>
  <c r="D291" i="23"/>
  <c r="F290" i="23"/>
  <c r="D290" i="23"/>
  <c r="F289" i="23"/>
  <c r="D289" i="23"/>
  <c r="F288" i="23"/>
  <c r="D288" i="23"/>
  <c r="F287" i="23"/>
  <c r="D287" i="23"/>
  <c r="F286" i="23"/>
  <c r="D286" i="23"/>
  <c r="F285" i="23"/>
  <c r="D285" i="23"/>
  <c r="F284" i="23"/>
  <c r="D284" i="23"/>
  <c r="F283" i="23"/>
  <c r="D283" i="23"/>
  <c r="F282" i="23"/>
  <c r="D282" i="23"/>
  <c r="F281" i="23"/>
  <c r="D281" i="23"/>
  <c r="F280" i="23"/>
  <c r="D280" i="23"/>
  <c r="F279" i="23"/>
  <c r="D279" i="23"/>
  <c r="F278" i="23"/>
  <c r="D278" i="23"/>
  <c r="F277" i="23"/>
  <c r="D277" i="23"/>
  <c r="F276" i="23"/>
  <c r="D276" i="23"/>
  <c r="F275" i="23"/>
  <c r="D275" i="23"/>
  <c r="F274" i="23"/>
  <c r="D274" i="23"/>
  <c r="F273" i="23"/>
  <c r="D273" i="23"/>
  <c r="F272" i="23"/>
  <c r="D272" i="23"/>
  <c r="F271" i="23"/>
  <c r="D271" i="23"/>
  <c r="F270" i="23"/>
  <c r="D270" i="23"/>
  <c r="F269" i="23"/>
  <c r="D269" i="23"/>
  <c r="F268" i="23"/>
  <c r="D268" i="23"/>
  <c r="F267" i="23"/>
  <c r="D267" i="23"/>
  <c r="F266" i="23"/>
  <c r="D266" i="23"/>
  <c r="F265" i="23"/>
  <c r="D265" i="23"/>
  <c r="F264" i="23"/>
  <c r="D264" i="23"/>
  <c r="F263" i="23"/>
  <c r="D263" i="23"/>
  <c r="F236" i="23"/>
  <c r="D236" i="23"/>
  <c r="F235" i="23"/>
  <c r="D235" i="23"/>
  <c r="F234" i="23"/>
  <c r="D234" i="23"/>
  <c r="F233" i="23"/>
  <c r="D233" i="23"/>
  <c r="F232" i="23"/>
  <c r="D232" i="23"/>
  <c r="F231" i="23"/>
  <c r="D231" i="23"/>
  <c r="F230" i="23"/>
  <c r="D230" i="23"/>
  <c r="F229" i="23"/>
  <c r="D229" i="23"/>
  <c r="F228" i="23"/>
  <c r="D228" i="23"/>
  <c r="F227" i="23"/>
  <c r="D227" i="23"/>
  <c r="F226" i="23"/>
  <c r="D226" i="23"/>
  <c r="F225" i="23"/>
  <c r="D225" i="23"/>
  <c r="F224" i="23"/>
  <c r="D224" i="23"/>
  <c r="F223" i="23"/>
  <c r="D223" i="23"/>
  <c r="F222" i="23"/>
  <c r="D222" i="23"/>
  <c r="F221" i="23"/>
  <c r="D221" i="23"/>
  <c r="F220" i="23"/>
  <c r="D220" i="23"/>
  <c r="F219" i="23"/>
  <c r="D219" i="23"/>
  <c r="F218" i="23"/>
  <c r="D218" i="23"/>
  <c r="F217" i="23"/>
  <c r="D217" i="23"/>
  <c r="F216" i="23"/>
  <c r="D216" i="23"/>
  <c r="F215" i="23"/>
  <c r="D215" i="23"/>
  <c r="F214" i="23"/>
  <c r="D214" i="23"/>
  <c r="F213" i="23"/>
  <c r="D213" i="23"/>
  <c r="F212" i="23"/>
  <c r="D212" i="23"/>
  <c r="F211" i="23"/>
  <c r="D211" i="23"/>
  <c r="F210" i="23"/>
  <c r="D210" i="23"/>
  <c r="F209" i="23"/>
  <c r="D209" i="23"/>
  <c r="F208" i="23"/>
  <c r="D208" i="23"/>
  <c r="F207" i="23"/>
  <c r="D207" i="23"/>
  <c r="F206" i="23"/>
  <c r="D206" i="23"/>
  <c r="F205" i="23"/>
  <c r="D205" i="23"/>
  <c r="F204" i="23"/>
  <c r="D204" i="23"/>
  <c r="F203" i="23"/>
  <c r="D203" i="23"/>
  <c r="F202" i="23"/>
  <c r="D202" i="23"/>
  <c r="F201" i="23"/>
  <c r="D201" i="23"/>
  <c r="F200" i="23"/>
  <c r="D200" i="23"/>
  <c r="F199" i="23"/>
  <c r="D199" i="23"/>
  <c r="F198" i="23"/>
  <c r="D198" i="23"/>
  <c r="F197" i="23"/>
  <c r="D197" i="23"/>
  <c r="F196" i="23"/>
  <c r="D196" i="23"/>
  <c r="F195" i="23"/>
  <c r="D195" i="23"/>
  <c r="F187" i="23"/>
  <c r="D187" i="23"/>
  <c r="F186" i="23"/>
  <c r="D186" i="23"/>
  <c r="F185" i="23"/>
  <c r="D185" i="23"/>
  <c r="F184" i="23"/>
  <c r="D184" i="23"/>
  <c r="F183" i="23"/>
  <c r="D183" i="23"/>
  <c r="F182" i="23"/>
  <c r="D182" i="23"/>
  <c r="F181" i="23"/>
  <c r="D181" i="23"/>
  <c r="F180" i="23"/>
  <c r="D180" i="23"/>
  <c r="F179" i="23"/>
  <c r="D179" i="23"/>
  <c r="F178" i="23"/>
  <c r="D178" i="23"/>
  <c r="F177" i="23"/>
  <c r="D177" i="23"/>
  <c r="F176" i="23"/>
  <c r="D176" i="23"/>
  <c r="F175" i="23"/>
  <c r="D175" i="23"/>
  <c r="F174" i="23"/>
  <c r="D174" i="23"/>
  <c r="F173" i="23"/>
  <c r="D173" i="23"/>
  <c r="F172" i="23"/>
  <c r="D172" i="23"/>
  <c r="F171" i="23"/>
  <c r="D171" i="23"/>
  <c r="F170" i="23"/>
  <c r="D170" i="23"/>
  <c r="F169" i="23"/>
  <c r="D169" i="23"/>
  <c r="F168" i="23"/>
  <c r="D168" i="23"/>
  <c r="F167" i="23"/>
  <c r="D167" i="23"/>
  <c r="F166" i="23"/>
  <c r="D166" i="23"/>
  <c r="F165" i="23"/>
  <c r="D165" i="23"/>
  <c r="F164" i="23"/>
  <c r="D164" i="23"/>
  <c r="F163" i="23"/>
  <c r="D163" i="23"/>
  <c r="F162" i="23"/>
  <c r="D162" i="23"/>
  <c r="F161" i="23"/>
  <c r="D161" i="23"/>
  <c r="F160" i="23"/>
  <c r="D160" i="23"/>
  <c r="F159" i="23"/>
  <c r="D159" i="23"/>
  <c r="F158" i="23"/>
  <c r="D158" i="23"/>
  <c r="F157" i="23"/>
  <c r="D157" i="23"/>
  <c r="F156" i="23"/>
  <c r="D156" i="23"/>
  <c r="F155" i="23"/>
  <c r="D155" i="23"/>
  <c r="F154" i="23"/>
  <c r="D154" i="23"/>
  <c r="F153" i="23"/>
  <c r="D153" i="23"/>
  <c r="F152" i="23"/>
  <c r="D152" i="23"/>
  <c r="F151" i="23"/>
  <c r="D151" i="23"/>
  <c r="F150" i="23"/>
  <c r="D150" i="23"/>
  <c r="F149" i="23"/>
  <c r="D149" i="23"/>
  <c r="F148" i="23"/>
  <c r="D148" i="23"/>
  <c r="F119" i="23"/>
  <c r="F102" i="23"/>
  <c r="D102" i="23"/>
  <c r="F101" i="23"/>
  <c r="D101" i="23"/>
  <c r="F100" i="23"/>
  <c r="D100" i="23"/>
  <c r="F99" i="23"/>
  <c r="D99" i="23"/>
  <c r="F98" i="23"/>
  <c r="D98" i="23"/>
  <c r="F97" i="23"/>
  <c r="D97" i="23"/>
  <c r="F96" i="23"/>
  <c r="D96" i="23"/>
  <c r="F95" i="23"/>
  <c r="D95" i="23"/>
  <c r="F94" i="23"/>
  <c r="D94" i="23"/>
  <c r="F93" i="23"/>
  <c r="D93" i="23"/>
  <c r="F92" i="23"/>
  <c r="D92" i="23"/>
  <c r="F91" i="23"/>
  <c r="D91" i="23"/>
  <c r="F90" i="23"/>
  <c r="D90" i="23"/>
  <c r="F89" i="23"/>
  <c r="D89" i="23"/>
  <c r="F88" i="23"/>
  <c r="D88" i="23"/>
  <c r="D39" i="15" l="1"/>
  <c r="F65" i="13" l="1"/>
  <c r="D65" i="13"/>
  <c r="F64" i="13"/>
  <c r="D64" i="13"/>
  <c r="F63" i="13"/>
  <c r="D63" i="13"/>
  <c r="F62" i="13"/>
  <c r="D62" i="13"/>
  <c r="F61" i="13"/>
  <c r="D61" i="13"/>
  <c r="F60" i="13"/>
  <c r="D60" i="13"/>
  <c r="F59" i="13"/>
  <c r="D59" i="13"/>
  <c r="F58" i="13"/>
  <c r="D58" i="13"/>
  <c r="F57" i="13"/>
  <c r="D57" i="13"/>
  <c r="F56" i="13"/>
  <c r="D56" i="13"/>
  <c r="F55" i="13"/>
  <c r="D55" i="13"/>
  <c r="F54" i="13"/>
  <c r="D54" i="13"/>
  <c r="F53" i="13"/>
  <c r="D53" i="13"/>
  <c r="F52" i="13"/>
  <c r="D52" i="13"/>
  <c r="F51" i="13"/>
  <c r="D51" i="13"/>
  <c r="F50" i="13"/>
  <c r="D50" i="13"/>
  <c r="F49" i="13"/>
  <c r="D49" i="13"/>
  <c r="F48" i="13"/>
  <c r="D48" i="13"/>
  <c r="F47" i="13"/>
  <c r="D47" i="13"/>
  <c r="F46" i="13"/>
  <c r="D46" i="13"/>
  <c r="F45" i="13"/>
  <c r="D45" i="13"/>
  <c r="F44" i="13"/>
  <c r="D44" i="13"/>
  <c r="F43" i="13"/>
  <c r="D43" i="13"/>
  <c r="F42" i="13"/>
  <c r="D42" i="13"/>
  <c r="F41" i="13"/>
  <c r="D41" i="13"/>
  <c r="F40" i="13"/>
  <c r="D40" i="13"/>
  <c r="F39" i="13"/>
  <c r="D39" i="13"/>
  <c r="F38" i="13"/>
  <c r="D38" i="13"/>
  <c r="F37" i="13"/>
  <c r="D37" i="13"/>
  <c r="F36" i="13"/>
  <c r="D36" i="13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E8" i="12" l="1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15" i="10"/>
  <c r="D115" i="10"/>
  <c r="E20" i="6" l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F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13143B-5734-43F1-9A1B-1A6786E29038}" keepAlive="1" name="Query - AUS" description="Connection to the 'AUS' query in the workbook." type="5" refreshedVersion="0" background="1">
    <dbPr connection="Provider=Microsoft.Mashup.OleDb.1;Data Source=$Workbook$;Location=AUS;Extended Properties=&quot;&quot;" command="SELECT * FROM [AUS]"/>
  </connection>
  <connection id="2" xr16:uid="{10468A62-F5FD-460A-86B6-38E5C184CC4E}" keepAlive="1" name="Query - AUT" description="Connection to the 'AUT' query in the workbook." type="5" refreshedVersion="0" background="1">
    <dbPr connection="Provider=Microsoft.Mashup.OleDb.1;Data Source=$Workbook$;Location=AUT;Extended Properties=&quot;&quot;" command="SELECT * FROM [AUT]"/>
  </connection>
  <connection id="3" xr16:uid="{B3729F2B-D140-4439-897F-A0FF65679AB2}" keepAlive="1" name="Query - CAD" description="Connection to the 'CAD' query in the workbook." type="5" refreshedVersion="0" background="1">
    <dbPr connection="Provider=Microsoft.Mashup.OleDb.1;Data Source=$Workbook$;Location=CAD;Extended Properties=&quot;&quot;" command="SELECT * FROM [CAD]"/>
  </connection>
  <connection id="4" xr16:uid="{ACF12BCA-9EE4-4409-846E-CCF79FC5EB9C}" keepAlive="1" name="Query - CHE" description="Connection to the 'CHE' query in the workbook." type="5" refreshedVersion="0" background="1">
    <dbPr connection="Provider=Microsoft.Mashup.OleDb.1;Data Source=$Workbook$;Location=CHE;Extended Properties=&quot;&quot;" command="SELECT * FROM [CHE]"/>
  </connection>
  <connection id="5" xr16:uid="{FAA952C1-13F4-49FE-A58F-E9D44C6B4FAB}" keepAlive="1" name="Query - CHL" description="Connection to the 'CHL' query in the workbook." type="5" refreshedVersion="0" background="1">
    <dbPr connection="Provider=Microsoft.Mashup.OleDb.1;Data Source=$Workbook$;Location=CHL;Extended Properties=&quot;&quot;" command="SELECT * FROM [CHL]"/>
  </connection>
  <connection id="6" xr16:uid="{69EE1D66-2527-4C97-A527-1C38ECA470AB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  <connection id="7" xr16:uid="{CC222A71-1C54-4803-A94B-13DFD8F00999}" keepAlive="1" name="Query - CZE" description="Connection to the 'CZE' query in the workbook." type="5" refreshedVersion="0" background="1">
    <dbPr connection="Provider=Microsoft.Mashup.OleDb.1;Data Source=$Workbook$;Location=CZE;Extended Properties=&quot;&quot;" command="SELECT * FROM [CZE]"/>
  </connection>
  <connection id="8" xr16:uid="{2EB5479E-9709-4954-BAF9-58351B913350}" keepAlive="1" name="Query - DEU" description="Connection to the 'DEU' query in the workbook." type="5" refreshedVersion="0" background="1">
    <dbPr connection="Provider=Microsoft.Mashup.OleDb.1;Data Source=$Workbook$;Location=DEU;Extended Properties=&quot;&quot;" command="SELECT * FROM [DEU]"/>
  </connection>
  <connection id="9" xr16:uid="{544D3B71-5CC3-4B24-AA38-215AD988952B}" keepAlive="1" name="Query - DNK" description="Connection to the 'DNK' query in the workbook." type="5" refreshedVersion="0" background="1">
    <dbPr connection="Provider=Microsoft.Mashup.OleDb.1;Data Source=$Workbook$;Location=DNK;Extended Properties=&quot;&quot;" command="SELECT * FROM [DNK]"/>
  </connection>
  <connection id="10" xr16:uid="{89EFFD06-98B0-4B12-9A6F-A627E863DC80}" keepAlive="1" name="Query - ENW" description="Connection to the 'ENW' query in the workbook." type="5" refreshedVersion="0" background="1">
    <dbPr connection="Provider=Microsoft.Mashup.OleDb.1;Data Source=$Workbook$;Location=ENW;Extended Properties=&quot;&quot;" command="SELECT * FROM [ENW]"/>
  </connection>
  <connection id="11" xr16:uid="{1E5E2888-0BC8-4D05-A2BD-4FB26713FDD6}" keepAlive="1" name="Query - ESP" description="Connection to the 'ESP' query in the workbook." type="5" refreshedVersion="0" background="1">
    <dbPr connection="Provider=Microsoft.Mashup.OleDb.1;Data Source=$Workbook$;Location=ESP;Extended Properties=&quot;&quot;" command="SELECT * FROM [ESP]"/>
  </connection>
  <connection id="12" xr16:uid="{6EFE6FB7-46DF-4818-B5A8-663A6C71DC2C}" keepAlive="1" name="Query - FIN(1)" description="Connection to the 'FIN' query in the workbook." type="5" refreshedVersion="0" background="1">
    <dbPr connection="Provider=Microsoft.Mashup.OleDb.1;Data Source=$Workbook$;Location=FIN;Extended Properties=&quot;&quot;" command="SELECT * FROM [FIN]"/>
  </connection>
  <connection id="13" xr16:uid="{20A33FCF-5213-44E5-B09A-DCF232E8C3E1}" keepAlive="1" name="Query - FRA" description="Connection to the 'FRA' query in the workbook." type="5" refreshedVersion="0" background="1">
    <dbPr connection="Provider=Microsoft.Mashup.OleDb.1;Data Source=$Workbook$;Location=FRA;Extended Properties=&quot;&quot;" command="SELECT * FROM [FRA]"/>
  </connection>
  <connection id="14" xr16:uid="{964F2A47-69F7-4984-AC46-D8B43C174FA6}" keepAlive="1" name="Query - GRC" description="Connection to the 'GRC' query in the workbook." type="5" refreshedVersion="0" background="1">
    <dbPr connection="Provider=Microsoft.Mashup.OleDb.1;Data Source=$Workbook$;Location=GRC;Extended Properties=&quot;&quot;" command="SELECT * FROM [GRC]"/>
  </connection>
  <connection id="15" xr16:uid="{A54535D6-B752-4D10-8712-20E841AD90A3}" keepAlive="1" name="Query - ISL" description="Connection to the 'ISL' query in the workbook." type="5" refreshedVersion="0" background="1">
    <dbPr connection="Provider=Microsoft.Mashup.OleDb.1;Data Source=$Workbook$;Location=ISL;Extended Properties=&quot;&quot;" command="SELECT * FROM [ISL]"/>
  </connection>
  <connection id="16" xr16:uid="{29E9EC67-D6A2-4AC7-A78B-850449356A50}" keepAlive="1" name="Query - ITA" description="Connection to the 'ITA' query in the workbook." type="5" refreshedVersion="0" background="1">
    <dbPr connection="Provider=Microsoft.Mashup.OleDb.1;Data Source=$Workbook$;Location=ITA;Extended Properties=&quot;&quot;" command="SELECT * FROM [ITA]"/>
  </connection>
  <connection id="17" xr16:uid="{5BF172DA-71EC-4E6E-8432-4D79760B7D15}" keepAlive="1" name="Query - JPN" description="Connection to the 'JPN' query in the workbook." type="5" refreshedVersion="0" background="1">
    <dbPr connection="Provider=Microsoft.Mashup.OleDb.1;Data Source=$Workbook$;Location=JPN;Extended Properties=&quot;&quot;" command="SELECT * FROM [JPN]"/>
  </connection>
  <connection id="18" xr16:uid="{CAAD27CB-D796-4B06-B820-69A2ED65D0E8}" keepAlive="1" name="Query - KOR" description="Connection to the 'KOR' query in the workbook." type="5" refreshedVersion="0" background="1">
    <dbPr connection="Provider=Microsoft.Mashup.OleDb.1;Data Source=$Workbook$;Location=KOR;Extended Properties=&quot;&quot;" command="SELECT * FROM [KOR]"/>
  </connection>
  <connection id="19" xr16:uid="{E2CC5337-A06A-4189-9968-1E33F8FEDDAF}" keepAlive="1" name="Query - LTU" description="Connection to the 'LTU' query in the workbook." type="5" refreshedVersion="0" background="1">
    <dbPr connection="Provider=Microsoft.Mashup.OleDb.1;Data Source=$Workbook$;Location=LTU;Extended Properties=&quot;&quot;" command="SELECT * FROM [LTU]"/>
  </connection>
  <connection id="20" xr16:uid="{41C6CB62-1919-4048-8477-1034A6B59AEB}" keepAlive="1" name="Query - NLD" description="Connection to the 'NLD' query in the workbook." type="5" refreshedVersion="0" background="1">
    <dbPr connection="Provider=Microsoft.Mashup.OleDb.1;Data Source=$Workbook$;Location=NLD;Extended Properties=&quot;&quot;" command="SELECT * FROM [NLD]"/>
  </connection>
  <connection id="21" xr16:uid="{82ED3EB0-7DD2-4399-9EE7-A95C635949A5}" keepAlive="1" name="Query - NOR" description="Connection to the 'NOR' query in the workbook." type="5" refreshedVersion="0" background="1">
    <dbPr connection="Provider=Microsoft.Mashup.OleDb.1;Data Source=$Workbook$;Location=NOR;Extended Properties=&quot;&quot;" command="SELECT * FROM [NOR]"/>
  </connection>
  <connection id="22" xr16:uid="{9AB5DE16-6477-4853-9DFB-86A368C90513}" keepAlive="1" name="Query - NZL" description="Connection to the 'NZL' query in the workbook." type="5" refreshedVersion="0" background="1">
    <dbPr connection="Provider=Microsoft.Mashup.OleDb.1;Data Source=$Workbook$;Location=NZL;Extended Properties=&quot;&quot;" command="SELECT * FROM [NZL]"/>
  </connection>
  <connection id="23" xr16:uid="{63647C8A-AB74-42B4-BFEF-AC5DE32C5579}" keepAlive="1" name="Query - SCO" description="Connection to the 'SCO' query in the workbook." type="5" refreshedVersion="0" background="1">
    <dbPr connection="Provider=Microsoft.Mashup.OleDb.1;Data Source=$Workbook$;Location=SCO;Extended Properties=&quot;&quot;" command="SELECT * FROM [SCO]"/>
  </connection>
  <connection id="24" xr16:uid="{E5EB88DC-323D-48B5-A020-20B97A8DCDC9}" keepAlive="1" name="Query - SWE" description="Connection to the 'SWE' query in the workbook." type="5" refreshedVersion="0" background="1">
    <dbPr connection="Provider=Microsoft.Mashup.OleDb.1;Data Source=$Workbook$;Location=SWE;Extended Properties=&quot;&quot;" command="SELECT * FROM [SWE]"/>
  </connection>
  <connection id="25" xr16:uid="{CB25DC2F-C569-4074-AF81-7ED17C29A565}" keepAlive="1" name="Query - URY" description="Connection to the 'URY' query in the workbook." type="5" refreshedVersion="0" background="1">
    <dbPr connection="Provider=Microsoft.Mashup.OleDb.1;Data Source=$Workbook$;Location=URY;Extended Properties=&quot;&quot;" command="SELECT * FROM [URY]"/>
  </connection>
  <connection id="26" xr16:uid="{E4F93E35-BF88-4926-8463-D0CBA976657D}" keepAlive="1" name="Query - USA" description="Connection to the 'USA' query in the workbook." type="5" refreshedVersion="0" background="1">
    <dbPr connection="Provider=Microsoft.Mashup.OleDb.1;Data Source=$Workbook$;Location=USA;Extended Properties=&quot;&quot;" command="SELECT * FROM [USA]"/>
  </connection>
</connections>
</file>

<file path=xl/sharedStrings.xml><?xml version="1.0" encoding="utf-8"?>
<sst xmlns="http://schemas.openxmlformats.org/spreadsheetml/2006/main" count="22191" uniqueCount="807">
  <si>
    <t>Country</t>
  </si>
  <si>
    <t>Source</t>
  </si>
  <si>
    <t>Year</t>
  </si>
  <si>
    <t>Australia</t>
  </si>
  <si>
    <t>Bunle</t>
  </si>
  <si>
    <t>ABS</t>
  </si>
  <si>
    <t>NA</t>
  </si>
  <si>
    <t>Twin_deliveries</t>
  </si>
  <si>
    <t>Twin_children</t>
  </si>
  <si>
    <t>Singletons</t>
  </si>
  <si>
    <t>Austria-Hungary</t>
  </si>
  <si>
    <t>Austria</t>
  </si>
  <si>
    <t>Statistik Austria</t>
  </si>
  <si>
    <t>Canada</t>
  </si>
  <si>
    <t>BureauStats</t>
  </si>
  <si>
    <t>Imaizumi</t>
  </si>
  <si>
    <t>StatCan</t>
  </si>
  <si>
    <t>Switzerland</t>
  </si>
  <si>
    <t>OFS</t>
  </si>
  <si>
    <t>Chile</t>
  </si>
  <si>
    <t>INE</t>
  </si>
  <si>
    <t>UNdata</t>
  </si>
  <si>
    <t>Czech Republic</t>
  </si>
  <si>
    <t>CZSO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</si>
  <si>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</si>
  <si>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</si>
  <si>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</si>
  <si>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</si>
  <si>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</si>
  <si>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</si>
  <si>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</si>
  <si>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</si>
  <si>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</si>
  <si>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</si>
  <si>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</si>
  <si>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</si>
  <si>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</si>
  <si>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</si>
  <si>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</si>
  <si>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</si>
  <si>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</si>
  <si>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</si>
  <si>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</si>
  <si>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</si>
  <si>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</si>
  <si>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</si>
  <si>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</si>
  <si>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</si>
  <si>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</si>
  <si>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</si>
  <si>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</si>
  <si>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</si>
  <si>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</si>
  <si>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</si>
  <si>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</si>
  <si>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</si>
  <si>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</si>
  <si>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</si>
  <si>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</si>
  <si>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</si>
  <si>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</si>
  <si>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</si>
  <si>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</si>
  <si>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</si>
  <si>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</si>
  <si>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</si>
  <si>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</si>
  <si>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</si>
  <si>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</si>
  <si>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</si>
  <si>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</si>
  <si>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</si>
  <si>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</si>
  <si>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</si>
  <si>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</si>
  <si>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</si>
  <si>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</si>
  <si>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</si>
  <si>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</si>
  <si>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</si>
  <si>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</si>
  <si>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</si>
  <si>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</si>
  <si>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</si>
  <si>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</si>
  <si>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</si>
  <si>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</si>
  <si>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</si>
  <si>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</si>
  <si>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</si>
  <si>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</si>
  <si>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</si>
  <si>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</si>
  <si>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</si>
  <si>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</si>
  <si>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</si>
  <si>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</si>
  <si>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</si>
  <si>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</si>
  <si>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</si>
  <si>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</si>
  <si>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</si>
  <si>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</si>
  <si>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</si>
  <si>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</si>
  <si>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</si>
  <si>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</si>
  <si>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</si>
  <si>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</si>
  <si>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</si>
  <si>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</si>
  <si>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</si>
  <si>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</si>
  <si>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</si>
  <si>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</si>
  <si>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</si>
  <si>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</si>
  <si>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</si>
  <si>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</si>
  <si>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</si>
  <si>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</si>
  <si>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</si>
  <si>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</si>
  <si>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</si>
  <si>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</si>
  <si>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Germany</t>
  </si>
  <si>
    <t>Destatis</t>
  </si>
  <si>
    <t xml:space="preserve">1952 </t>
  </si>
  <si>
    <t xml:space="preserve">1953 </t>
  </si>
  <si>
    <t xml:space="preserve">1954 </t>
  </si>
  <si>
    <t xml:space="preserve">1955 </t>
  </si>
  <si>
    <t xml:space="preserve">1956 </t>
  </si>
  <si>
    <t xml:space="preserve">1957 </t>
  </si>
  <si>
    <t xml:space="preserve">1958 </t>
  </si>
  <si>
    <t xml:space="preserve">1959 </t>
  </si>
  <si>
    <t xml:space="preserve">1960 </t>
  </si>
  <si>
    <t xml:space="preserve">1961 </t>
  </si>
  <si>
    <t xml:space="preserve">1962 </t>
  </si>
  <si>
    <t xml:space="preserve">1963 </t>
  </si>
  <si>
    <t xml:space="preserve">1964 </t>
  </si>
  <si>
    <t xml:space="preserve">1965 </t>
  </si>
  <si>
    <t xml:space="preserve">1966 </t>
  </si>
  <si>
    <t xml:space="preserve">1967 </t>
  </si>
  <si>
    <t xml:space="preserve">1968 </t>
  </si>
  <si>
    <t xml:space="preserve">1969 </t>
  </si>
  <si>
    <t xml:space="preserve">1970 </t>
  </si>
  <si>
    <t xml:space="preserve">1971 </t>
  </si>
  <si>
    <t xml:space="preserve">1972 </t>
  </si>
  <si>
    <t xml:space="preserve">1973 </t>
  </si>
  <si>
    <t xml:space="preserve">1974 </t>
  </si>
  <si>
    <t xml:space="preserve">1975 </t>
  </si>
  <si>
    <t xml:space="preserve">1976 </t>
  </si>
  <si>
    <t xml:space="preserve">1977 </t>
  </si>
  <si>
    <t xml:space="preserve">1978 </t>
  </si>
  <si>
    <t xml:space="preserve">1979 </t>
  </si>
  <si>
    <t xml:space="preserve">1980 </t>
  </si>
  <si>
    <t xml:space="preserve">1981 </t>
  </si>
  <si>
    <t xml:space="preserve">1982 </t>
  </si>
  <si>
    <t xml:space="preserve">1983 </t>
  </si>
  <si>
    <t xml:space="preserve">1984 </t>
  </si>
  <si>
    <t xml:space="preserve">1985 </t>
  </si>
  <si>
    <t xml:space="preserve">1986 </t>
  </si>
  <si>
    <t xml:space="preserve">1987 </t>
  </si>
  <si>
    <t xml:space="preserve">1988 </t>
  </si>
  <si>
    <t xml:space="preserve">1989 </t>
  </si>
  <si>
    <t xml:space="preserve">1990 </t>
  </si>
  <si>
    <t xml:space="preserve">1991 </t>
  </si>
  <si>
    <t xml:space="preserve">1992 </t>
  </si>
  <si>
    <t xml:space="preserve">1993 </t>
  </si>
  <si>
    <t xml:space="preserve">1994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</si>
  <si>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</si>
  <si>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</si>
  <si>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</si>
  <si>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</si>
  <si>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</si>
  <si>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t xml:space="preserve">2000 </t>
  </si>
  <si>
    <t>Denmark</t>
  </si>
  <si>
    <t>DST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</si>
  <si>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</si>
  <si>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</si>
  <si>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</si>
  <si>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</si>
  <si>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</si>
  <si>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</si>
  <si>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</si>
  <si>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</si>
  <si>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</si>
  <si>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</si>
  <si>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</si>
  <si>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</si>
  <si>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</si>
  <si>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</si>
  <si>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</si>
  <si>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</si>
  <si>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</si>
  <si>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</si>
  <si>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</si>
  <si>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</si>
  <si>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</si>
  <si>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</si>
  <si>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</si>
  <si>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</si>
  <si>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</si>
  <si>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</si>
  <si>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</si>
  <si>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</si>
  <si>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</si>
  <si>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</si>
  <si>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</si>
  <si>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</si>
  <si>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</si>
  <si>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</si>
  <si>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</si>
  <si>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</si>
  <si>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</si>
  <si>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</si>
  <si>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</si>
  <si>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</si>
  <si>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</si>
  <si>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</si>
  <si>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</si>
  <si>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</si>
  <si>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</si>
  <si>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</si>
  <si>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</si>
  <si>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</si>
  <si>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</si>
  <si>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</si>
  <si>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</si>
  <si>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</si>
  <si>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</si>
  <si>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</si>
  <si>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</si>
  <si>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</si>
  <si>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</si>
  <si>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</si>
  <si>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</si>
  <si>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</si>
  <si>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</si>
  <si>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</si>
  <si>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</si>
  <si>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</si>
  <si>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</si>
  <si>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</si>
  <si>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</si>
  <si>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</si>
  <si>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</si>
  <si>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England_and_Wales</t>
  </si>
  <si>
    <t>Dunn_Macfarlane</t>
  </si>
  <si>
    <t>ONS</t>
  </si>
  <si>
    <t>Spain</t>
  </si>
  <si>
    <t>Finland</t>
  </si>
  <si>
    <t>Tilastokeskus</t>
  </si>
  <si>
    <t>France</t>
  </si>
  <si>
    <t>SGF</t>
  </si>
  <si>
    <t>INSEE</t>
  </si>
  <si>
    <t>Greece</t>
  </si>
  <si>
    <t>ELSTAT</t>
  </si>
  <si>
    <t>Iceland</t>
  </si>
  <si>
    <t>Statistics Iceland</t>
  </si>
  <si>
    <t>Italy</t>
  </si>
  <si>
    <t>ISTAT</t>
  </si>
  <si>
    <t>MinSalute</t>
  </si>
  <si>
    <t>Japan</t>
  </si>
  <si>
    <t>StatisticsJapan</t>
  </si>
  <si>
    <t>Republic of Korea</t>
  </si>
  <si>
    <t>KOSIS</t>
  </si>
  <si>
    <t>2020</t>
  </si>
  <si>
    <t>Lithuania</t>
  </si>
  <si>
    <t>Statistics Lithuania</t>
  </si>
  <si>
    <t>Netherlands</t>
  </si>
  <si>
    <t>CBS</t>
  </si>
  <si>
    <t>Norway</t>
  </si>
  <si>
    <t>SSB</t>
  </si>
  <si>
    <t>New Zealand</t>
  </si>
  <si>
    <t>Stats NZ</t>
  </si>
  <si>
    <t>Scotland</t>
  </si>
  <si>
    <t>RGS</t>
  </si>
  <si>
    <t>NRS</t>
  </si>
  <si>
    <t>Sweden</t>
  </si>
  <si>
    <t>SCB</t>
  </si>
  <si>
    <t>Uruguay</t>
  </si>
  <si>
    <t>MSP-INE</t>
  </si>
  <si>
    <t>United States</t>
  </si>
  <si>
    <t>VSUS</t>
  </si>
  <si>
    <t>NVSR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</si>
  <si>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</si>
  <si>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</si>
  <si>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</si>
  <si>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</si>
  <si>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</si>
  <si>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</si>
  <si>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</si>
  <si>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</si>
  <si>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</si>
  <si>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</si>
  <si>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</si>
  <si>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</si>
  <si>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</si>
  <si>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</si>
  <si>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</si>
  <si>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</si>
  <si>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</si>
  <si>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</si>
  <si>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</si>
  <si>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</si>
  <si>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</si>
  <si>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</si>
  <si>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</si>
  <si>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</si>
  <si>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</si>
  <si>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</si>
  <si>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</si>
  <si>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</si>
  <si>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</si>
  <si>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</si>
  <si>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</si>
  <si>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</si>
  <si>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</si>
  <si>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</si>
  <si>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</si>
  <si>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</si>
  <si>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</si>
  <si>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</si>
  <si>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</si>
  <si>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</si>
  <si>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</si>
  <si>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</si>
  <si>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</si>
  <si>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</si>
  <si>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</si>
  <si>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</si>
  <si>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</si>
  <si>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</si>
  <si>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</si>
  <si>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</si>
  <si>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</si>
  <si>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</si>
  <si>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</si>
  <si>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</si>
  <si>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</si>
  <si>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</si>
  <si>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</si>
  <si>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</si>
  <si>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</si>
  <si>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</si>
  <si>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</si>
  <si>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</si>
  <si>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</si>
  <si>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</si>
  <si>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</si>
  <si>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</si>
  <si>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</si>
  <si>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</si>
  <si>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</si>
  <si>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</si>
  <si>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</si>
  <si>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</si>
  <si>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</si>
  <si>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</si>
  <si>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</si>
  <si>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</si>
  <si>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</si>
  <si>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</si>
  <si>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</si>
  <si>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</si>
  <si>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</si>
  <si>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</si>
  <si>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</si>
  <si>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</si>
  <si>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</si>
  <si>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</si>
  <si>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</si>
  <si>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</si>
  <si>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</si>
  <si>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</si>
  <si>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</si>
  <si>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</si>
  <si>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</si>
  <si>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</si>
  <si>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</si>
  <si>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</si>
  <si>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</si>
  <si>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</si>
  <si>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</si>
  <si>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</si>
  <si>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</si>
  <si>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</si>
  <si>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</si>
  <si>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</si>
  <si>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</si>
  <si>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</si>
  <si>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</si>
  <si>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</si>
  <si>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</si>
  <si>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</si>
  <si>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</si>
  <si>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</si>
  <si>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</si>
  <si>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</si>
  <si>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</si>
  <si>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</si>
  <si>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</si>
  <si>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</si>
  <si>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</si>
  <si>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</si>
  <si>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</si>
  <si>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</si>
  <si>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</si>
  <si>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</si>
  <si>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</si>
  <si>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</si>
  <si>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</si>
  <si>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</si>
  <si>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</si>
  <si>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</si>
  <si>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</si>
  <si>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</si>
  <si>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</si>
  <si>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</si>
  <si>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</si>
  <si>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</si>
  <si>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</si>
  <si>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</si>
  <si>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</si>
  <si>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</si>
  <si>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</si>
  <si>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</si>
  <si>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</si>
  <si>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Estonia</t>
  </si>
  <si>
    <t>EST</t>
  </si>
  <si>
    <t>Ethiopia</t>
  </si>
  <si>
    <t>ETH</t>
  </si>
  <si>
    <t>European Union</t>
  </si>
  <si>
    <t>EUU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</si>
  <si>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</si>
  <si>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</si>
  <si>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</si>
  <si>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</si>
  <si>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</si>
  <si>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</si>
  <si>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</si>
  <si>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</si>
  <si>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</si>
  <si>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</si>
  <si>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</si>
  <si>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</si>
  <si>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</si>
  <si>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</si>
  <si>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</si>
  <si>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</si>
  <si>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</si>
  <si>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</si>
  <si>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</si>
  <si>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</si>
  <si>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</si>
  <si>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</si>
  <si>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</si>
  <si>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</si>
  <si>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</si>
  <si>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</si>
  <si>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</si>
  <si>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</si>
  <si>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</si>
  <si>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</si>
  <si>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</si>
  <si>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</si>
  <si>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</si>
  <si>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</si>
  <si>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</si>
  <si>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</si>
  <si>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</si>
  <si>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</si>
  <si>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</si>
  <si>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</si>
  <si>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</si>
  <si>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</si>
  <si>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</si>
  <si>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</si>
  <si>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</si>
  <si>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</si>
  <si>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</si>
  <si>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</si>
  <si>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</si>
  <si>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</si>
  <si>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</si>
  <si>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</si>
  <si>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</si>
  <si>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</si>
  <si>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</si>
  <si>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</si>
  <si>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</si>
  <si>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</si>
  <si>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</si>
  <si>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</si>
  <si>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</si>
  <si>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</si>
  <si>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</si>
  <si>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</si>
  <si>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</si>
  <si>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</si>
  <si>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</si>
  <si>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</si>
  <si>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</si>
  <si>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</si>
  <si>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</si>
  <si>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</si>
  <si>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</si>
  <si>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</si>
  <si>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</si>
  <si>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ISL</t>
  </si>
  <si>
    <t>Israel</t>
  </si>
  <si>
    <t>ISR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</si>
  <si>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</si>
  <si>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</si>
  <si>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</si>
  <si>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</si>
  <si>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</si>
  <si>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</si>
  <si>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</si>
  <si>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</si>
  <si>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</si>
  <si>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</si>
  <si>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</si>
  <si>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</si>
  <si>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</si>
  <si>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</si>
  <si>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</si>
  <si>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</si>
  <si>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</si>
  <si>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</si>
  <si>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</si>
  <si>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</si>
  <si>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</si>
  <si>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</si>
  <si>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</si>
  <si>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</si>
  <si>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</si>
  <si>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</si>
  <si>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</si>
  <si>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</si>
  <si>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</si>
  <si>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</si>
  <si>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</si>
  <si>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</si>
  <si>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</si>
  <si>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</si>
  <si>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</si>
  <si>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</si>
  <si>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</si>
  <si>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</si>
  <si>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</si>
  <si>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</si>
  <si>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</si>
  <si>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</si>
  <si>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</si>
  <si>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</si>
  <si>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</si>
  <si>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</si>
  <si>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</si>
  <si>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</si>
  <si>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</si>
  <si>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</si>
  <si>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</si>
  <si>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</si>
  <si>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</si>
  <si>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</si>
  <si>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</si>
  <si>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</si>
  <si>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</si>
  <si>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</si>
  <si>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</si>
  <si>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</si>
  <si>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</si>
  <si>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</si>
  <si>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</si>
  <si>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</si>
  <si>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</si>
  <si>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</si>
  <si>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</si>
  <si>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</si>
  <si>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</si>
  <si>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</si>
  <si>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</si>
  <si>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</si>
  <si>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</si>
  <si>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</si>
  <si>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</si>
  <si>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</si>
  <si>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</si>
  <si>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</si>
  <si>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</si>
  <si>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</si>
  <si>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</si>
  <si>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</si>
  <si>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</si>
  <si>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</si>
  <si>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</si>
  <si>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</si>
  <si>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</si>
  <si>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</si>
  <si>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</si>
  <si>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</si>
  <si>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</si>
  <si>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</si>
  <si>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</si>
  <si>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</si>
  <si>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</si>
  <si>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</si>
  <si>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</si>
  <si>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</si>
  <si>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</si>
  <si>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</si>
  <si>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</si>
  <si>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</si>
  <si>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</si>
  <si>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</si>
  <si>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</si>
  <si>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</si>
  <si>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</si>
  <si>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</si>
  <si>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</si>
  <si>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</si>
  <si>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</si>
  <si>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</si>
  <si>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</si>
  <si>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</si>
  <si>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</si>
  <si>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</si>
  <si>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</si>
  <si>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NLD</t>
  </si>
  <si>
    <t>NOR</t>
  </si>
  <si>
    <t>Nepal</t>
  </si>
  <si>
    <t>NPL</t>
  </si>
  <si>
    <t>Naoero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</si>
  <si>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</si>
  <si>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</si>
  <si>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</si>
  <si>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</si>
  <si>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</si>
  <si>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</si>
  <si>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</si>
  <si>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</si>
  <si>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</si>
  <si>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</si>
  <si>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</si>
  <si>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</si>
  <si>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</si>
  <si>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</si>
  <si>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</si>
  <si>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</si>
  <si>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</si>
  <si>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</si>
  <si>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</si>
  <si>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</si>
  <si>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</si>
  <si>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</si>
  <si>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</si>
  <si>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</si>
  <si>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</si>
  <si>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</si>
  <si>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</si>
  <si>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</si>
  <si>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</si>
  <si>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</si>
  <si>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</si>
  <si>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</si>
  <si>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</si>
  <si>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</si>
  <si>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</si>
  <si>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</si>
  <si>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</si>
  <si>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</si>
  <si>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</si>
  <si>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</si>
  <si>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</si>
  <si>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</si>
  <si>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</si>
  <si>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</si>
  <si>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</si>
  <si>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</si>
  <si>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</si>
  <si>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</si>
  <si>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</si>
  <si>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</si>
  <si>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</si>
  <si>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</si>
  <si>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</si>
  <si>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</si>
  <si>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</si>
  <si>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</si>
  <si>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</si>
  <si>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</si>
  <si>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</si>
  <si>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</si>
  <si>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</si>
  <si>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</si>
  <si>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</si>
  <si>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</si>
  <si>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</si>
  <si>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</si>
  <si>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</si>
  <si>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</si>
  <si>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</si>
  <si>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</si>
  <si>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</si>
  <si>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</si>
  <si>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</si>
  <si>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</si>
  <si>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</si>
  <si>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</si>
  <si>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</si>
  <si>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</si>
  <si>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</si>
  <si>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</si>
  <si>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</si>
  <si>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</si>
  <si>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</si>
  <si>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</si>
  <si>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</si>
  <si>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</si>
  <si>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</si>
  <si>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</si>
  <si>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</si>
  <si>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</si>
  <si>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</si>
  <si>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</si>
  <si>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</si>
  <si>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</si>
  <si>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</si>
  <si>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</si>
  <si>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</si>
  <si>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</si>
  <si>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</si>
  <si>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</si>
  <si>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</si>
  <si>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</si>
  <si>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</si>
  <si>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</si>
  <si>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</si>
  <si>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</si>
  <si>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</si>
  <si>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</si>
  <si>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</si>
  <si>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</si>
  <si>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</si>
  <si>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</si>
  <si>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</si>
  <si>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</si>
  <si>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</si>
  <si>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</si>
  <si>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</si>
  <si>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</si>
  <si>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</si>
  <si>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</si>
  <si>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</si>
  <si>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</si>
  <si>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</si>
  <si>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</si>
  <si>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</si>
  <si>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</si>
  <si>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</si>
  <si>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</si>
  <si>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</si>
  <si>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</si>
  <si>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</si>
  <si>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</si>
  <si>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</si>
  <si>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</si>
  <si>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</si>
  <si>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</si>
  <si>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</si>
  <si>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</si>
  <si>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</si>
  <si>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</si>
  <si>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</si>
  <si>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</si>
  <si>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</si>
  <si>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</si>
  <si>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</si>
  <si>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</si>
  <si>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</si>
  <si>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</si>
  <si>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</si>
  <si>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</si>
  <si>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</si>
  <si>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</si>
  <si>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</si>
  <si>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</si>
  <si>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</si>
  <si>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</si>
  <si>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</si>
  <si>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</si>
  <si>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</si>
  <si>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</si>
  <si>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</si>
  <si>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</si>
  <si>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</si>
  <si>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</si>
  <si>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</si>
  <si>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</si>
  <si>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</si>
  <si>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</si>
  <si>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</si>
  <si>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Cada</t>
  </si>
  <si>
    <t>South Korea</t>
  </si>
  <si>
    <t>England &amp;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</si>
</sst>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4" fillId="0" borderId="0" xfId="0" applyFont="1"/>
    <xf numFmtId="1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2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4FDCDE7-36B7-4AA1-8B0B-77531822C32B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Source" tableColumnId="2"/>
      <queryTableField id="3" name="Year" tableColumnId="3"/>
      <queryTableField id="4" name="Twin_deliveries" tableColumnId="4"/>
      <queryTableField id="5" name="Twin_children" tableColumnId="5"/>
      <queryTableField id="6" name="Singleton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37DEC-53F7-4CEC-9626-7A813C4F78E4}" name="Countries" displayName="Countries" ref="A1:F4514" tableType="queryTable" totalsRowShown="0">
  <autoFilter ref="A1:F4514" xr:uid="{49637DEC-53F7-4CEC-9626-7A813C4F78E4}"/>
  <tableColumns count="6">
    <tableColumn id="1" xr3:uid="{9ABEDFB8-9527-4C0E-BFC4-487F54997C96}" uniqueName="1" name="Country" queryTableFieldId="1" dataDxfId="199"/>
    <tableColumn id="2" xr3:uid="{5E1F1BBD-0666-4538-8F7A-FE7D75803B26}" uniqueName="2" name="Source" queryTableFieldId="2" dataDxfId="198"/>
    <tableColumn id="3" xr3:uid="{E90AB144-F418-4BDB-89E2-5E44A5BE3343}" uniqueName="3" name="Year" queryTableFieldId="3"/>
    <tableColumn id="4" xr3:uid="{CF53BBCC-E4AD-4BBC-B4DD-DFD642C50F57}" uniqueName="4" name="Twin_deliveries" queryTableFieldId="4"/>
    <tableColumn id="5" xr3:uid="{781BCF9D-2398-4968-8B8D-6CCD675E620F}" uniqueName="5" name="Twin_children" queryTableFieldId="5"/>
    <tableColumn id="6" xr3:uid="{FB3DE392-31CC-430C-9376-2047AE690571}" uniqueName="6" name="Singleton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4E42D-9DAA-4044-A030-8365FCA753B1}" name="Table3" displayName="Table3" ref="A1:F115" totalsRowShown="0" headerRowDxfId="197" dataDxfId="196">
  <autoFilter ref="A1:F115" xr:uid="{41E4E42D-9DAA-4044-A030-8365FCA753B1}"/>
  <tableColumns count="6">
    <tableColumn id="1" xr3:uid="{41F77CC1-0828-48D3-908B-C225C04F93D4}" name="Country" dataDxfId="195"/>
    <tableColumn id="2" xr3:uid="{BE2D1C46-FFC2-487B-9BBB-C2108A888BAA}" name="Source" dataDxfId="194"/>
    <tableColumn id="3" xr3:uid="{C2E9ED8C-6861-426C-B51F-A6AE3375C70C}" name="Year" dataDxfId="193"/>
    <tableColumn id="4" xr3:uid="{AAB091ED-157F-42F1-826C-6C0FB21D8034}" name="Twin_deliveries" dataDxfId="192"/>
    <tableColumn id="5" xr3:uid="{EF8D0328-966E-4868-A079-AC94B28EEC9D}" name="Twin_children" dataDxfId="191"/>
    <tableColumn id="6" xr3:uid="{4E91BF78-BFB5-4148-95D8-8C1D37D748E1}" name="Singletons" dataDxfId="1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5C5F64-0338-4BD7-8DF3-A519D7AC5AC9}" name="Table5" displayName="Table5" ref="A1:F117" totalsRowShown="0" headerRowDxfId="189" dataDxfId="188">
  <autoFilter ref="A1:F117" xr:uid="{445C5F64-0338-4BD7-8DF3-A519D7AC5AC9}"/>
  <tableColumns count="6">
    <tableColumn id="1" xr3:uid="{911B8757-1454-43ED-A0EF-4FABDDB92447}" name="Country" dataDxfId="187"/>
    <tableColumn id="2" xr3:uid="{4371DD15-12E0-4B83-857E-E35B9732174B}" name="Source" dataDxfId="186"/>
    <tableColumn id="3" xr3:uid="{FA687C99-A8A0-4FEC-A7EF-8E009052EB95}" name="Year" dataDxfId="185"/>
    <tableColumn id="4" xr3:uid="{B120ED61-6C77-4FF8-88C6-6ED9C8D77BE8}" name="Singletons" dataDxfId="184"/>
    <tableColumn id="5" xr3:uid="{61684906-C1D4-42A3-8902-CCDEAE3772B7}" name="Twin_deliveries" dataDxfId="183"/>
    <tableColumn id="6" xr3:uid="{F418A910-B3D7-4451-BE14-3DEB62AE7B44}" name="Twin_children" dataDxfId="1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18B87F-AC8F-40B1-B29A-30ED521710CB}" name="Table6" displayName="Table6" ref="A1:F111" totalsRowShown="0" headerRowDxfId="181" dataDxfId="180">
  <autoFilter ref="A1:F111" xr:uid="{0618B87F-AC8F-40B1-B29A-30ED521710CB}"/>
  <tableColumns count="6">
    <tableColumn id="1" xr3:uid="{6F390D09-ECDD-495F-9812-E0E672ECC952}" name="Country" dataDxfId="179"/>
    <tableColumn id="2" xr3:uid="{2CB53722-2F23-46B1-9469-6C557B3A782C}" name="Source" dataDxfId="178"/>
    <tableColumn id="3" xr3:uid="{5C9EBAE4-9F8D-4007-94BC-DB3C6E32E2BA}" name="Year" dataDxfId="177"/>
    <tableColumn id="4" xr3:uid="{DD3E0F81-A80C-4EEE-A99A-E51D93A5BC2A}" name="Singletons" dataDxfId="176"/>
    <tableColumn id="5" xr3:uid="{386660CA-4B23-453A-ACEF-CCB0107DE8CC}" name="Twin_deliveries" dataDxfId="175"/>
    <tableColumn id="6" xr3:uid="{BC17DDC7-ED19-4B19-9C7C-004F879994F7}" name="Twin_children" dataDxfId="1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F986E6-F337-4275-9DE1-9CAA4B7F6863}" name="Table7" displayName="Table7" ref="A1:F116" totalsRowShown="0" headerRowDxfId="173" dataDxfId="172">
  <autoFilter ref="A1:F116" xr:uid="{60F986E6-F337-4275-9DE1-9CAA4B7F6863}"/>
  <tableColumns count="6">
    <tableColumn id="1" xr3:uid="{6B10FA2D-4CEE-4719-A93C-5D0EB4E29351}" name="Country" dataDxfId="171"/>
    <tableColumn id="2" xr3:uid="{69743720-5008-4168-8224-B06D8270C51C}" name="Source" dataDxfId="170"/>
    <tableColumn id="3" xr3:uid="{D9033A57-A477-43EE-B8D4-2873E9A85705}" name="Year" dataDxfId="169"/>
    <tableColumn id="4" xr3:uid="{82E71963-2FB7-4353-86C9-4C8B72C86334}" name="Singletons" dataDxfId="168"/>
    <tableColumn id="5" xr3:uid="{21FDEBDF-5B29-41E5-A2DE-A25B8A100614}" name="Twin_deliveries" dataDxfId="167"/>
    <tableColumn id="6" xr3:uid="{019C1679-47F8-4A34-A470-BCAEAB59A7EE}" name="Twin_children" dataDxfId="1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E2904E-E500-46AD-BEF8-0CC51C5F047B}" name="Table8" displayName="Table8" ref="A1:F61" totalsRowShown="0" headerRowDxfId="165" dataDxfId="164">
  <autoFilter ref="A1:F61" xr:uid="{C0E2904E-E500-46AD-BEF8-0CC51C5F047B}"/>
  <tableColumns count="6">
    <tableColumn id="1" xr3:uid="{C815D594-0E17-4841-A9AC-C3C03F9E7DA9}" name="Country" dataDxfId="163"/>
    <tableColumn id="2" xr3:uid="{FA1EF859-38BD-4D2B-97CC-FE27E215C16A}" name="Source" dataDxfId="162"/>
    <tableColumn id="3" xr3:uid="{56BC2CCD-2060-4F00-86A6-BA78AF19863A}" name="Year" dataDxfId="161"/>
    <tableColumn id="4" xr3:uid="{89AE9F31-3B46-45BF-B64E-43FF917B35BF}" name="Singletons" dataDxfId="160"/>
    <tableColumn id="5" xr3:uid="{E9A5CED9-3923-4FB8-8717-E54BA5C659C7}" name="Twin_deliveries" dataDxfId="159"/>
    <tableColumn id="6" xr3:uid="{AB50940F-E434-4792-A74C-A986C79E82BC}" name="Twin_children" dataDxfId="1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8FF32F-9E4E-4539-8D5E-4E99A742B4D2}" name="Table9" displayName="Table9" ref="A1:F103" totalsRowShown="0" headerRowDxfId="157" dataDxfId="156">
  <autoFilter ref="A1:F103" xr:uid="{938FF32F-9E4E-4539-8D5E-4E99A742B4D2}"/>
  <tableColumns count="6">
    <tableColumn id="1" xr3:uid="{EFFDA869-FC87-4A4D-97E3-4208F0A6E1D2}" name="Country" dataDxfId="155"/>
    <tableColumn id="2" xr3:uid="{6784C46D-3E27-40D5-BCA2-D46AB58CEF5A}" name="Source" dataDxfId="154"/>
    <tableColumn id="3" xr3:uid="{B52A6DEA-9DDC-41D2-94E2-2CBFA3D0ACD9}" name="Year" dataDxfId="153"/>
    <tableColumn id="4" xr3:uid="{F247FEDF-8864-422C-A8C1-C645796213E5}" name="Singletons" dataDxfId="152"/>
    <tableColumn id="5" xr3:uid="{78D57F90-E462-42A4-8AC8-749E129B4EBD}" name="Twin_deliveries" dataDxfId="151"/>
    <tableColumn id="6" xr3:uid="{7DE12B11-65C6-444A-8EBF-4C45782588CA}" name="Twin_children" dataDxfId="1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EA3722-4BBB-404D-969A-F3642D476CD8}" name="Table10" displayName="Table10" ref="A1:F116" totalsRowShown="0" headerRowDxfId="149">
  <autoFilter ref="A1:F116" xr:uid="{F6EA3722-4BBB-404D-969A-F3642D476CD8}"/>
  <tableColumns count="6">
    <tableColumn id="1" xr3:uid="{23154F5B-04B0-49E2-B9A1-127820CCB34E}" name="Country" dataDxfId="148"/>
    <tableColumn id="2" xr3:uid="{6D4DB42F-2F3D-4F35-AF5A-99F57DB1263E}" name="Source" dataDxfId="147"/>
    <tableColumn id="3" xr3:uid="{FE83FA66-B8AC-4D3C-A031-BA7F82DC4253}" name="Year" dataDxfId="146"/>
    <tableColumn id="4" xr3:uid="{A34F303F-9A88-451B-8EE6-B9DF00299E36}" name="Singletons" dataDxfId="145"/>
    <tableColumn id="5" xr3:uid="{D071F10F-BEC6-442F-B634-49B731F2D868}" name="Twin_deliveries" dataDxfId="144"/>
    <tableColumn id="6" xr3:uid="{565A9EB0-33C5-4348-8025-FA2F6BAB2405}" name="Twin_children" dataDxfId="1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4EC754-5AC6-4440-BD04-80E400CED24E}" name="Table11" displayName="Table11" ref="A1:F170" totalsRowShown="0" headerRowDxfId="142" dataDxfId="141">
  <autoFilter ref="A1:F170" xr:uid="{DD4EC754-5AC6-4440-BD04-80E400CED24E}"/>
  <tableColumns count="6">
    <tableColumn id="1" xr3:uid="{1439F008-4FE3-46F6-81C9-13C1E38166AD}" name="Country" dataDxfId="140"/>
    <tableColumn id="2" xr3:uid="{B2E75D9B-6A7F-4CAC-98BB-06607AD847A4}" name="Source" dataDxfId="139"/>
    <tableColumn id="3" xr3:uid="{CCAF0D87-BA66-4976-B78A-30A45A410B76}" name="Year" dataDxfId="138"/>
    <tableColumn id="4" xr3:uid="{3F8BC4E1-10E6-4F1F-9274-40CF78328AC7}" name="Singletons" dataDxfId="137"/>
    <tableColumn id="5" xr3:uid="{FAFADBBF-57B2-49BC-B36C-3CC281147B19}" name="Twin_deliveries" dataDxfId="136"/>
    <tableColumn id="6" xr3:uid="{F265E558-74A6-49C5-8A4F-0B988B564AD4}" name="Twin_children" dataDxfId="13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A7911D-B5A5-4026-B8CD-A7B82E3AD078}" name="Table12" displayName="Table12" ref="A1:F104" totalsRowShown="0" headerRowDxfId="134" dataDxfId="133">
  <autoFilter ref="A1:F104" xr:uid="{02A7911D-B5A5-4026-B8CD-A7B82E3AD078}"/>
  <tableColumns count="6">
    <tableColumn id="1" xr3:uid="{888E8D9A-2BE8-4418-840E-1F5A3835B5BE}" name="Country" dataDxfId="132"/>
    <tableColumn id="2" xr3:uid="{A432A70C-223A-4DB7-9A73-45BE11F17AA0}" name="Source" dataDxfId="131"/>
    <tableColumn id="3" xr3:uid="{0018465B-F0C2-442F-956F-41EDA7D6181B}" name="Year" dataDxfId="130"/>
    <tableColumn id="4" xr3:uid="{6377E874-C02F-4545-A33F-748C8EBC2B53}" name="Singletons" dataDxfId="129"/>
    <tableColumn id="5" xr3:uid="{2D3A526F-60B7-45B2-B54E-A934C05655B5}" name="Twin_deliveries" dataDxfId="128"/>
    <tableColumn id="6" xr3:uid="{FA42A2A1-3257-42F6-8A38-C585E5EBC0DF}" name="Twin_children" dataDxfId="12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6BC09E-509A-4527-A9DA-6DD637CA2005}" name="Table13" displayName="Table13" ref="A1:F130" totalsRowShown="0" headerRowDxfId="126" dataDxfId="125">
  <autoFilter ref="A1:F130" xr:uid="{186BC09E-509A-4527-A9DA-6DD637CA2005}"/>
  <tableColumns count="6">
    <tableColumn id="1" xr3:uid="{EADBEA97-E9FC-45D3-920D-9C7747751416}" name="Country" dataDxfId="124"/>
    <tableColumn id="2" xr3:uid="{5D60D876-83FA-4980-87CD-BC0AACCAB9D6}" name="Source" dataDxfId="123"/>
    <tableColumn id="3" xr3:uid="{DDA5FFE1-75B0-45EF-A35A-CAF5295C017C}" name="Year" dataDxfId="122"/>
    <tableColumn id="4" xr3:uid="{C00B366A-CD88-4A3D-B8CA-76F5CB541D4A}" name="Singletons" dataDxfId="121"/>
    <tableColumn id="5" xr3:uid="{A351CF4A-6A3B-4185-AB1D-9B640BDB9E9A}" name="Twin_deliveries" dataDxfId="120"/>
    <tableColumn id="6" xr3:uid="{A0006180-978D-4C0E-896F-A9B12F9F2801}" name="Twin_children" dataDxfId="1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72A2C33-C798-4713-9547-AE42ACE33CE6}" name="Table14" displayName="Table14" ref="A1:F115" totalsRowShown="0" headerRowDxfId="118" dataDxfId="117">
  <autoFilter ref="A1:F115" xr:uid="{972A2C33-C798-4713-9547-AE42ACE33CE6}"/>
  <tableColumns count="6">
    <tableColumn id="1" xr3:uid="{670A4D30-5256-476D-A3EB-7649FA01746B}" name="Country" dataDxfId="116"/>
    <tableColumn id="2" xr3:uid="{3F62F202-BDC4-476B-80A5-F8BB17D90205}" name="Source" dataDxfId="115"/>
    <tableColumn id="3" xr3:uid="{C9938399-0977-4FBD-8E09-ABF4A9F04C04}" name="Year" dataDxfId="114"/>
    <tableColumn id="4" xr3:uid="{16CF291B-C1C3-46D0-BC1A-97A23876FE7E}" name="Singletons" dataDxfId="113"/>
    <tableColumn id="5" xr3:uid="{54BC2671-E651-4B39-848D-2699E19617D3}" name="Twin_deliveries" dataDxfId="112"/>
    <tableColumn id="6" xr3:uid="{12567766-934A-4D07-9BA4-8BA725F6F58A}" name="Twin_children" dataDxfId="1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E10A9E-E16F-4536-98A5-4281726901F9}" name="Table16" displayName="Table16" ref="A1:F164" totalsRowShown="0" headerRowDxfId="110" dataDxfId="109">
  <autoFilter ref="A1:F164" xr:uid="{02E10A9E-E16F-4536-98A5-4281726901F9}"/>
  <tableColumns count="6">
    <tableColumn id="1" xr3:uid="{98090469-F5E0-428E-89D0-5DBF852C40F7}" name="Country" dataDxfId="108"/>
    <tableColumn id="2" xr3:uid="{6F58BCD3-32CF-49F5-B5A0-4E617A135AD7}" name="Source" dataDxfId="107"/>
    <tableColumn id="3" xr3:uid="{6CDF9285-7B32-4E9B-8B6B-F9C1A8BE2AFE}" name="Year" dataDxfId="106"/>
    <tableColumn id="4" xr3:uid="{0C18C8E3-6856-4134-BB2F-9857FDAD3DED}" name="Singletons" dataDxfId="105"/>
    <tableColumn id="5" xr3:uid="{54356FBB-BB5D-4817-BB52-597DB7992A7E}" name="Twin_deliveries" dataDxfId="104"/>
    <tableColumn id="6" xr3:uid="{EFC8D728-95E0-41C7-AD65-F1DEAC14E32C}" name="Twin_children" dataDxfId="10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DEA5E47-D73D-42E7-97E6-9A406EA43C6A}" name="Table17" displayName="Table17" ref="A1:F65" totalsRowShown="0" headerRowDxfId="102" dataDxfId="101">
  <autoFilter ref="A1:F65" xr:uid="{0DEA5E47-D73D-42E7-97E6-9A406EA43C6A}"/>
  <tableColumns count="6">
    <tableColumn id="1" xr3:uid="{1FC73953-83F5-4E6A-A2E5-94DEFA7AB1FA}" name="Country" dataDxfId="100"/>
    <tableColumn id="2" xr3:uid="{3E876698-9096-43E5-80DA-68B60DBA3B4A}" name="Source" dataDxfId="99"/>
    <tableColumn id="3" xr3:uid="{5AB542C4-6C2F-4AF2-AB6B-D3991F896198}" name="Year" dataDxfId="98"/>
    <tableColumn id="4" xr3:uid="{2FD8C3AA-9ACD-4A3B-903E-6749FB090CC5}" name="Singletons" dataDxfId="97"/>
    <tableColumn id="5" xr3:uid="{80A8A703-F516-4C9D-A4C1-B178286BC83C}" name="Twin_deliveries" dataDxfId="96"/>
    <tableColumn id="6" xr3:uid="{FDAA85C8-2F8A-4902-8019-783CA46A0359}" name="Twin_children" dataDxfId="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A338827-8E4C-44A8-95D2-6728B4646065}" name="Table18" displayName="Table18" ref="A1:F172" totalsRowShown="0" headerRowDxfId="94" dataDxfId="93">
  <autoFilter ref="A1:F172" xr:uid="{4A338827-8E4C-44A8-95D2-6728B4646065}"/>
  <tableColumns count="6">
    <tableColumn id="1" xr3:uid="{C3D45510-FB9D-4E27-A450-6834EA258839}" name="Country" dataDxfId="92"/>
    <tableColumn id="2" xr3:uid="{A6347C67-F628-4D1F-B402-7177DFF1D5A7}" name="Source" dataDxfId="91"/>
    <tableColumn id="3" xr3:uid="{56D298D3-88C4-454E-A957-95B022B1964E}" name="Year" dataDxfId="90"/>
    <tableColumn id="4" xr3:uid="{EF54D891-95E6-4FCF-90B1-5375470C1124}" name="Singletons" dataDxfId="89"/>
    <tableColumn id="5" xr3:uid="{547F6CDE-A875-41CD-B14B-DEA98B006463}" name="Twin_deliveries" dataDxfId="88"/>
    <tableColumn id="6" xr3:uid="{9C9C5D02-3A31-4D9C-9BE9-868A827983A9}" name="Twin_children" dataDxfId="8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3B21B0-2DE0-49CF-B6A4-C99573AAFD61}" name="Table19" displayName="Table19" ref="A1:F153" totalsRowShown="0" headerRowDxfId="86" dataDxfId="85">
  <autoFilter ref="A1:F153" xr:uid="{CD3B21B0-2DE0-49CF-B6A4-C99573AAFD61}"/>
  <tableColumns count="6">
    <tableColumn id="1" xr3:uid="{B1F96E36-6A42-4162-BBC3-DF9C8C27AAC8}" name="Country" dataDxfId="84"/>
    <tableColumn id="2" xr3:uid="{8194998D-223C-4F28-9AA3-A8749CAB266D}" name="Source" dataDxfId="83"/>
    <tableColumn id="3" xr3:uid="{C572B423-DC6F-4593-B60B-38DBDA3C7B32}" name="Year" dataDxfId="82"/>
    <tableColumn id="4" xr3:uid="{DEE12EC2-D793-4848-B7C4-940B8D0AA8BE}" name="Singletons" dataDxfId="81"/>
    <tableColumn id="5" xr3:uid="{9B06D3E0-6D2D-4272-882F-B675721583A0}" name="Twin_deliveries" dataDxfId="80"/>
    <tableColumn id="6" xr3:uid="{31103992-CF08-4C28-90D5-4B57B1C39FA1}" name="Twin_children" dataDxfId="7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4387D26-12A9-4461-8DA0-1663AA3B8762}" name="Table20" displayName="Table20" ref="A1:F98" totalsRowShown="0" headerRowDxfId="78" dataDxfId="77">
  <autoFilter ref="A1:F98" xr:uid="{04387D26-12A9-4461-8DA0-1663AA3B8762}"/>
  <tableColumns count="6">
    <tableColumn id="1" xr3:uid="{E7068879-AF9D-494B-9374-E6E82AFD38C4}" name="Country" dataDxfId="76"/>
    <tableColumn id="2" xr3:uid="{519C22D5-85F0-445C-A354-A01B750E1868}" name="Source" dataDxfId="75"/>
    <tableColumn id="3" xr3:uid="{E91ED532-146C-476F-BFCF-D5C9328FAB83}" name="Year" dataDxfId="74"/>
    <tableColumn id="4" xr3:uid="{B828FADD-A5C7-4355-87F6-22A5F7DA8045}" name="Singletons" dataDxfId="73"/>
    <tableColumn id="5" xr3:uid="{A7F8DE08-2A2E-4EDF-A4DA-A10F9211455E}" name="Twin_deliveries" dataDxfId="72"/>
    <tableColumn id="6" xr3:uid="{31F07F04-79C0-4F45-BA30-623F014555FE}" name="Twin_children" dataDxfId="7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DBDB12E-115B-4D15-AD6C-53B3323DDCB1}" name="Table21" displayName="Table21" ref="A1:F39" totalsRowShown="0" headerRowDxfId="70" dataDxfId="69">
  <autoFilter ref="A1:F39" xr:uid="{EDBDB12E-115B-4D15-AD6C-53B3323DDCB1}"/>
  <tableColumns count="6">
    <tableColumn id="1" xr3:uid="{30D6E00D-8DF4-4B93-AA77-A9E95CF20827}" name="Country" dataDxfId="68"/>
    <tableColumn id="2" xr3:uid="{45DE448D-C12B-46AC-A69A-FB3202C70590}" name="Source" dataDxfId="67"/>
    <tableColumn id="3" xr3:uid="{148B8D88-C2DF-47EC-8584-D780CE950C14}" name="Year" dataDxfId="66"/>
    <tableColumn id="4" xr3:uid="{E1F80ECF-8199-4BEA-967B-A3B1F2D42159}" name="Singletons" dataDxfId="65"/>
    <tableColumn id="5" xr3:uid="{9666E13D-A165-4831-89D8-D8AEF4C2120D}" name="Twin_deliveries" dataDxfId="64"/>
    <tableColumn id="6" xr3:uid="{592CA3C2-7930-42D9-BD21-D2A32CC8C341}" name="Twin_children" dataDxfId="6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C769434-D4B9-4CDA-98AB-05C86C72116E}" name="Table23" displayName="Table23" ref="A1:F77" totalsRowShown="0" headerRowDxfId="62" dataDxfId="61">
  <autoFilter ref="A1:F77" xr:uid="{1C769434-D4B9-4CDA-98AB-05C86C72116E}"/>
  <tableColumns count="6">
    <tableColumn id="1" xr3:uid="{0E0E083B-F869-4877-B136-E033259A2770}" name="Country" dataDxfId="60"/>
    <tableColumn id="2" xr3:uid="{AF2CB702-DF1D-4A95-9C44-8BDCAEAFEB08}" name="Source" dataDxfId="59"/>
    <tableColumn id="3" xr3:uid="{C92F0A7D-F686-4F3C-A4B6-B14C5942527E}" name="Year" dataDxfId="58"/>
    <tableColumn id="4" xr3:uid="{FAD5607E-9DCB-430C-9DBA-8C2B1689FA79}" name="Singletons" dataDxfId="57"/>
    <tableColumn id="5" xr3:uid="{B795125D-017A-4A68-81EF-4A98ADEAA568}" name="Twin_deliveries" dataDxfId="56"/>
    <tableColumn id="6" xr3:uid="{2EA34E89-E73B-4000-B246-8BC906D21F5B}" name="Twin_children" dataDxfId="5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F64F8D0-AC7A-489C-BFD6-5CD80E34669C}" name="Table24" displayName="Table24" ref="A1:F122" totalsRowShown="0" headerRowDxfId="54" dataDxfId="53">
  <autoFilter ref="A1:F122" xr:uid="{1F64F8D0-AC7A-489C-BFD6-5CD80E34669C}"/>
  <tableColumns count="6">
    <tableColumn id="1" xr3:uid="{8B5C1C05-65EC-4782-9625-F08CA4DEBE5B}" name="Country" dataDxfId="52"/>
    <tableColumn id="2" xr3:uid="{46E449D8-702D-4D7E-8767-1A7E180618FE}" name="Source" dataDxfId="51"/>
    <tableColumn id="3" xr3:uid="{E1A6B100-EFC0-4D31-A43C-A569406DB9B8}" name="Year" dataDxfId="50"/>
    <tableColumn id="4" xr3:uid="{8B5BF029-FA1D-4E58-8F64-880DBCBC399D}" name="Singletons" dataDxfId="49"/>
    <tableColumn id="5" xr3:uid="{3F55BE27-7055-4058-AE40-D13877E40FF7}" name="Twin_deliveries" dataDxfId="48"/>
    <tableColumn id="6" xr3:uid="{F00BEBC0-93F2-40D4-B15B-723D5FCA7585}" name="Twin_children" dataDxfId="4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240581B-DF4D-4708-9B9F-7DBD2AE357CC}" name="Table25" displayName="Table25" ref="A1:F123" totalsRowShown="0" headerRowDxfId="46">
  <autoFilter ref="A1:F123" xr:uid="{6240581B-DF4D-4708-9B9F-7DBD2AE357CC}"/>
  <tableColumns count="6">
    <tableColumn id="1" xr3:uid="{C547572F-9E01-475E-8C87-7370BFFDECFC}" name="Country" dataDxfId="45"/>
    <tableColumn id="2" xr3:uid="{2B46355A-5ED0-446C-A502-A3DCEABA5BDF}" name="Source" dataDxfId="44"/>
    <tableColumn id="3" xr3:uid="{9F666148-50ED-4468-937A-12562DEFE37E}" name="Year" dataDxfId="43"/>
    <tableColumn id="4" xr3:uid="{13AC644F-BC28-4819-993A-CF6EF2522EB1}" name="Singletons" dataDxfId="42"/>
    <tableColumn id="5" xr3:uid="{BEBFBC34-8AE0-4734-AFD6-05F383F463CF}" name="Twin_deliveries" dataDxfId="41"/>
    <tableColumn id="6" xr3:uid="{E1F98616-4E77-454F-AFFE-2402F5DDEC51}" name="Twin_children" dataDxfId="4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ED9D3A8-B5CE-4674-B539-403C5EC1209D}" name="Table26" displayName="Table26" ref="A1:F178" totalsRowShown="0" headerRowDxfId="39" dataDxfId="38">
  <autoFilter ref="A1:F178" xr:uid="{FED9D3A8-B5CE-4674-B539-403C5EC1209D}"/>
  <tableColumns count="6">
    <tableColumn id="1" xr3:uid="{EB053140-652F-4A85-812E-571DE223661C}" name="Country" dataDxfId="37"/>
    <tableColumn id="2" xr3:uid="{C66885A8-9197-4D7E-B52B-493FA76E321B}" name="Source" dataDxfId="36"/>
    <tableColumn id="3" xr3:uid="{043DAF59-ADB8-4611-AA51-579A91C4BD90}" name="Year" dataDxfId="35"/>
    <tableColumn id="4" xr3:uid="{3D7D8F86-8520-4155-80A7-77F654A94345}" name="Singletons" dataDxfId="34"/>
    <tableColumn id="5" xr3:uid="{E3BD3A49-666E-42B5-B03F-AFA828F2702A}" name="Twin_deliveries" dataDxfId="33"/>
    <tableColumn id="6" xr3:uid="{2E7941DC-9F6F-41D4-9BBC-C0D03E431784}" name="Twin_children" dataDxfId="3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57D0CAE-BAAB-4A32-A83C-E4BBA70E323C}" name="Table27" displayName="Table27" ref="A1:F166" totalsRowShown="0" headerRowDxfId="31" dataDxfId="30">
  <autoFilter ref="A1:F166" xr:uid="{F57D0CAE-BAAB-4A32-A83C-E4BBA70E323C}"/>
  <tableColumns count="6">
    <tableColumn id="1" xr3:uid="{BC8F9770-14C3-45F4-96FE-D2692259FFA0}" name="Country" dataDxfId="29"/>
    <tableColumn id="2" xr3:uid="{AB731303-ED64-43F1-884E-DE0B26ADB0AD}" name="Source" dataDxfId="28"/>
    <tableColumn id="3" xr3:uid="{50C59E49-8A4D-488F-BAF8-5D76341659B2}" name="Year" dataDxfId="27"/>
    <tableColumn id="4" xr3:uid="{955772D0-2300-4149-9E4D-C13FC69AEC34}" name="Singletons" dataDxfId="26"/>
    <tableColumn id="5" xr3:uid="{447E4980-EA3F-42B9-B7E0-895DC67E6803}" name="Twin_deliveries" dataDxfId="25"/>
    <tableColumn id="6" xr3:uid="{F6CEC4B9-2C6A-4B08-A6F2-A2C77F6EAC93}" name="Twin_children" dataDxfId="2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53C7B8A-290B-4117-BC42-B7853892E7AB}" name="Table28" displayName="Table28" ref="A1:F407" totalsRowShown="0" headerRowDxfId="23" dataDxfId="22">
  <autoFilter ref="A1:F407" xr:uid="{F53C7B8A-290B-4117-BC42-B7853892E7AB}"/>
  <tableColumns count="6">
    <tableColumn id="1" xr3:uid="{2E9D8128-1FB0-4C3E-A9AF-FE1C1D21284A}" name="Country" dataDxfId="21"/>
    <tableColumn id="2" xr3:uid="{EC6D611B-7775-4C4E-B1D4-A36A0845364F}" name="Source" dataDxfId="20"/>
    <tableColumn id="3" xr3:uid="{80B4B1C5-F8D7-4C0B-8956-134E39DE0957}" name="Year" dataDxfId="19"/>
    <tableColumn id="4" xr3:uid="{307D2F40-3882-4C1C-A86C-258EC83A2E61}" name="Singletons" dataDxfId="18"/>
    <tableColumn id="5" xr3:uid="{C8988DE5-6AAA-4930-A2E2-4E0D30E21BE3}" name="Twin_deliveries" dataDxfId="17"/>
    <tableColumn id="6" xr3:uid="{F4B1A403-16CC-4EB4-A3C3-4C7CE9190753}" name="Twin_children" dataDxfId="1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47C14A6-1F9C-4F0F-99E8-79F0FD2C98C4}" name="Table29" displayName="Table29" ref="A1:F41" totalsRowShown="0" headerRowDxfId="15" dataDxfId="14">
  <autoFilter ref="A1:F41" xr:uid="{847C14A6-1F9C-4F0F-99E8-79F0FD2C98C4}"/>
  <tableColumns count="6">
    <tableColumn id="1" xr3:uid="{67E42C59-E857-42C5-A7A2-473690ECDE21}" name="Country" dataDxfId="13"/>
    <tableColumn id="2" xr3:uid="{471E888E-34FF-4D24-85C7-6E1E45E4DE2D}" name="Source" dataDxfId="12"/>
    <tableColumn id="3" xr3:uid="{25F8DF98-5CCD-4AF7-A078-2996DB3E067C}" name="Year" dataDxfId="11"/>
    <tableColumn id="4" xr3:uid="{AD3B8A68-7606-4CA3-AA47-7D58FAEEA2A7}" name="Singletons" dataDxfId="10"/>
    <tableColumn id="5" xr3:uid="{400157EA-30E4-4B89-8FB5-4159FCAA7B7E}" name="Twin_deliveries" dataDxfId="9"/>
    <tableColumn id="6" xr3:uid="{80A635BB-5A84-440C-8D14-1E5123CCCA56}" name="Twin_children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4F0A832-A17E-4286-AB4E-B814EFC36ECD}" name="Table30" displayName="Table30" ref="A1:F107" totalsRowShown="0" headerRowDxfId="7" dataDxfId="6">
  <autoFilter ref="A1:F107" xr:uid="{64F0A832-A17E-4286-AB4E-B814EFC36ECD}"/>
  <tableColumns count="6">
    <tableColumn id="1" xr3:uid="{B5C68575-B4BB-43B3-A8BA-B173760C69FC}" name="Country" dataDxfId="5"/>
    <tableColumn id="2" xr3:uid="{7543CC99-B41D-4A3B-AACF-CE3C17FB2C15}" name="Source" dataDxfId="4"/>
    <tableColumn id="3" xr3:uid="{F59E6D76-82FA-4002-A065-7C881DDD3751}" name="Year" dataDxfId="3"/>
    <tableColumn id="4" xr3:uid="{0627B599-F3B0-4E39-B7BA-0D9C9F8F9055}" name="Singletons" dataDxfId="2"/>
    <tableColumn id="5" xr3:uid="{3F674534-DB72-4454-89CF-D916859A0815}" name="Twin_deliveries" dataDxfId="1"/>
    <tableColumn id="6" xr3:uid="{BC94871A-CCF2-408D-9DFC-AFB8E220CDB9}" name="Twin_childr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CD95-9314-4678-9386-616FFDEEE462}">
  <dimension ref="A1:F4514"/>
  <sheetViews>
    <sheetView tabSelected="1" topLeftCell="A361" zoomScale="70" zoomScaleNormal="70" workbookViewId="0">
      <selection activeCell="F377" sqref="A2:F4514"/>
    </sheetView>
  </sheetViews>
  <sheetFormatPr defaultRowHeight="14.5" x14ac:dyDescent="0.35"/>
  <cols>
    <col min="1" max="1" width="17.90625" bestFit="1" customWidth="1"/>
    <col min="2" max="2" width="16.1796875" bestFit="1" customWidth="1"/>
    <col min="3" max="3" width="6.81640625" bestFit="1" customWidth="1"/>
    <col min="4" max="4" width="16.08984375" bestFit="1" customWidth="1"/>
    <col min="5" max="5" width="14.81640625" bestFit="1" customWidth="1"/>
    <col min="6" max="6" width="11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35">
      <c r="A2" t="s">
        <v>3</v>
      </c>
      <c r="B2" t="s">
        <v>4</v>
      </c>
      <c r="C2">
        <v>1907</v>
      </c>
    </row>
    <row r="3" spans="1:6" x14ac:dyDescent="0.35">
      <c r="A3" t="s">
        <v>3</v>
      </c>
      <c r="B3" t="s">
        <v>4</v>
      </c>
      <c r="C3">
        <v>1908</v>
      </c>
    </row>
    <row r="4" spans="1:6" x14ac:dyDescent="0.35">
      <c r="A4" t="s">
        <v>3</v>
      </c>
      <c r="B4" t="s">
        <v>4</v>
      </c>
      <c r="C4">
        <v>1909</v>
      </c>
    </row>
    <row r="5" spans="1:6" x14ac:dyDescent="0.35">
      <c r="A5" t="s">
        <v>3</v>
      </c>
      <c r="B5" t="s">
        <v>4</v>
      </c>
      <c r="C5">
        <v>1910</v>
      </c>
    </row>
    <row r="6" spans="1:6" x14ac:dyDescent="0.35">
      <c r="A6" t="s">
        <v>3</v>
      </c>
      <c r="B6" t="s">
        <v>4</v>
      </c>
      <c r="C6">
        <v>1911</v>
      </c>
    </row>
    <row r="7" spans="1:6" x14ac:dyDescent="0.35">
      <c r="A7" t="s">
        <v>3</v>
      </c>
      <c r="B7" t="s">
        <v>4</v>
      </c>
      <c r="C7">
        <v>1912</v>
      </c>
    </row>
    <row r="8" spans="1:6" x14ac:dyDescent="0.35">
      <c r="A8" t="s">
        <v>3</v>
      </c>
      <c r="B8" t="s">
        <v>4</v>
      </c>
      <c r="C8">
        <v>1913</v>
      </c>
    </row>
    <row r="9" spans="1:6" x14ac:dyDescent="0.35">
      <c r="A9" t="s">
        <v>3</v>
      </c>
      <c r="B9" t="s">
        <v>4</v>
      </c>
      <c r="C9">
        <v>1914</v>
      </c>
    </row>
    <row r="10" spans="1:6" x14ac:dyDescent="0.35">
      <c r="A10" t="s">
        <v>3</v>
      </c>
      <c r="B10" t="s">
        <v>4</v>
      </c>
      <c r="C10">
        <v>1915</v>
      </c>
    </row>
    <row r="11" spans="1:6" x14ac:dyDescent="0.35">
      <c r="A11" t="s">
        <v>3</v>
      </c>
      <c r="B11" t="s">
        <v>4</v>
      </c>
      <c r="C11">
        <v>1916</v>
      </c>
    </row>
    <row r="12" spans="1:6" x14ac:dyDescent="0.35">
      <c r="A12" t="s">
        <v>3</v>
      </c>
      <c r="B12" t="s">
        <v>4</v>
      </c>
      <c r="C12">
        <v>1917</v>
      </c>
    </row>
    <row r="13" spans="1:6" x14ac:dyDescent="0.35">
      <c r="A13" t="s">
        <v>3</v>
      </c>
      <c r="B13" t="s">
        <v>4</v>
      </c>
      <c r="C13">
        <v>1918</v>
      </c>
    </row>
    <row r="14" spans="1:6" x14ac:dyDescent="0.35">
      <c r="A14" t="s">
        <v>3</v>
      </c>
      <c r="B14" t="s">
        <v>4</v>
      </c>
      <c r="C14">
        <v>1919</v>
      </c>
    </row>
    <row r="15" spans="1:6" x14ac:dyDescent="0.35">
      <c r="A15" t="s">
        <v>3</v>
      </c>
      <c r="B15" t="s">
        <v>4</v>
      </c>
      <c r="C15">
        <v>1920</v>
      </c>
    </row>
    <row r="16" spans="1:6" x14ac:dyDescent="0.35">
      <c r="A16" t="s">
        <v>3</v>
      </c>
      <c r="B16" t="s">
        <v>4</v>
      </c>
      <c r="C16">
        <v>1921</v>
      </c>
    </row>
    <row r="17" spans="1:6" x14ac:dyDescent="0.35">
      <c r="A17" t="s">
        <v>3</v>
      </c>
      <c r="B17" t="s">
        <v>4</v>
      </c>
      <c r="C17">
        <v>1922</v>
      </c>
    </row>
    <row r="18" spans="1:6" x14ac:dyDescent="0.35">
      <c r="A18" t="s">
        <v>3</v>
      </c>
      <c r="B18" t="s">
        <v>4</v>
      </c>
      <c r="C18">
        <v>1923</v>
      </c>
    </row>
    <row r="19" spans="1:6" x14ac:dyDescent="0.35">
      <c r="A19" t="s">
        <v>3</v>
      </c>
      <c r="B19" t="s">
        <v>4</v>
      </c>
      <c r="C19">
        <v>1924</v>
      </c>
    </row>
    <row r="20" spans="1:6" x14ac:dyDescent="0.35">
      <c r="A20" t="s">
        <v>3</v>
      </c>
      <c r="B20" t="s">
        <v>4</v>
      </c>
      <c r="C20">
        <v>1925</v>
      </c>
    </row>
    <row r="21" spans="1:6" x14ac:dyDescent="0.35">
      <c r="A21" t="s">
        <v>3</v>
      </c>
      <c r="B21" t="s">
        <v>4</v>
      </c>
      <c r="C21">
        <v>1926</v>
      </c>
    </row>
    <row r="22" spans="1:6" x14ac:dyDescent="0.35">
      <c r="A22" t="s">
        <v>3</v>
      </c>
      <c r="B22" t="s">
        <v>4</v>
      </c>
      <c r="C22">
        <v>1927</v>
      </c>
    </row>
    <row r="23" spans="1:6" x14ac:dyDescent="0.35">
      <c r="A23" t="s">
        <v>3</v>
      </c>
      <c r="B23" t="s">
        <v>4</v>
      </c>
      <c r="C23">
        <v>1928</v>
      </c>
    </row>
    <row r="24" spans="1:6" x14ac:dyDescent="0.35">
      <c r="A24" t="s">
        <v>3</v>
      </c>
      <c r="B24" t="s">
        <v>4</v>
      </c>
      <c r="C24">
        <v>1929</v>
      </c>
    </row>
    <row r="25" spans="1:6" x14ac:dyDescent="0.35">
      <c r="A25" t="s">
        <v>3</v>
      </c>
      <c r="B25" t="s">
        <v>4</v>
      </c>
      <c r="C25">
        <v>1930</v>
      </c>
    </row>
    <row r="26" spans="1:6" x14ac:dyDescent="0.35">
      <c r="A26" t="s">
        <v>3</v>
      </c>
      <c r="B26" t="s">
        <v>4</v>
      </c>
      <c r="C26">
        <v>1931</v>
      </c>
    </row>
    <row r="27" spans="1:6" x14ac:dyDescent="0.35">
      <c r="A27" t="s">
        <v>3</v>
      </c>
      <c r="B27" t="s">
        <v>4</v>
      </c>
      <c r="C27">
        <v>1932</v>
      </c>
    </row>
    <row r="28" spans="1:6" x14ac:dyDescent="0.35">
      <c r="A28" t="s">
        <v>3</v>
      </c>
      <c r="B28" t="s">
        <v>4</v>
      </c>
      <c r="C28">
        <v>1933</v>
      </c>
    </row>
    <row r="29" spans="1:6" x14ac:dyDescent="0.35">
      <c r="A29" t="s">
        <v>3</v>
      </c>
      <c r="B29" t="s">
        <v>4</v>
      </c>
      <c r="C29">
        <v>1934</v>
      </c>
    </row>
    <row r="30" spans="1:6" x14ac:dyDescent="0.35">
      <c r="A30" t="s">
        <v>3</v>
      </c>
      <c r="B30" t="s">
        <v>4</v>
      </c>
      <c r="C30">
        <v>1935</v>
      </c>
    </row>
    <row r="31" spans="1:6" x14ac:dyDescent="0.35">
      <c r="A31" t="s">
        <v>3</v>
      </c>
      <c r="B31" t="s">
        <v>4</v>
      </c>
      <c r="C31">
        <v>1936</v>
      </c>
    </row>
    <row r="32" spans="1:6" x14ac:dyDescent="0.35">
      <c r="A32" t="s">
        <v>3</v>
      </c>
      <c r="B32" t="s">
        <v>5</v>
      </c>
      <c r="C32">
        <v>1937</v>
      </c>
      <c r="D32">
        <v>1294</v>
      </c>
      <c r="E32">
        <v>2588</v>
      </c>
      <c r="F32">
        <v>116595</v>
      </c>
    </row>
    <row r="33" spans="1:6" x14ac:dyDescent="0.35">
      <c r="A33" t="s">
        <v>3</v>
      </c>
      <c r="B33" t="s">
        <v>5</v>
      </c>
      <c r="C33">
        <v>1938</v>
      </c>
      <c r="D33">
        <v>1239</v>
      </c>
      <c r="E33">
        <v>2478</v>
      </c>
      <c r="F33">
        <v>117999</v>
      </c>
    </row>
    <row r="34" spans="1:6" x14ac:dyDescent="0.35">
      <c r="A34" t="s">
        <v>3</v>
      </c>
      <c r="B34" t="s">
        <v>5</v>
      </c>
      <c r="C34">
        <v>1939</v>
      </c>
      <c r="D34">
        <v>1265</v>
      </c>
      <c r="E34">
        <v>2530</v>
      </c>
      <c r="F34">
        <v>120377</v>
      </c>
    </row>
    <row r="35" spans="1:6" x14ac:dyDescent="0.35">
      <c r="A35" t="s">
        <v>3</v>
      </c>
      <c r="B35" t="s">
        <v>5</v>
      </c>
      <c r="C35">
        <v>1940</v>
      </c>
      <c r="D35">
        <v>1271</v>
      </c>
      <c r="E35">
        <v>2542</v>
      </c>
      <c r="F35">
        <v>123850</v>
      </c>
    </row>
    <row r="36" spans="1:6" x14ac:dyDescent="0.35">
      <c r="A36" t="s">
        <v>3</v>
      </c>
      <c r="B36" t="s">
        <v>5</v>
      </c>
      <c r="C36">
        <v>1941</v>
      </c>
      <c r="D36">
        <v>1438</v>
      </c>
      <c r="E36">
        <v>2876</v>
      </c>
      <c r="F36">
        <v>131692</v>
      </c>
    </row>
    <row r="37" spans="1:6" x14ac:dyDescent="0.35">
      <c r="A37" t="s">
        <v>3</v>
      </c>
      <c r="B37" t="s">
        <v>5</v>
      </c>
      <c r="C37">
        <v>1942</v>
      </c>
      <c r="D37">
        <v>1465</v>
      </c>
      <c r="E37">
        <v>2926</v>
      </c>
      <c r="F37">
        <v>133802</v>
      </c>
    </row>
    <row r="38" spans="1:6" x14ac:dyDescent="0.35">
      <c r="A38" t="s">
        <v>3</v>
      </c>
      <c r="B38" t="s">
        <v>5</v>
      </c>
      <c r="C38">
        <v>1943</v>
      </c>
      <c r="D38">
        <v>1612</v>
      </c>
      <c r="E38">
        <v>3224</v>
      </c>
      <c r="F38">
        <v>146114</v>
      </c>
    </row>
    <row r="39" spans="1:6" x14ac:dyDescent="0.35">
      <c r="A39" t="s">
        <v>3</v>
      </c>
      <c r="B39" t="s">
        <v>5</v>
      </c>
      <c r="C39">
        <v>1944</v>
      </c>
      <c r="D39">
        <v>1778</v>
      </c>
      <c r="E39">
        <v>3556</v>
      </c>
      <c r="F39">
        <v>149828</v>
      </c>
    </row>
    <row r="40" spans="1:6" x14ac:dyDescent="0.35">
      <c r="A40" t="s">
        <v>3</v>
      </c>
      <c r="B40" t="s">
        <v>5</v>
      </c>
      <c r="C40">
        <v>1945</v>
      </c>
      <c r="D40">
        <v>1782</v>
      </c>
      <c r="E40">
        <v>3564</v>
      </c>
      <c r="F40">
        <v>157036</v>
      </c>
    </row>
    <row r="41" spans="1:6" x14ac:dyDescent="0.35">
      <c r="A41" t="s">
        <v>3</v>
      </c>
      <c r="B41" t="s">
        <v>5</v>
      </c>
      <c r="C41">
        <v>1946</v>
      </c>
      <c r="D41">
        <v>2014</v>
      </c>
      <c r="E41">
        <v>4028</v>
      </c>
      <c r="F41">
        <v>172392</v>
      </c>
    </row>
    <row r="42" spans="1:6" x14ac:dyDescent="0.35">
      <c r="A42" t="s">
        <v>3</v>
      </c>
      <c r="B42" t="s">
        <v>5</v>
      </c>
      <c r="C42">
        <v>1947</v>
      </c>
      <c r="D42">
        <v>2008</v>
      </c>
      <c r="E42">
        <v>4016</v>
      </c>
      <c r="F42">
        <v>178419</v>
      </c>
    </row>
    <row r="43" spans="1:6" x14ac:dyDescent="0.35">
      <c r="A43" t="s">
        <v>3</v>
      </c>
      <c r="B43" t="s">
        <v>5</v>
      </c>
      <c r="C43">
        <v>1948</v>
      </c>
      <c r="D43">
        <v>1923</v>
      </c>
      <c r="E43">
        <v>3846</v>
      </c>
      <c r="F43">
        <v>174167</v>
      </c>
    </row>
    <row r="44" spans="1:6" x14ac:dyDescent="0.35">
      <c r="A44" t="s">
        <v>3</v>
      </c>
      <c r="B44" t="s">
        <v>5</v>
      </c>
      <c r="C44">
        <v>1949</v>
      </c>
      <c r="D44">
        <v>2021</v>
      </c>
      <c r="E44">
        <v>4042</v>
      </c>
      <c r="F44">
        <v>177259</v>
      </c>
    </row>
    <row r="45" spans="1:6" x14ac:dyDescent="0.35">
      <c r="A45" t="s">
        <v>3</v>
      </c>
      <c r="B45" t="s">
        <v>5</v>
      </c>
      <c r="C45">
        <v>1950</v>
      </c>
      <c r="D45">
        <v>2217</v>
      </c>
      <c r="E45">
        <v>4434</v>
      </c>
      <c r="F45">
        <v>186198</v>
      </c>
    </row>
    <row r="46" spans="1:6" x14ac:dyDescent="0.35">
      <c r="A46" t="s">
        <v>3</v>
      </c>
      <c r="B46" t="s">
        <v>5</v>
      </c>
      <c r="C46">
        <v>1951</v>
      </c>
      <c r="D46">
        <v>2230</v>
      </c>
      <c r="E46">
        <v>4460</v>
      </c>
      <c r="F46">
        <v>188907</v>
      </c>
    </row>
    <row r="47" spans="1:6" x14ac:dyDescent="0.35">
      <c r="A47" t="s">
        <v>3</v>
      </c>
      <c r="B47" t="s">
        <v>5</v>
      </c>
      <c r="C47">
        <v>1952</v>
      </c>
      <c r="D47">
        <v>2310</v>
      </c>
      <c r="E47">
        <v>4620</v>
      </c>
      <c r="F47">
        <v>197097</v>
      </c>
    </row>
    <row r="48" spans="1:6" x14ac:dyDescent="0.35">
      <c r="A48" t="s">
        <v>3</v>
      </c>
      <c r="B48" t="s">
        <v>5</v>
      </c>
      <c r="C48">
        <v>1953</v>
      </c>
      <c r="D48">
        <v>2470</v>
      </c>
      <c r="E48">
        <v>4940</v>
      </c>
      <c r="F48">
        <v>197373</v>
      </c>
    </row>
    <row r="49" spans="1:6" x14ac:dyDescent="0.35">
      <c r="A49" t="s">
        <v>3</v>
      </c>
      <c r="B49" t="s">
        <v>5</v>
      </c>
      <c r="C49">
        <v>1954</v>
      </c>
      <c r="D49">
        <v>2344</v>
      </c>
      <c r="E49">
        <v>4688</v>
      </c>
      <c r="F49">
        <v>197581</v>
      </c>
    </row>
    <row r="50" spans="1:6" x14ac:dyDescent="0.35">
      <c r="A50" t="s">
        <v>3</v>
      </c>
      <c r="B50" t="s">
        <v>5</v>
      </c>
      <c r="C50">
        <v>1955</v>
      </c>
      <c r="D50">
        <v>2369</v>
      </c>
      <c r="E50">
        <v>4738</v>
      </c>
      <c r="F50">
        <v>202969</v>
      </c>
    </row>
    <row r="51" spans="1:6" x14ac:dyDescent="0.35">
      <c r="A51" t="s">
        <v>3</v>
      </c>
      <c r="B51" t="s">
        <v>5</v>
      </c>
      <c r="C51">
        <v>1956</v>
      </c>
      <c r="D51">
        <v>2442</v>
      </c>
      <c r="E51">
        <v>4884</v>
      </c>
      <c r="F51">
        <v>207282</v>
      </c>
    </row>
    <row r="52" spans="1:6" x14ac:dyDescent="0.35">
      <c r="A52" t="s">
        <v>3</v>
      </c>
      <c r="B52" t="s">
        <v>5</v>
      </c>
      <c r="C52">
        <v>1957</v>
      </c>
      <c r="D52">
        <v>2495</v>
      </c>
      <c r="E52">
        <v>4990</v>
      </c>
      <c r="F52">
        <v>215370</v>
      </c>
    </row>
    <row r="53" spans="1:6" x14ac:dyDescent="0.35">
      <c r="A53" t="s">
        <v>3</v>
      </c>
      <c r="B53" t="s">
        <v>5</v>
      </c>
      <c r="C53">
        <v>1958</v>
      </c>
      <c r="D53">
        <v>2599</v>
      </c>
      <c r="E53">
        <v>5198</v>
      </c>
      <c r="F53">
        <v>217298</v>
      </c>
    </row>
    <row r="54" spans="1:6" x14ac:dyDescent="0.35">
      <c r="A54" t="s">
        <v>3</v>
      </c>
      <c r="B54" t="s">
        <v>5</v>
      </c>
      <c r="C54">
        <v>1959</v>
      </c>
      <c r="D54">
        <v>2611</v>
      </c>
      <c r="E54">
        <v>5222</v>
      </c>
      <c r="F54">
        <v>221789</v>
      </c>
    </row>
    <row r="55" spans="1:6" x14ac:dyDescent="0.35">
      <c r="A55" t="s">
        <v>3</v>
      </c>
      <c r="B55" t="s">
        <v>5</v>
      </c>
      <c r="C55">
        <v>1960</v>
      </c>
      <c r="D55">
        <v>2564</v>
      </c>
      <c r="E55">
        <v>5128</v>
      </c>
      <c r="F55">
        <v>225245</v>
      </c>
    </row>
    <row r="56" spans="1:6" x14ac:dyDescent="0.35">
      <c r="A56" t="s">
        <v>3</v>
      </c>
      <c r="B56" t="s">
        <v>5</v>
      </c>
      <c r="C56">
        <v>1961</v>
      </c>
      <c r="D56">
        <v>2623</v>
      </c>
      <c r="E56">
        <v>5246</v>
      </c>
      <c r="F56">
        <v>234778</v>
      </c>
    </row>
    <row r="57" spans="1:6" x14ac:dyDescent="0.35">
      <c r="A57" t="s">
        <v>3</v>
      </c>
      <c r="B57" t="s">
        <v>5</v>
      </c>
      <c r="C57">
        <v>1962</v>
      </c>
      <c r="D57">
        <v>2575</v>
      </c>
      <c r="E57">
        <v>5150</v>
      </c>
      <c r="F57">
        <v>231921</v>
      </c>
    </row>
    <row r="58" spans="1:6" x14ac:dyDescent="0.35">
      <c r="A58" t="s">
        <v>3</v>
      </c>
      <c r="B58" t="s">
        <v>5</v>
      </c>
      <c r="C58">
        <v>1963</v>
      </c>
      <c r="D58">
        <v>2584</v>
      </c>
      <c r="E58">
        <v>5168</v>
      </c>
      <c r="F58">
        <v>230552</v>
      </c>
    </row>
    <row r="59" spans="1:6" x14ac:dyDescent="0.35">
      <c r="A59" t="s">
        <v>3</v>
      </c>
      <c r="B59" t="s">
        <v>5</v>
      </c>
      <c r="C59">
        <v>1964</v>
      </c>
      <c r="D59">
        <v>2393</v>
      </c>
      <c r="E59">
        <v>4786</v>
      </c>
      <c r="F59">
        <v>224378</v>
      </c>
    </row>
    <row r="60" spans="1:6" x14ac:dyDescent="0.35">
      <c r="A60" t="s">
        <v>3</v>
      </c>
      <c r="B60" t="s">
        <v>5</v>
      </c>
      <c r="C60">
        <v>1965</v>
      </c>
      <c r="D60">
        <v>2371</v>
      </c>
      <c r="E60">
        <v>4742</v>
      </c>
      <c r="F60">
        <v>218109</v>
      </c>
    </row>
    <row r="61" spans="1:6" x14ac:dyDescent="0.35">
      <c r="A61" t="s">
        <v>3</v>
      </c>
      <c r="B61" t="s">
        <v>5</v>
      </c>
      <c r="C61">
        <v>1966</v>
      </c>
      <c r="D61">
        <v>2310</v>
      </c>
      <c r="E61">
        <v>4620</v>
      </c>
      <c r="F61">
        <v>218014</v>
      </c>
    </row>
    <row r="62" spans="1:6" x14ac:dyDescent="0.35">
      <c r="A62" t="s">
        <v>3</v>
      </c>
      <c r="B62" t="s">
        <v>5</v>
      </c>
      <c r="C62">
        <v>1967</v>
      </c>
      <c r="D62">
        <v>2319</v>
      </c>
      <c r="E62">
        <v>4638</v>
      </c>
      <c r="F62">
        <v>224633</v>
      </c>
    </row>
    <row r="63" spans="1:6" x14ac:dyDescent="0.35">
      <c r="A63" t="s">
        <v>3</v>
      </c>
      <c r="B63" t="s">
        <v>5</v>
      </c>
      <c r="C63">
        <v>1968</v>
      </c>
      <c r="D63">
        <v>2472</v>
      </c>
      <c r="E63">
        <v>4944</v>
      </c>
      <c r="F63">
        <v>235957</v>
      </c>
    </row>
    <row r="64" spans="1:6" x14ac:dyDescent="0.35">
      <c r="A64" t="s">
        <v>3</v>
      </c>
      <c r="B64" t="s">
        <v>5</v>
      </c>
      <c r="C64">
        <v>1969</v>
      </c>
      <c r="D64">
        <v>2586</v>
      </c>
      <c r="E64">
        <v>5172</v>
      </c>
      <c r="F64">
        <v>245013</v>
      </c>
    </row>
    <row r="65" spans="1:6" x14ac:dyDescent="0.35">
      <c r="A65" t="s">
        <v>3</v>
      </c>
      <c r="B65" t="s">
        <v>5</v>
      </c>
      <c r="C65">
        <v>1970</v>
      </c>
      <c r="D65">
        <v>2718</v>
      </c>
      <c r="E65">
        <v>5436</v>
      </c>
      <c r="F65">
        <v>252064</v>
      </c>
    </row>
    <row r="66" spans="1:6" x14ac:dyDescent="0.35">
      <c r="A66" t="s">
        <v>3</v>
      </c>
      <c r="B66" t="s">
        <v>5</v>
      </c>
      <c r="C66">
        <v>1971</v>
      </c>
      <c r="D66">
        <v>2779</v>
      </c>
      <c r="E66">
        <v>5558</v>
      </c>
      <c r="F66">
        <v>270838</v>
      </c>
    </row>
    <row r="67" spans="1:6" x14ac:dyDescent="0.35">
      <c r="A67" t="s">
        <v>3</v>
      </c>
      <c r="B67" t="s">
        <v>5</v>
      </c>
      <c r="C67">
        <v>1972</v>
      </c>
      <c r="D67">
        <v>2622</v>
      </c>
      <c r="E67">
        <v>5244</v>
      </c>
      <c r="F67">
        <v>259719</v>
      </c>
    </row>
    <row r="68" spans="1:6" x14ac:dyDescent="0.35">
      <c r="A68" t="s">
        <v>3</v>
      </c>
      <c r="C68">
        <v>1973</v>
      </c>
    </row>
    <row r="69" spans="1:6" x14ac:dyDescent="0.35">
      <c r="A69" t="s">
        <v>3</v>
      </c>
      <c r="B69" t="s">
        <v>5</v>
      </c>
      <c r="C69">
        <v>1974</v>
      </c>
      <c r="D69">
        <v>2367</v>
      </c>
      <c r="E69">
        <v>4734</v>
      </c>
      <c r="F69">
        <v>240437</v>
      </c>
    </row>
    <row r="70" spans="1:6" x14ac:dyDescent="0.35">
      <c r="A70" t="s">
        <v>3</v>
      </c>
      <c r="B70" t="s">
        <v>5</v>
      </c>
      <c r="C70">
        <v>1975</v>
      </c>
      <c r="D70">
        <v>2223</v>
      </c>
      <c r="F70">
        <v>228525</v>
      </c>
    </row>
    <row r="71" spans="1:6" x14ac:dyDescent="0.35">
      <c r="A71" t="s">
        <v>3</v>
      </c>
      <c r="B71" t="s">
        <v>5</v>
      </c>
      <c r="C71">
        <v>1976</v>
      </c>
      <c r="D71">
        <v>2281</v>
      </c>
      <c r="F71">
        <v>223264</v>
      </c>
    </row>
    <row r="72" spans="1:6" x14ac:dyDescent="0.35">
      <c r="A72" t="s">
        <v>3</v>
      </c>
      <c r="B72" t="s">
        <v>5</v>
      </c>
      <c r="C72">
        <v>1977</v>
      </c>
      <c r="D72">
        <v>2020</v>
      </c>
      <c r="F72">
        <v>222223</v>
      </c>
    </row>
    <row r="73" spans="1:6" x14ac:dyDescent="0.35">
      <c r="A73" t="s">
        <v>3</v>
      </c>
      <c r="B73" t="s">
        <v>5</v>
      </c>
      <c r="C73">
        <v>1978</v>
      </c>
      <c r="D73">
        <v>2181</v>
      </c>
      <c r="F73">
        <v>219780</v>
      </c>
    </row>
    <row r="74" spans="1:6" x14ac:dyDescent="0.35">
      <c r="A74" t="s">
        <v>3</v>
      </c>
      <c r="B74" t="s">
        <v>5</v>
      </c>
      <c r="C74">
        <v>1979</v>
      </c>
      <c r="D74">
        <v>2165</v>
      </c>
      <c r="F74">
        <v>218774</v>
      </c>
    </row>
    <row r="75" spans="1:6" x14ac:dyDescent="0.35">
      <c r="A75" t="s">
        <v>3</v>
      </c>
      <c r="B75" t="s">
        <v>5</v>
      </c>
      <c r="C75">
        <v>1980</v>
      </c>
      <c r="D75">
        <v>2219</v>
      </c>
      <c r="F75">
        <v>221069</v>
      </c>
    </row>
    <row r="76" spans="1:6" x14ac:dyDescent="0.35">
      <c r="A76" t="s">
        <v>3</v>
      </c>
      <c r="B76" t="s">
        <v>5</v>
      </c>
      <c r="C76">
        <v>1981</v>
      </c>
      <c r="D76">
        <v>2278</v>
      </c>
      <c r="F76">
        <v>231217</v>
      </c>
    </row>
    <row r="77" spans="1:6" x14ac:dyDescent="0.35">
      <c r="A77" t="s">
        <v>3</v>
      </c>
      <c r="B77" t="s">
        <v>5</v>
      </c>
      <c r="C77">
        <v>1982</v>
      </c>
      <c r="D77">
        <v>2443</v>
      </c>
      <c r="F77">
        <v>234978</v>
      </c>
    </row>
    <row r="78" spans="1:6" x14ac:dyDescent="0.35">
      <c r="A78" t="s">
        <v>3</v>
      </c>
      <c r="B78" t="s">
        <v>5</v>
      </c>
      <c r="C78">
        <v>1983</v>
      </c>
      <c r="D78">
        <v>2420</v>
      </c>
      <c r="F78">
        <v>237652</v>
      </c>
    </row>
    <row r="79" spans="1:6" x14ac:dyDescent="0.35">
      <c r="A79" t="s">
        <v>3</v>
      </c>
      <c r="B79" t="s">
        <v>5</v>
      </c>
      <c r="C79">
        <v>1984</v>
      </c>
      <c r="D79">
        <v>2359</v>
      </c>
      <c r="F79">
        <v>229248</v>
      </c>
    </row>
    <row r="80" spans="1:6" x14ac:dyDescent="0.35">
      <c r="A80" t="s">
        <v>3</v>
      </c>
      <c r="B80" t="s">
        <v>5</v>
      </c>
      <c r="C80">
        <v>1985</v>
      </c>
      <c r="D80">
        <v>2622</v>
      </c>
      <c r="F80">
        <v>241999</v>
      </c>
    </row>
    <row r="81" spans="1:6" x14ac:dyDescent="0.35">
      <c r="A81" t="s">
        <v>3</v>
      </c>
      <c r="B81" t="s">
        <v>5</v>
      </c>
      <c r="C81">
        <v>1986</v>
      </c>
      <c r="D81">
        <v>2636</v>
      </c>
      <c r="F81">
        <v>238011</v>
      </c>
    </row>
    <row r="82" spans="1:6" x14ac:dyDescent="0.35">
      <c r="A82" t="s">
        <v>3</v>
      </c>
      <c r="B82" t="s">
        <v>5</v>
      </c>
      <c r="C82">
        <v>1987</v>
      </c>
      <c r="D82">
        <v>2594</v>
      </c>
      <c r="F82">
        <v>238612</v>
      </c>
    </row>
    <row r="83" spans="1:6" x14ac:dyDescent="0.35">
      <c r="A83" t="s">
        <v>3</v>
      </c>
      <c r="B83" t="s">
        <v>5</v>
      </c>
      <c r="C83">
        <v>1988</v>
      </c>
      <c r="D83">
        <v>2871</v>
      </c>
      <c r="F83">
        <v>240228</v>
      </c>
    </row>
    <row r="84" spans="1:6" x14ac:dyDescent="0.35">
      <c r="A84" t="s">
        <v>3</v>
      </c>
      <c r="B84" t="s">
        <v>5</v>
      </c>
      <c r="C84">
        <v>1989</v>
      </c>
      <c r="D84">
        <v>3064</v>
      </c>
      <c r="F84">
        <v>244452</v>
      </c>
    </row>
    <row r="85" spans="1:6" x14ac:dyDescent="0.35">
      <c r="A85" t="s">
        <v>3</v>
      </c>
      <c r="B85" t="s">
        <v>5</v>
      </c>
      <c r="C85">
        <v>1990</v>
      </c>
      <c r="D85">
        <v>3074</v>
      </c>
      <c r="F85">
        <v>256267</v>
      </c>
    </row>
    <row r="86" spans="1:6" x14ac:dyDescent="0.35">
      <c r="A86" t="s">
        <v>3</v>
      </c>
      <c r="B86" t="s">
        <v>5</v>
      </c>
      <c r="C86">
        <v>1991</v>
      </c>
      <c r="D86">
        <v>3266</v>
      </c>
      <c r="F86">
        <v>250506</v>
      </c>
    </row>
    <row r="87" spans="1:6" x14ac:dyDescent="0.35">
      <c r="A87" t="s">
        <v>3</v>
      </c>
      <c r="B87" t="s">
        <v>5</v>
      </c>
      <c r="C87">
        <v>1992</v>
      </c>
      <c r="D87">
        <v>3315</v>
      </c>
      <c r="F87">
        <v>257242</v>
      </c>
    </row>
    <row r="88" spans="1:6" x14ac:dyDescent="0.35">
      <c r="A88" t="s">
        <v>3</v>
      </c>
      <c r="B88" t="s">
        <v>5</v>
      </c>
      <c r="C88">
        <v>1993</v>
      </c>
      <c r="D88">
        <v>3399</v>
      </c>
      <c r="F88">
        <v>253206</v>
      </c>
    </row>
    <row r="89" spans="1:6" x14ac:dyDescent="0.35">
      <c r="A89" t="s">
        <v>3</v>
      </c>
      <c r="B89" t="s">
        <v>5</v>
      </c>
      <c r="C89">
        <v>1994</v>
      </c>
      <c r="D89">
        <v>3409</v>
      </c>
      <c r="F89">
        <v>251055</v>
      </c>
    </row>
    <row r="90" spans="1:6" x14ac:dyDescent="0.35">
      <c r="A90" t="s">
        <v>3</v>
      </c>
      <c r="B90" t="s">
        <v>5</v>
      </c>
      <c r="C90">
        <v>1995</v>
      </c>
      <c r="D90">
        <v>3359</v>
      </c>
      <c r="F90">
        <v>249249</v>
      </c>
    </row>
    <row r="91" spans="1:6" x14ac:dyDescent="0.35">
      <c r="A91" t="s">
        <v>3</v>
      </c>
      <c r="B91" t="s">
        <v>5</v>
      </c>
      <c r="C91">
        <v>1996</v>
      </c>
      <c r="D91">
        <v>3345</v>
      </c>
      <c r="F91">
        <v>246914</v>
      </c>
    </row>
    <row r="92" spans="1:6" x14ac:dyDescent="0.35">
      <c r="A92" t="s">
        <v>3</v>
      </c>
      <c r="B92" t="s">
        <v>5</v>
      </c>
      <c r="C92">
        <v>1997</v>
      </c>
      <c r="D92">
        <v>3450</v>
      </c>
      <c r="F92">
        <v>244689</v>
      </c>
    </row>
    <row r="93" spans="1:6" x14ac:dyDescent="0.35">
      <c r="A93" t="s">
        <v>3</v>
      </c>
      <c r="B93" t="s">
        <v>5</v>
      </c>
      <c r="C93">
        <v>1998</v>
      </c>
      <c r="D93">
        <v>3592</v>
      </c>
      <c r="F93">
        <v>242208</v>
      </c>
    </row>
    <row r="94" spans="1:6" x14ac:dyDescent="0.35">
      <c r="A94" t="s">
        <v>3</v>
      </c>
      <c r="B94" t="s">
        <v>5</v>
      </c>
      <c r="C94">
        <v>1999</v>
      </c>
      <c r="D94">
        <v>3630</v>
      </c>
      <c r="F94">
        <v>241370</v>
      </c>
    </row>
    <row r="95" spans="1:6" x14ac:dyDescent="0.35">
      <c r="A95" t="s">
        <v>3</v>
      </c>
      <c r="B95" t="s">
        <v>5</v>
      </c>
      <c r="C95">
        <v>2000</v>
      </c>
      <c r="D95">
        <v>3800</v>
      </c>
      <c r="F95">
        <v>241795</v>
      </c>
    </row>
    <row r="96" spans="1:6" x14ac:dyDescent="0.35">
      <c r="A96" t="s">
        <v>3</v>
      </c>
      <c r="B96" t="s">
        <v>5</v>
      </c>
      <c r="C96">
        <v>2001</v>
      </c>
      <c r="D96">
        <v>3938</v>
      </c>
      <c r="F96">
        <v>238312</v>
      </c>
    </row>
    <row r="97" spans="1:6" x14ac:dyDescent="0.35">
      <c r="A97" t="s">
        <v>3</v>
      </c>
      <c r="B97" t="s">
        <v>5</v>
      </c>
      <c r="C97">
        <v>2002</v>
      </c>
      <c r="D97">
        <v>4070</v>
      </c>
      <c r="F97">
        <v>242668</v>
      </c>
    </row>
    <row r="98" spans="1:6" x14ac:dyDescent="0.35">
      <c r="A98" t="s">
        <v>3</v>
      </c>
      <c r="B98" t="s">
        <v>5</v>
      </c>
      <c r="C98">
        <v>2003</v>
      </c>
      <c r="D98">
        <v>3990</v>
      </c>
      <c r="F98">
        <v>243022</v>
      </c>
    </row>
    <row r="99" spans="1:6" x14ac:dyDescent="0.35">
      <c r="A99" t="s">
        <v>3</v>
      </c>
      <c r="B99" t="s">
        <v>5</v>
      </c>
      <c r="C99">
        <v>2004</v>
      </c>
      <c r="D99">
        <v>4105</v>
      </c>
      <c r="F99">
        <v>245861</v>
      </c>
    </row>
    <row r="100" spans="1:6" x14ac:dyDescent="0.35">
      <c r="A100" t="s">
        <v>3</v>
      </c>
      <c r="B100" t="s">
        <v>5</v>
      </c>
      <c r="C100">
        <v>2005</v>
      </c>
      <c r="D100">
        <v>4192</v>
      </c>
      <c r="F100">
        <v>255847</v>
      </c>
    </row>
    <row r="101" spans="1:6" x14ac:dyDescent="0.35">
      <c r="A101" t="s">
        <v>3</v>
      </c>
      <c r="B101" t="s">
        <v>5</v>
      </c>
      <c r="C101">
        <v>2006</v>
      </c>
      <c r="D101">
        <v>4282</v>
      </c>
      <c r="F101">
        <v>261998</v>
      </c>
    </row>
    <row r="102" spans="1:6" x14ac:dyDescent="0.35">
      <c r="A102" t="s">
        <v>3</v>
      </c>
      <c r="B102" t="s">
        <v>5</v>
      </c>
      <c r="C102">
        <v>2007</v>
      </c>
      <c r="D102">
        <v>4390</v>
      </c>
      <c r="F102">
        <v>283143</v>
      </c>
    </row>
    <row r="103" spans="1:6" x14ac:dyDescent="0.35">
      <c r="A103" t="s">
        <v>3</v>
      </c>
      <c r="B103" t="s">
        <v>5</v>
      </c>
      <c r="C103">
        <v>2008</v>
      </c>
      <c r="D103">
        <v>4582</v>
      </c>
      <c r="F103">
        <v>292911</v>
      </c>
    </row>
    <row r="104" spans="1:6" x14ac:dyDescent="0.35">
      <c r="A104" t="s">
        <v>3</v>
      </c>
      <c r="B104" t="s">
        <v>5</v>
      </c>
      <c r="C104">
        <v>2009</v>
      </c>
      <c r="D104">
        <v>4434</v>
      </c>
      <c r="F104">
        <v>292153</v>
      </c>
    </row>
    <row r="105" spans="1:6" x14ac:dyDescent="0.35">
      <c r="A105" t="s">
        <v>3</v>
      </c>
      <c r="B105" t="s">
        <v>5</v>
      </c>
      <c r="C105">
        <v>2010</v>
      </c>
      <c r="D105">
        <v>4541</v>
      </c>
      <c r="F105">
        <v>294049</v>
      </c>
    </row>
    <row r="106" spans="1:6" x14ac:dyDescent="0.35">
      <c r="A106" t="s">
        <v>3</v>
      </c>
      <c r="B106" t="s">
        <v>5</v>
      </c>
      <c r="C106">
        <v>2011</v>
      </c>
      <c r="D106">
        <v>4498</v>
      </c>
      <c r="F106">
        <v>292512</v>
      </c>
    </row>
    <row r="107" spans="1:6" x14ac:dyDescent="0.35">
      <c r="A107" t="s">
        <v>3</v>
      </c>
      <c r="B107" t="s">
        <v>5</v>
      </c>
      <c r="C107">
        <v>2012</v>
      </c>
      <c r="D107">
        <v>4421</v>
      </c>
      <c r="F107">
        <v>300599</v>
      </c>
    </row>
    <row r="108" spans="1:6" x14ac:dyDescent="0.35">
      <c r="A108" t="s">
        <v>3</v>
      </c>
      <c r="B108" t="s">
        <v>5</v>
      </c>
      <c r="C108">
        <v>2013</v>
      </c>
      <c r="D108">
        <v>4475</v>
      </c>
      <c r="F108">
        <v>298984</v>
      </c>
    </row>
    <row r="109" spans="1:6" x14ac:dyDescent="0.35">
      <c r="A109" t="s">
        <v>3</v>
      </c>
      <c r="B109" t="s">
        <v>5</v>
      </c>
      <c r="C109">
        <v>2014</v>
      </c>
      <c r="D109">
        <v>4316</v>
      </c>
      <c r="F109">
        <v>291012</v>
      </c>
    </row>
    <row r="110" spans="1:6" x14ac:dyDescent="0.35">
      <c r="A110" t="s">
        <v>3</v>
      </c>
      <c r="B110" t="s">
        <v>5</v>
      </c>
      <c r="C110">
        <v>2015</v>
      </c>
      <c r="D110">
        <v>4291</v>
      </c>
      <c r="F110">
        <v>296741</v>
      </c>
    </row>
    <row r="111" spans="1:6" x14ac:dyDescent="0.35">
      <c r="A111" t="s">
        <v>3</v>
      </c>
      <c r="B111" t="s">
        <v>5</v>
      </c>
      <c r="C111">
        <v>2016</v>
      </c>
      <c r="D111">
        <v>4497</v>
      </c>
      <c r="F111">
        <v>302088</v>
      </c>
    </row>
    <row r="112" spans="1:6" x14ac:dyDescent="0.35">
      <c r="A112" t="s">
        <v>3</v>
      </c>
      <c r="B112" t="s">
        <v>5</v>
      </c>
      <c r="C112">
        <v>2017</v>
      </c>
      <c r="D112">
        <v>4468</v>
      </c>
      <c r="F112">
        <v>300209</v>
      </c>
    </row>
    <row r="113" spans="1:6" x14ac:dyDescent="0.35">
      <c r="A113" t="s">
        <v>3</v>
      </c>
      <c r="B113" t="s">
        <v>5</v>
      </c>
      <c r="C113">
        <v>2018</v>
      </c>
      <c r="D113">
        <v>4437</v>
      </c>
      <c r="F113">
        <v>306156</v>
      </c>
    </row>
    <row r="114" spans="1:6" x14ac:dyDescent="0.35">
      <c r="A114" t="s">
        <v>3</v>
      </c>
      <c r="B114" t="s">
        <v>5</v>
      </c>
      <c r="C114">
        <v>2019</v>
      </c>
      <c r="D114">
        <v>4446</v>
      </c>
      <c r="F114">
        <v>296963</v>
      </c>
    </row>
    <row r="115" spans="1:6" x14ac:dyDescent="0.35">
      <c r="A115" t="s">
        <v>3</v>
      </c>
      <c r="B115" t="s">
        <v>5</v>
      </c>
      <c r="C115">
        <v>2020</v>
      </c>
      <c r="D115">
        <v>4148</v>
      </c>
      <c r="F115">
        <v>286070</v>
      </c>
    </row>
    <row r="116" spans="1:6" x14ac:dyDescent="0.35">
      <c r="A116" t="s">
        <v>17</v>
      </c>
      <c r="B116" t="s">
        <v>4</v>
      </c>
      <c r="C116">
        <v>1906</v>
      </c>
    </row>
    <row r="117" spans="1:6" x14ac:dyDescent="0.35">
      <c r="A117" t="s">
        <v>17</v>
      </c>
      <c r="B117" t="s">
        <v>4</v>
      </c>
      <c r="C117">
        <v>1907</v>
      </c>
    </row>
    <row r="118" spans="1:6" x14ac:dyDescent="0.35">
      <c r="A118" t="s">
        <v>17</v>
      </c>
      <c r="B118" t="s">
        <v>4</v>
      </c>
      <c r="C118">
        <v>1908</v>
      </c>
    </row>
    <row r="119" spans="1:6" x14ac:dyDescent="0.35">
      <c r="A119" t="s">
        <v>17</v>
      </c>
      <c r="B119" t="s">
        <v>4</v>
      </c>
      <c r="C119">
        <v>1909</v>
      </c>
    </row>
    <row r="120" spans="1:6" x14ac:dyDescent="0.35">
      <c r="A120" t="s">
        <v>17</v>
      </c>
      <c r="B120" t="s">
        <v>4</v>
      </c>
      <c r="C120">
        <v>1910</v>
      </c>
    </row>
    <row r="121" spans="1:6" x14ac:dyDescent="0.35">
      <c r="A121" t="s">
        <v>17</v>
      </c>
      <c r="B121" t="s">
        <v>4</v>
      </c>
      <c r="C121">
        <v>1911</v>
      </c>
    </row>
    <row r="122" spans="1:6" x14ac:dyDescent="0.35">
      <c r="A122" t="s">
        <v>17</v>
      </c>
      <c r="B122" t="s">
        <v>4</v>
      </c>
      <c r="C122">
        <v>1912</v>
      </c>
    </row>
    <row r="123" spans="1:6" x14ac:dyDescent="0.35">
      <c r="A123" t="s">
        <v>17</v>
      </c>
      <c r="B123" t="s">
        <v>4</v>
      </c>
      <c r="C123">
        <v>1913</v>
      </c>
    </row>
    <row r="124" spans="1:6" x14ac:dyDescent="0.35">
      <c r="A124" t="s">
        <v>17</v>
      </c>
      <c r="B124" t="s">
        <v>4</v>
      </c>
      <c r="C124">
        <v>1914</v>
      </c>
    </row>
    <row r="125" spans="1:6" x14ac:dyDescent="0.35">
      <c r="A125" t="s">
        <v>17</v>
      </c>
      <c r="B125" t="s">
        <v>4</v>
      </c>
      <c r="C125">
        <v>1915</v>
      </c>
    </row>
    <row r="126" spans="1:6" x14ac:dyDescent="0.35">
      <c r="A126" t="s">
        <v>17</v>
      </c>
      <c r="B126" t="s">
        <v>4</v>
      </c>
      <c r="C126">
        <v>1916</v>
      </c>
    </row>
    <row r="127" spans="1:6" x14ac:dyDescent="0.35">
      <c r="A127" t="s">
        <v>17</v>
      </c>
      <c r="B127" t="s">
        <v>4</v>
      </c>
      <c r="C127">
        <v>1917</v>
      </c>
    </row>
    <row r="128" spans="1:6" x14ac:dyDescent="0.35">
      <c r="A128" t="s">
        <v>17</v>
      </c>
      <c r="B128" t="s">
        <v>4</v>
      </c>
      <c r="C128">
        <v>1918</v>
      </c>
    </row>
    <row r="129" spans="1:3" x14ac:dyDescent="0.35">
      <c r="A129" t="s">
        <v>17</v>
      </c>
      <c r="B129" t="s">
        <v>4</v>
      </c>
      <c r="C129">
        <v>1919</v>
      </c>
    </row>
    <row r="130" spans="1:3" x14ac:dyDescent="0.35">
      <c r="A130" t="s">
        <v>17</v>
      </c>
      <c r="B130" t="s">
        <v>4</v>
      </c>
      <c r="C130">
        <v>1920</v>
      </c>
    </row>
    <row r="131" spans="1:3" x14ac:dyDescent="0.35">
      <c r="A131" t="s">
        <v>17</v>
      </c>
      <c r="B131" t="s">
        <v>4</v>
      </c>
      <c r="C131">
        <v>1921</v>
      </c>
    </row>
    <row r="132" spans="1:3" x14ac:dyDescent="0.35">
      <c r="A132" t="s">
        <v>17</v>
      </c>
      <c r="B132" t="s">
        <v>4</v>
      </c>
      <c r="C132">
        <v>1922</v>
      </c>
    </row>
    <row r="133" spans="1:3" x14ac:dyDescent="0.35">
      <c r="A133" t="s">
        <v>17</v>
      </c>
      <c r="B133" t="s">
        <v>4</v>
      </c>
      <c r="C133">
        <v>1923</v>
      </c>
    </row>
    <row r="134" spans="1:3" x14ac:dyDescent="0.35">
      <c r="A134" t="s">
        <v>17</v>
      </c>
      <c r="B134" t="s">
        <v>4</v>
      </c>
      <c r="C134">
        <v>1924</v>
      </c>
    </row>
    <row r="135" spans="1:3" x14ac:dyDescent="0.35">
      <c r="A135" t="s">
        <v>17</v>
      </c>
      <c r="B135" t="s">
        <v>4</v>
      </c>
      <c r="C135">
        <v>1925</v>
      </c>
    </row>
    <row r="136" spans="1:3" x14ac:dyDescent="0.35">
      <c r="A136" t="s">
        <v>17</v>
      </c>
      <c r="B136" t="s">
        <v>4</v>
      </c>
      <c r="C136">
        <v>1926</v>
      </c>
    </row>
    <row r="137" spans="1:3" x14ac:dyDescent="0.35">
      <c r="A137" t="s">
        <v>17</v>
      </c>
      <c r="B137" t="s">
        <v>4</v>
      </c>
      <c r="C137">
        <v>1927</v>
      </c>
    </row>
    <row r="138" spans="1:3" x14ac:dyDescent="0.35">
      <c r="A138" t="s">
        <v>17</v>
      </c>
      <c r="B138" t="s">
        <v>4</v>
      </c>
      <c r="C138">
        <v>1928</v>
      </c>
    </row>
    <row r="139" spans="1:3" x14ac:dyDescent="0.35">
      <c r="A139" t="s">
        <v>17</v>
      </c>
      <c r="B139" t="s">
        <v>4</v>
      </c>
      <c r="C139">
        <v>1929</v>
      </c>
    </row>
    <row r="140" spans="1:3" x14ac:dyDescent="0.35">
      <c r="A140" t="s">
        <v>17</v>
      </c>
      <c r="B140" t="s">
        <v>4</v>
      </c>
      <c r="C140">
        <v>1930</v>
      </c>
    </row>
    <row r="141" spans="1:3" x14ac:dyDescent="0.35">
      <c r="A141" t="s">
        <v>17</v>
      </c>
      <c r="B141" t="s">
        <v>4</v>
      </c>
      <c r="C141">
        <v>1931</v>
      </c>
    </row>
    <row r="142" spans="1:3" x14ac:dyDescent="0.35">
      <c r="A142" t="s">
        <v>17</v>
      </c>
      <c r="B142" t="s">
        <v>4</v>
      </c>
      <c r="C142">
        <v>1932</v>
      </c>
    </row>
    <row r="143" spans="1:3" x14ac:dyDescent="0.35">
      <c r="A143" t="s">
        <v>17</v>
      </c>
      <c r="B143" t="s">
        <v>4</v>
      </c>
      <c r="C143">
        <v>1933</v>
      </c>
    </row>
    <row r="144" spans="1:3" x14ac:dyDescent="0.35">
      <c r="A144" t="s">
        <v>17</v>
      </c>
      <c r="B144" t="s">
        <v>4</v>
      </c>
      <c r="C144">
        <v>1934</v>
      </c>
    </row>
    <row r="145" spans="1:3" x14ac:dyDescent="0.35">
      <c r="A145" t="s">
        <v>17</v>
      </c>
      <c r="B145" t="s">
        <v>4</v>
      </c>
      <c r="C145">
        <v>1935</v>
      </c>
    </row>
    <row r="146" spans="1:3" x14ac:dyDescent="0.35">
      <c r="A146" t="s">
        <v>17</v>
      </c>
      <c r="B146" t="s">
        <v>4</v>
      </c>
      <c r="C146">
        <v>1936</v>
      </c>
    </row>
    <row r="147" spans="1:3" x14ac:dyDescent="0.35">
      <c r="A147" t="s">
        <v>17</v>
      </c>
      <c r="C147">
        <v>1937</v>
      </c>
    </row>
    <row r="148" spans="1:3" x14ac:dyDescent="0.35">
      <c r="A148" t="s">
        <v>17</v>
      </c>
      <c r="C148">
        <v>1938</v>
      </c>
    </row>
    <row r="149" spans="1:3" x14ac:dyDescent="0.35">
      <c r="A149" t="s">
        <v>17</v>
      </c>
      <c r="C149">
        <v>1939</v>
      </c>
    </row>
    <row r="150" spans="1:3" x14ac:dyDescent="0.35">
      <c r="A150" t="s">
        <v>17</v>
      </c>
      <c r="C150">
        <v>1940</v>
      </c>
    </row>
    <row r="151" spans="1:3" x14ac:dyDescent="0.35">
      <c r="A151" t="s">
        <v>17</v>
      </c>
      <c r="C151">
        <v>1941</v>
      </c>
    </row>
    <row r="152" spans="1:3" x14ac:dyDescent="0.35">
      <c r="A152" t="s">
        <v>17</v>
      </c>
      <c r="C152">
        <v>1942</v>
      </c>
    </row>
    <row r="153" spans="1:3" x14ac:dyDescent="0.35">
      <c r="A153" t="s">
        <v>17</v>
      </c>
      <c r="C153">
        <v>1943</v>
      </c>
    </row>
    <row r="154" spans="1:3" x14ac:dyDescent="0.35">
      <c r="A154" t="s">
        <v>17</v>
      </c>
      <c r="C154">
        <v>1944</v>
      </c>
    </row>
    <row r="155" spans="1:3" x14ac:dyDescent="0.35">
      <c r="A155" t="s">
        <v>17</v>
      </c>
      <c r="C155">
        <v>1945</v>
      </c>
    </row>
    <row r="156" spans="1:3" x14ac:dyDescent="0.35">
      <c r="A156" t="s">
        <v>17</v>
      </c>
      <c r="C156">
        <v>1946</v>
      </c>
    </row>
    <row r="157" spans="1:3" x14ac:dyDescent="0.35">
      <c r="A157" t="s">
        <v>17</v>
      </c>
      <c r="C157">
        <v>1947</v>
      </c>
    </row>
    <row r="158" spans="1:3" x14ac:dyDescent="0.35">
      <c r="A158" t="s">
        <v>17</v>
      </c>
      <c r="C158">
        <v>1948</v>
      </c>
    </row>
    <row r="159" spans="1:3" x14ac:dyDescent="0.35">
      <c r="A159" t="s">
        <v>17</v>
      </c>
      <c r="C159">
        <v>1949</v>
      </c>
    </row>
    <row r="160" spans="1:3" x14ac:dyDescent="0.35">
      <c r="A160" t="s">
        <v>17</v>
      </c>
      <c r="C160">
        <v>1950</v>
      </c>
    </row>
    <row r="161" spans="1:4" x14ac:dyDescent="0.35">
      <c r="A161" t="s">
        <v>17</v>
      </c>
      <c r="C161">
        <v>1951</v>
      </c>
    </row>
    <row r="162" spans="1:4" x14ac:dyDescent="0.35">
      <c r="A162" t="s">
        <v>17</v>
      </c>
      <c r="C162">
        <v>1952</v>
      </c>
    </row>
    <row r="163" spans="1:4" x14ac:dyDescent="0.35">
      <c r="A163" t="s">
        <v>17</v>
      </c>
      <c r="C163">
        <v>1953</v>
      </c>
    </row>
    <row r="164" spans="1:4" x14ac:dyDescent="0.35">
      <c r="A164" t="s">
        <v>17</v>
      </c>
      <c r="C164">
        <v>1954</v>
      </c>
    </row>
    <row r="165" spans="1:4" x14ac:dyDescent="0.35">
      <c r="A165" t="s">
        <v>17</v>
      </c>
      <c r="C165">
        <v>1955</v>
      </c>
    </row>
    <row r="166" spans="1:4" x14ac:dyDescent="0.35">
      <c r="A166" t="s">
        <v>17</v>
      </c>
      <c r="C166">
        <v>1956</v>
      </c>
    </row>
    <row r="167" spans="1:4" x14ac:dyDescent="0.35">
      <c r="A167" t="s">
        <v>17</v>
      </c>
      <c r="C167">
        <v>1957</v>
      </c>
    </row>
    <row r="168" spans="1:4" x14ac:dyDescent="0.35">
      <c r="A168" t="s">
        <v>17</v>
      </c>
      <c r="C168">
        <v>1958</v>
      </c>
    </row>
    <row r="169" spans="1:4" x14ac:dyDescent="0.35">
      <c r="A169" t="s">
        <v>17</v>
      </c>
      <c r="C169">
        <v>1959</v>
      </c>
    </row>
    <row r="170" spans="1:4" x14ac:dyDescent="0.35">
      <c r="A170" t="s">
        <v>17</v>
      </c>
      <c r="B170" t="s">
        <v>18</v>
      </c>
      <c r="C170">
        <v>1960</v>
      </c>
      <c r="D170">
        <v>1031</v>
      </c>
    </row>
    <row r="171" spans="1:4" x14ac:dyDescent="0.35">
      <c r="A171" t="s">
        <v>17</v>
      </c>
      <c r="C171">
        <v>1961</v>
      </c>
    </row>
    <row r="172" spans="1:4" x14ac:dyDescent="0.35">
      <c r="A172" t="s">
        <v>17</v>
      </c>
      <c r="C172">
        <v>1962</v>
      </c>
    </row>
    <row r="173" spans="1:4" x14ac:dyDescent="0.35">
      <c r="A173" t="s">
        <v>17</v>
      </c>
      <c r="C173">
        <v>1963</v>
      </c>
    </row>
    <row r="174" spans="1:4" x14ac:dyDescent="0.35">
      <c r="A174" t="s">
        <v>17</v>
      </c>
      <c r="C174">
        <v>1964</v>
      </c>
    </row>
    <row r="175" spans="1:4" x14ac:dyDescent="0.35">
      <c r="A175" t="s">
        <v>17</v>
      </c>
      <c r="C175">
        <v>1965</v>
      </c>
    </row>
    <row r="176" spans="1:4" x14ac:dyDescent="0.35">
      <c r="A176" t="s">
        <v>17</v>
      </c>
      <c r="C176">
        <v>1966</v>
      </c>
    </row>
    <row r="177" spans="1:6" x14ac:dyDescent="0.35">
      <c r="A177" t="s">
        <v>17</v>
      </c>
      <c r="C177">
        <v>1967</v>
      </c>
    </row>
    <row r="178" spans="1:6" x14ac:dyDescent="0.35">
      <c r="A178" t="s">
        <v>17</v>
      </c>
      <c r="C178">
        <v>1968</v>
      </c>
    </row>
    <row r="179" spans="1:6" x14ac:dyDescent="0.35">
      <c r="A179" t="s">
        <v>17</v>
      </c>
      <c r="B179" t="s">
        <v>18</v>
      </c>
      <c r="C179">
        <v>1969</v>
      </c>
      <c r="D179">
        <v>983</v>
      </c>
      <c r="F179">
        <v>101489</v>
      </c>
    </row>
    <row r="180" spans="1:6" x14ac:dyDescent="0.35">
      <c r="A180" t="s">
        <v>17</v>
      </c>
      <c r="B180" t="s">
        <v>18</v>
      </c>
      <c r="C180">
        <v>1970</v>
      </c>
      <c r="D180">
        <v>898</v>
      </c>
      <c r="F180">
        <v>98276</v>
      </c>
    </row>
    <row r="181" spans="1:6" x14ac:dyDescent="0.35">
      <c r="A181" t="s">
        <v>17</v>
      </c>
      <c r="B181" t="s">
        <v>18</v>
      </c>
      <c r="C181">
        <v>1971</v>
      </c>
      <c r="D181">
        <v>914</v>
      </c>
      <c r="F181">
        <v>95243</v>
      </c>
    </row>
    <row r="182" spans="1:6" x14ac:dyDescent="0.35">
      <c r="A182" t="s">
        <v>17</v>
      </c>
      <c r="B182" t="s">
        <v>18</v>
      </c>
      <c r="C182">
        <v>1972</v>
      </c>
      <c r="D182">
        <v>769</v>
      </c>
      <c r="F182">
        <v>90581</v>
      </c>
    </row>
    <row r="183" spans="1:6" x14ac:dyDescent="0.35">
      <c r="A183" t="s">
        <v>17</v>
      </c>
      <c r="B183" t="s">
        <v>18</v>
      </c>
      <c r="C183">
        <v>1973</v>
      </c>
      <c r="D183">
        <v>789</v>
      </c>
      <c r="F183">
        <v>86588</v>
      </c>
    </row>
    <row r="184" spans="1:6" x14ac:dyDescent="0.35">
      <c r="A184" t="s">
        <v>17</v>
      </c>
      <c r="B184" t="s">
        <v>18</v>
      </c>
      <c r="C184">
        <v>1974</v>
      </c>
      <c r="D184">
        <v>755</v>
      </c>
      <c r="F184">
        <v>83591</v>
      </c>
    </row>
    <row r="185" spans="1:6" x14ac:dyDescent="0.35">
      <c r="A185" t="s">
        <v>17</v>
      </c>
      <c r="B185" t="s">
        <v>18</v>
      </c>
      <c r="C185">
        <v>1975</v>
      </c>
      <c r="D185">
        <v>754</v>
      </c>
      <c r="F185">
        <v>77487</v>
      </c>
    </row>
    <row r="186" spans="1:6" x14ac:dyDescent="0.35">
      <c r="A186" t="s">
        <v>17</v>
      </c>
      <c r="B186" t="s">
        <v>18</v>
      </c>
      <c r="C186">
        <v>1976</v>
      </c>
      <c r="D186">
        <v>706</v>
      </c>
      <c r="F186">
        <v>73298</v>
      </c>
    </row>
    <row r="187" spans="1:6" x14ac:dyDescent="0.35">
      <c r="A187" t="s">
        <v>17</v>
      </c>
      <c r="B187" t="s">
        <v>18</v>
      </c>
      <c r="C187">
        <v>1977</v>
      </c>
      <c r="D187">
        <v>694</v>
      </c>
      <c r="F187">
        <v>71830</v>
      </c>
    </row>
    <row r="188" spans="1:6" x14ac:dyDescent="0.35">
      <c r="A188" t="s">
        <v>17</v>
      </c>
      <c r="B188" t="s">
        <v>18</v>
      </c>
      <c r="C188">
        <v>1978</v>
      </c>
      <c r="D188">
        <v>710</v>
      </c>
      <c r="F188">
        <v>70333</v>
      </c>
    </row>
    <row r="189" spans="1:6" x14ac:dyDescent="0.35">
      <c r="A189" t="s">
        <v>17</v>
      </c>
      <c r="B189" t="s">
        <v>18</v>
      </c>
      <c r="C189">
        <v>1979</v>
      </c>
      <c r="D189">
        <v>675</v>
      </c>
      <c r="F189">
        <v>71008</v>
      </c>
    </row>
    <row r="190" spans="1:6" x14ac:dyDescent="0.35">
      <c r="A190" t="s">
        <v>17</v>
      </c>
      <c r="B190" t="s">
        <v>18</v>
      </c>
      <c r="C190">
        <v>1980</v>
      </c>
      <c r="D190">
        <v>747</v>
      </c>
      <c r="F190">
        <v>72486</v>
      </c>
    </row>
    <row r="191" spans="1:6" x14ac:dyDescent="0.35">
      <c r="A191" t="s">
        <v>17</v>
      </c>
      <c r="B191" t="s">
        <v>18</v>
      </c>
      <c r="C191">
        <v>1981</v>
      </c>
      <c r="D191">
        <v>726</v>
      </c>
      <c r="F191">
        <v>72617</v>
      </c>
    </row>
    <row r="192" spans="1:6" x14ac:dyDescent="0.35">
      <c r="A192" t="s">
        <v>17</v>
      </c>
      <c r="B192" t="s">
        <v>18</v>
      </c>
      <c r="C192">
        <v>1982</v>
      </c>
      <c r="D192">
        <v>709</v>
      </c>
      <c r="F192">
        <v>73813</v>
      </c>
    </row>
    <row r="193" spans="1:6" x14ac:dyDescent="0.35">
      <c r="A193" t="s">
        <v>17</v>
      </c>
      <c r="B193" t="s">
        <v>18</v>
      </c>
      <c r="C193">
        <v>1983</v>
      </c>
      <c r="D193">
        <v>714</v>
      </c>
      <c r="F193">
        <v>72554</v>
      </c>
    </row>
    <row r="194" spans="1:6" x14ac:dyDescent="0.35">
      <c r="A194" t="s">
        <v>17</v>
      </c>
      <c r="B194" t="s">
        <v>18</v>
      </c>
      <c r="C194">
        <v>1984</v>
      </c>
      <c r="D194">
        <v>716</v>
      </c>
      <c r="F194">
        <v>73596</v>
      </c>
    </row>
    <row r="195" spans="1:6" x14ac:dyDescent="0.35">
      <c r="A195" t="s">
        <v>17</v>
      </c>
      <c r="B195" t="s">
        <v>18</v>
      </c>
      <c r="C195">
        <v>1985</v>
      </c>
      <c r="D195">
        <v>765</v>
      </c>
      <c r="F195">
        <v>73456</v>
      </c>
    </row>
    <row r="196" spans="1:6" x14ac:dyDescent="0.35">
      <c r="A196" t="s">
        <v>17</v>
      </c>
      <c r="B196" t="s">
        <v>18</v>
      </c>
      <c r="C196">
        <v>1986</v>
      </c>
      <c r="D196">
        <v>800</v>
      </c>
      <c r="F196">
        <v>75000</v>
      </c>
    </row>
    <row r="197" spans="1:6" x14ac:dyDescent="0.35">
      <c r="A197" t="s">
        <v>17</v>
      </c>
      <c r="B197" t="s">
        <v>18</v>
      </c>
      <c r="C197">
        <v>1987</v>
      </c>
      <c r="D197">
        <v>806</v>
      </c>
      <c r="F197">
        <v>75143</v>
      </c>
    </row>
    <row r="198" spans="1:6" x14ac:dyDescent="0.35">
      <c r="A198" t="s">
        <v>17</v>
      </c>
      <c r="B198" t="s">
        <v>18</v>
      </c>
      <c r="C198">
        <v>1988</v>
      </c>
      <c r="D198">
        <v>859</v>
      </c>
      <c r="F198">
        <v>78860</v>
      </c>
    </row>
    <row r="199" spans="1:6" x14ac:dyDescent="0.35">
      <c r="A199" t="s">
        <v>17</v>
      </c>
      <c r="B199" t="s">
        <v>18</v>
      </c>
      <c r="C199">
        <v>1989</v>
      </c>
      <c r="D199">
        <v>962</v>
      </c>
      <c r="F199">
        <v>79524</v>
      </c>
    </row>
    <row r="200" spans="1:6" x14ac:dyDescent="0.35">
      <c r="A200" t="s">
        <v>17</v>
      </c>
      <c r="B200" t="s">
        <v>18</v>
      </c>
      <c r="C200">
        <v>1990</v>
      </c>
      <c r="D200">
        <v>949</v>
      </c>
      <c r="F200">
        <v>82336</v>
      </c>
    </row>
    <row r="201" spans="1:6" x14ac:dyDescent="0.35">
      <c r="A201" t="s">
        <v>17</v>
      </c>
      <c r="B201" t="s">
        <v>18</v>
      </c>
      <c r="C201">
        <v>1991</v>
      </c>
      <c r="D201">
        <v>973</v>
      </c>
      <c r="F201">
        <v>84529</v>
      </c>
    </row>
    <row r="202" spans="1:6" x14ac:dyDescent="0.35">
      <c r="A202" t="s">
        <v>17</v>
      </c>
      <c r="B202" t="s">
        <v>18</v>
      </c>
      <c r="C202">
        <v>1992</v>
      </c>
      <c r="D202">
        <v>1003</v>
      </c>
      <c r="F202">
        <v>85150</v>
      </c>
    </row>
    <row r="203" spans="1:6" x14ac:dyDescent="0.35">
      <c r="A203" t="s">
        <v>17</v>
      </c>
      <c r="B203" t="s">
        <v>18</v>
      </c>
      <c r="C203">
        <v>1993</v>
      </c>
      <c r="D203">
        <v>956</v>
      </c>
      <c r="F203">
        <v>82138</v>
      </c>
    </row>
    <row r="204" spans="1:6" x14ac:dyDescent="0.35">
      <c r="A204" t="s">
        <v>17</v>
      </c>
      <c r="B204" t="s">
        <v>18</v>
      </c>
      <c r="C204">
        <v>1994</v>
      </c>
      <c r="D204">
        <v>994</v>
      </c>
      <c r="F204">
        <v>81206</v>
      </c>
    </row>
    <row r="205" spans="1:6" x14ac:dyDescent="0.35">
      <c r="A205" t="s">
        <v>17</v>
      </c>
      <c r="B205" t="s">
        <v>18</v>
      </c>
      <c r="C205">
        <v>1995</v>
      </c>
      <c r="D205">
        <v>975</v>
      </c>
      <c r="F205">
        <v>80525</v>
      </c>
    </row>
    <row r="206" spans="1:6" x14ac:dyDescent="0.35">
      <c r="A206" t="s">
        <v>17</v>
      </c>
      <c r="B206" t="s">
        <v>18</v>
      </c>
      <c r="C206">
        <v>1996</v>
      </c>
      <c r="D206">
        <v>1063</v>
      </c>
      <c r="F206">
        <v>81090</v>
      </c>
    </row>
    <row r="207" spans="1:6" x14ac:dyDescent="0.35">
      <c r="A207" t="s">
        <v>17</v>
      </c>
      <c r="B207" t="s">
        <v>18</v>
      </c>
      <c r="C207">
        <v>1997</v>
      </c>
      <c r="D207">
        <v>997</v>
      </c>
      <c r="F207">
        <v>78837</v>
      </c>
    </row>
    <row r="208" spans="1:6" x14ac:dyDescent="0.35">
      <c r="A208" t="s">
        <v>17</v>
      </c>
      <c r="B208" t="s">
        <v>18</v>
      </c>
      <c r="C208">
        <v>1998</v>
      </c>
      <c r="D208">
        <v>1037</v>
      </c>
      <c r="F208">
        <v>77108</v>
      </c>
    </row>
    <row r="209" spans="1:6" x14ac:dyDescent="0.35">
      <c r="A209" t="s">
        <v>17</v>
      </c>
      <c r="B209" t="s">
        <v>18</v>
      </c>
      <c r="C209">
        <v>1999</v>
      </c>
      <c r="D209">
        <v>1130</v>
      </c>
      <c r="F209">
        <v>76338</v>
      </c>
    </row>
    <row r="210" spans="1:6" x14ac:dyDescent="0.35">
      <c r="A210" t="s">
        <v>17</v>
      </c>
      <c r="B210" t="s">
        <v>18</v>
      </c>
      <c r="C210">
        <v>2000</v>
      </c>
      <c r="D210">
        <v>1079</v>
      </c>
      <c r="F210">
        <v>76490</v>
      </c>
    </row>
    <row r="211" spans="1:6" x14ac:dyDescent="0.35">
      <c r="A211" t="s">
        <v>17</v>
      </c>
      <c r="B211" t="s">
        <v>18</v>
      </c>
      <c r="C211">
        <v>2001</v>
      </c>
      <c r="D211">
        <v>1045</v>
      </c>
      <c r="F211">
        <v>70402</v>
      </c>
    </row>
    <row r="212" spans="1:6" x14ac:dyDescent="0.35">
      <c r="A212" t="s">
        <v>17</v>
      </c>
      <c r="B212" t="s">
        <v>18</v>
      </c>
      <c r="C212">
        <v>2002</v>
      </c>
      <c r="D212">
        <v>1098</v>
      </c>
      <c r="F212">
        <v>70368</v>
      </c>
    </row>
    <row r="213" spans="1:6" x14ac:dyDescent="0.35">
      <c r="A213" t="s">
        <v>17</v>
      </c>
      <c r="B213" t="s">
        <v>18</v>
      </c>
      <c r="C213">
        <v>2003</v>
      </c>
      <c r="D213">
        <v>1083</v>
      </c>
      <c r="F213">
        <v>69930</v>
      </c>
    </row>
    <row r="214" spans="1:6" x14ac:dyDescent="0.35">
      <c r="A214" t="s">
        <v>17</v>
      </c>
      <c r="B214" t="s">
        <v>18</v>
      </c>
      <c r="C214">
        <v>2004</v>
      </c>
      <c r="D214">
        <v>1169</v>
      </c>
      <c r="F214">
        <v>70972</v>
      </c>
    </row>
    <row r="215" spans="1:6" x14ac:dyDescent="0.35">
      <c r="A215" t="s">
        <v>17</v>
      </c>
      <c r="B215" t="s">
        <v>18</v>
      </c>
      <c r="C215">
        <v>2005</v>
      </c>
      <c r="D215">
        <v>1173</v>
      </c>
      <c r="F215">
        <v>70788</v>
      </c>
    </row>
    <row r="216" spans="1:6" x14ac:dyDescent="0.35">
      <c r="A216" t="s">
        <v>17</v>
      </c>
      <c r="B216" t="s">
        <v>18</v>
      </c>
      <c r="C216">
        <v>2006</v>
      </c>
      <c r="D216">
        <v>1167</v>
      </c>
      <c r="F216">
        <v>71297</v>
      </c>
    </row>
    <row r="217" spans="1:6" x14ac:dyDescent="0.35">
      <c r="A217" t="s">
        <v>17</v>
      </c>
      <c r="B217" t="s">
        <v>18</v>
      </c>
      <c r="C217">
        <v>2007</v>
      </c>
      <c r="D217">
        <v>1208</v>
      </c>
      <c r="F217">
        <v>72295</v>
      </c>
    </row>
    <row r="218" spans="1:6" x14ac:dyDescent="0.35">
      <c r="A218" t="s">
        <v>17</v>
      </c>
      <c r="B218" t="s">
        <v>18</v>
      </c>
      <c r="C218">
        <v>2008</v>
      </c>
      <c r="D218">
        <v>1288</v>
      </c>
      <c r="F218">
        <v>74367</v>
      </c>
    </row>
    <row r="219" spans="1:6" x14ac:dyDescent="0.35">
      <c r="A219" t="s">
        <v>17</v>
      </c>
      <c r="B219" t="s">
        <v>18</v>
      </c>
      <c r="C219">
        <v>2009</v>
      </c>
      <c r="D219">
        <v>1415</v>
      </c>
      <c r="F219">
        <v>75726</v>
      </c>
    </row>
    <row r="220" spans="1:6" x14ac:dyDescent="0.35">
      <c r="A220" t="s">
        <v>17</v>
      </c>
      <c r="B220" t="s">
        <v>18</v>
      </c>
      <c r="C220">
        <v>2010</v>
      </c>
      <c r="D220">
        <v>1456</v>
      </c>
      <c r="F220">
        <v>77658</v>
      </c>
    </row>
    <row r="221" spans="1:6" x14ac:dyDescent="0.35">
      <c r="A221" t="s">
        <v>17</v>
      </c>
      <c r="B221" t="s">
        <v>18</v>
      </c>
      <c r="C221">
        <v>2011</v>
      </c>
      <c r="D221">
        <v>1380</v>
      </c>
      <c r="F221">
        <v>78300</v>
      </c>
    </row>
    <row r="222" spans="1:6" x14ac:dyDescent="0.35">
      <c r="A222" t="s">
        <v>17</v>
      </c>
      <c r="B222" t="s">
        <v>18</v>
      </c>
      <c r="C222">
        <v>2012</v>
      </c>
      <c r="D222">
        <v>1559</v>
      </c>
      <c r="F222">
        <v>79308</v>
      </c>
    </row>
    <row r="223" spans="1:6" x14ac:dyDescent="0.35">
      <c r="A223" t="s">
        <v>17</v>
      </c>
      <c r="B223" t="s">
        <v>18</v>
      </c>
      <c r="C223">
        <v>2013</v>
      </c>
      <c r="D223">
        <v>1478</v>
      </c>
      <c r="F223">
        <v>80101</v>
      </c>
    </row>
    <row r="224" spans="1:6" x14ac:dyDescent="0.35">
      <c r="A224" t="s">
        <v>17</v>
      </c>
      <c r="B224" t="s">
        <v>18</v>
      </c>
      <c r="C224">
        <v>2014</v>
      </c>
      <c r="D224">
        <v>1517</v>
      </c>
      <c r="F224">
        <v>82524</v>
      </c>
    </row>
    <row r="225" spans="1:6" x14ac:dyDescent="0.35">
      <c r="A225" t="s">
        <v>17</v>
      </c>
      <c r="B225" t="s">
        <v>18</v>
      </c>
      <c r="C225">
        <v>2015</v>
      </c>
      <c r="D225">
        <v>1580</v>
      </c>
      <c r="F225">
        <v>83678</v>
      </c>
    </row>
    <row r="226" spans="1:6" x14ac:dyDescent="0.35">
      <c r="A226" t="s">
        <v>17</v>
      </c>
      <c r="B226" t="s">
        <v>18</v>
      </c>
      <c r="C226">
        <v>2016</v>
      </c>
      <c r="D226">
        <v>1668</v>
      </c>
      <c r="F226">
        <v>84797</v>
      </c>
    </row>
    <row r="227" spans="1:6" x14ac:dyDescent="0.35">
      <c r="A227" t="s">
        <v>17</v>
      </c>
      <c r="B227" t="s">
        <v>18</v>
      </c>
      <c r="C227">
        <v>2017</v>
      </c>
      <c r="D227">
        <v>1566</v>
      </c>
      <c r="F227">
        <v>84539</v>
      </c>
    </row>
    <row r="228" spans="1:6" x14ac:dyDescent="0.35">
      <c r="A228" t="s">
        <v>17</v>
      </c>
      <c r="B228" t="s">
        <v>18</v>
      </c>
      <c r="C228">
        <v>2018</v>
      </c>
      <c r="D228">
        <v>1579</v>
      </c>
      <c r="F228">
        <v>84978</v>
      </c>
    </row>
    <row r="229" spans="1:6" x14ac:dyDescent="0.35">
      <c r="A229" t="s">
        <v>17</v>
      </c>
      <c r="B229" t="s">
        <v>18</v>
      </c>
      <c r="C229">
        <v>2019</v>
      </c>
      <c r="D229">
        <v>1426</v>
      </c>
      <c r="F229">
        <v>83598</v>
      </c>
    </row>
    <row r="230" spans="1:6" x14ac:dyDescent="0.35">
      <c r="A230" t="s">
        <v>17</v>
      </c>
      <c r="B230" t="s">
        <v>18</v>
      </c>
      <c r="C230">
        <v>2020</v>
      </c>
      <c r="D230">
        <v>1327</v>
      </c>
      <c r="F230">
        <v>83518</v>
      </c>
    </row>
    <row r="231" spans="1:6" x14ac:dyDescent="0.35">
      <c r="A231" t="s">
        <v>804</v>
      </c>
      <c r="B231" t="s">
        <v>4</v>
      </c>
      <c r="C231">
        <v>1921</v>
      </c>
    </row>
    <row r="232" spans="1:6" x14ac:dyDescent="0.35">
      <c r="A232" t="s">
        <v>804</v>
      </c>
      <c r="B232" t="s">
        <v>4</v>
      </c>
      <c r="C232">
        <v>1922</v>
      </c>
    </row>
    <row r="233" spans="1:6" x14ac:dyDescent="0.35">
      <c r="A233" t="s">
        <v>804</v>
      </c>
      <c r="B233" t="s">
        <v>4</v>
      </c>
      <c r="C233">
        <v>1923</v>
      </c>
    </row>
    <row r="234" spans="1:6" x14ac:dyDescent="0.35">
      <c r="A234" t="s">
        <v>804</v>
      </c>
      <c r="B234" t="s">
        <v>4</v>
      </c>
      <c r="C234">
        <v>1924</v>
      </c>
    </row>
    <row r="235" spans="1:6" x14ac:dyDescent="0.35">
      <c r="A235" t="s">
        <v>804</v>
      </c>
      <c r="B235" t="s">
        <v>4</v>
      </c>
      <c r="C235">
        <v>1925</v>
      </c>
    </row>
    <row r="236" spans="1:6" x14ac:dyDescent="0.35">
      <c r="A236" t="s">
        <v>804</v>
      </c>
      <c r="B236" t="s">
        <v>4</v>
      </c>
      <c r="C236">
        <v>1926</v>
      </c>
    </row>
    <row r="237" spans="1:6" x14ac:dyDescent="0.35">
      <c r="A237" t="s">
        <v>804</v>
      </c>
      <c r="B237" t="s">
        <v>4</v>
      </c>
      <c r="C237">
        <v>1927</v>
      </c>
    </row>
    <row r="238" spans="1:6" x14ac:dyDescent="0.35">
      <c r="A238" t="s">
        <v>804</v>
      </c>
      <c r="B238" t="s">
        <v>4</v>
      </c>
      <c r="C238">
        <v>1928</v>
      </c>
    </row>
    <row r="239" spans="1:6" x14ac:dyDescent="0.35">
      <c r="A239" t="s">
        <v>804</v>
      </c>
      <c r="B239" t="s">
        <v>4</v>
      </c>
      <c r="C239">
        <v>1929</v>
      </c>
    </row>
    <row r="240" spans="1:6" x14ac:dyDescent="0.35">
      <c r="A240" t="s">
        <v>804</v>
      </c>
      <c r="B240" t="s">
        <v>4</v>
      </c>
      <c r="C240">
        <v>1930</v>
      </c>
    </row>
    <row r="241" spans="1:6" x14ac:dyDescent="0.35">
      <c r="A241" t="s">
        <v>804</v>
      </c>
      <c r="B241" t="s">
        <v>4</v>
      </c>
      <c r="C241">
        <v>1931</v>
      </c>
    </row>
    <row r="242" spans="1:6" x14ac:dyDescent="0.35">
      <c r="A242" t="s">
        <v>804</v>
      </c>
      <c r="B242" t="s">
        <v>4</v>
      </c>
      <c r="C242">
        <v>1932</v>
      </c>
    </row>
    <row r="243" spans="1:6" x14ac:dyDescent="0.35">
      <c r="A243" t="s">
        <v>804</v>
      </c>
      <c r="B243" t="s">
        <v>4</v>
      </c>
      <c r="C243">
        <v>1933</v>
      </c>
    </row>
    <row r="244" spans="1:6" x14ac:dyDescent="0.35">
      <c r="A244" t="s">
        <v>804</v>
      </c>
      <c r="B244" t="s">
        <v>4</v>
      </c>
      <c r="C244">
        <v>1934</v>
      </c>
    </row>
    <row r="245" spans="1:6" x14ac:dyDescent="0.35">
      <c r="A245" t="s">
        <v>804</v>
      </c>
      <c r="B245" t="s">
        <v>4</v>
      </c>
      <c r="C245">
        <v>1935</v>
      </c>
    </row>
    <row r="246" spans="1:6" x14ac:dyDescent="0.35">
      <c r="A246" t="s">
        <v>804</v>
      </c>
      <c r="B246" t="s">
        <v>4</v>
      </c>
      <c r="C246">
        <v>1936</v>
      </c>
    </row>
    <row r="247" spans="1:6" x14ac:dyDescent="0.35">
      <c r="A247" t="s">
        <v>804</v>
      </c>
      <c r="B247" t="s">
        <v>14</v>
      </c>
      <c r="C247">
        <v>1926</v>
      </c>
      <c r="D247">
        <v>2970</v>
      </c>
      <c r="E247">
        <v>5940</v>
      </c>
      <c r="F247">
        <v>233807</v>
      </c>
    </row>
    <row r="248" spans="1:6" x14ac:dyDescent="0.35">
      <c r="A248" t="s">
        <v>804</v>
      </c>
      <c r="B248" t="s">
        <v>14</v>
      </c>
      <c r="C248">
        <v>1927</v>
      </c>
      <c r="D248">
        <v>2940</v>
      </c>
      <c r="E248">
        <v>5880</v>
      </c>
      <c r="F248">
        <v>235530</v>
      </c>
    </row>
    <row r="249" spans="1:6" x14ac:dyDescent="0.35">
      <c r="A249" t="s">
        <v>804</v>
      </c>
      <c r="B249" t="s">
        <v>14</v>
      </c>
      <c r="C249">
        <v>1928</v>
      </c>
      <c r="D249">
        <v>2965</v>
      </c>
      <c r="E249">
        <v>5930</v>
      </c>
      <c r="F249">
        <v>238302</v>
      </c>
    </row>
    <row r="250" spans="1:6" x14ac:dyDescent="0.35">
      <c r="A250" t="s">
        <v>804</v>
      </c>
      <c r="B250" t="s">
        <v>14</v>
      </c>
      <c r="C250">
        <v>1929</v>
      </c>
      <c r="D250">
        <v>2939</v>
      </c>
      <c r="E250">
        <v>5878</v>
      </c>
      <c r="F250">
        <v>236998</v>
      </c>
    </row>
    <row r="251" spans="1:6" x14ac:dyDescent="0.35">
      <c r="A251" t="s">
        <v>804</v>
      </c>
      <c r="B251" t="s">
        <v>14</v>
      </c>
      <c r="C251">
        <v>1930</v>
      </c>
      <c r="D251">
        <v>2900</v>
      </c>
      <c r="E251">
        <v>5800</v>
      </c>
      <c r="F251">
        <v>245339</v>
      </c>
    </row>
    <row r="252" spans="1:6" x14ac:dyDescent="0.35">
      <c r="A252" t="s">
        <v>804</v>
      </c>
      <c r="B252" t="s">
        <v>14</v>
      </c>
      <c r="C252">
        <v>1931</v>
      </c>
      <c r="D252">
        <v>2966</v>
      </c>
      <c r="E252">
        <v>5932</v>
      </c>
      <c r="F252">
        <v>242093</v>
      </c>
    </row>
    <row r="253" spans="1:6" x14ac:dyDescent="0.35">
      <c r="A253" t="s">
        <v>804</v>
      </c>
      <c r="B253" t="s">
        <v>14</v>
      </c>
      <c r="C253">
        <v>1932</v>
      </c>
      <c r="D253">
        <v>2817</v>
      </c>
      <c r="E253">
        <v>5634</v>
      </c>
      <c r="F253">
        <v>237262</v>
      </c>
    </row>
    <row r="254" spans="1:6" x14ac:dyDescent="0.35">
      <c r="A254" t="s">
        <v>804</v>
      </c>
      <c r="B254" t="s">
        <v>14</v>
      </c>
      <c r="C254">
        <v>1933</v>
      </c>
      <c r="D254">
        <v>2655</v>
      </c>
      <c r="E254">
        <v>5310</v>
      </c>
      <c r="F254">
        <v>224322</v>
      </c>
    </row>
    <row r="255" spans="1:6" x14ac:dyDescent="0.35">
      <c r="A255" t="s">
        <v>804</v>
      </c>
      <c r="B255" t="s">
        <v>14</v>
      </c>
      <c r="C255">
        <v>1934</v>
      </c>
      <c r="D255">
        <v>2658</v>
      </c>
      <c r="E255">
        <v>5316</v>
      </c>
      <c r="F255">
        <v>222380</v>
      </c>
    </row>
    <row r="256" spans="1:6" x14ac:dyDescent="0.35">
      <c r="A256" t="s">
        <v>804</v>
      </c>
      <c r="B256" t="s">
        <v>14</v>
      </c>
      <c r="C256">
        <v>1935</v>
      </c>
      <c r="D256">
        <v>2590</v>
      </c>
      <c r="E256">
        <v>5180</v>
      </c>
      <c r="F256">
        <v>222618</v>
      </c>
    </row>
    <row r="257" spans="1:6" x14ac:dyDescent="0.35">
      <c r="A257" t="s">
        <v>804</v>
      </c>
      <c r="B257" t="s">
        <v>14</v>
      </c>
      <c r="C257">
        <v>1936</v>
      </c>
      <c r="D257">
        <v>2600</v>
      </c>
      <c r="E257">
        <v>5200</v>
      </c>
      <c r="F257">
        <v>221428</v>
      </c>
    </row>
    <row r="258" spans="1:6" x14ac:dyDescent="0.35">
      <c r="A258" t="s">
        <v>804</v>
      </c>
      <c r="B258" t="s">
        <v>14</v>
      </c>
      <c r="C258">
        <v>1937</v>
      </c>
      <c r="D258">
        <v>2599</v>
      </c>
      <c r="E258">
        <v>5198</v>
      </c>
      <c r="F258">
        <v>221235</v>
      </c>
    </row>
    <row r="259" spans="1:6" x14ac:dyDescent="0.35">
      <c r="A259" t="s">
        <v>804</v>
      </c>
      <c r="B259" t="s">
        <v>14</v>
      </c>
      <c r="C259">
        <v>1938</v>
      </c>
      <c r="D259">
        <v>2681</v>
      </c>
      <c r="E259">
        <v>5362</v>
      </c>
      <c r="F259">
        <v>230444</v>
      </c>
    </row>
    <row r="260" spans="1:6" x14ac:dyDescent="0.35">
      <c r="A260" t="s">
        <v>804</v>
      </c>
      <c r="B260" t="s">
        <v>14</v>
      </c>
      <c r="C260">
        <v>1939</v>
      </c>
      <c r="D260">
        <v>2686</v>
      </c>
      <c r="E260">
        <v>5372</v>
      </c>
      <c r="F260">
        <v>230413</v>
      </c>
    </row>
    <row r="261" spans="1:6" x14ac:dyDescent="0.35">
      <c r="A261" t="s">
        <v>804</v>
      </c>
      <c r="B261" t="s">
        <v>14</v>
      </c>
      <c r="C261">
        <v>1940</v>
      </c>
      <c r="D261">
        <v>2769</v>
      </c>
      <c r="E261">
        <v>5538</v>
      </c>
      <c r="F261">
        <v>245370</v>
      </c>
    </row>
    <row r="262" spans="1:6" x14ac:dyDescent="0.35">
      <c r="A262" t="s">
        <v>804</v>
      </c>
      <c r="B262" t="s">
        <v>14</v>
      </c>
      <c r="C262">
        <v>1941</v>
      </c>
      <c r="D262">
        <v>2888</v>
      </c>
      <c r="E262">
        <v>5776</v>
      </c>
      <c r="F262">
        <v>256357</v>
      </c>
    </row>
    <row r="263" spans="1:6" x14ac:dyDescent="0.35">
      <c r="A263" t="s">
        <v>804</v>
      </c>
      <c r="B263" t="s">
        <v>14</v>
      </c>
      <c r="C263">
        <v>1942</v>
      </c>
      <c r="D263">
        <v>3018</v>
      </c>
      <c r="E263">
        <v>6036</v>
      </c>
      <c r="F263">
        <v>273331</v>
      </c>
    </row>
    <row r="264" spans="1:6" x14ac:dyDescent="0.35">
      <c r="A264" t="s">
        <v>804</v>
      </c>
      <c r="B264" t="s">
        <v>14</v>
      </c>
      <c r="C264">
        <v>1943</v>
      </c>
      <c r="D264">
        <v>3150</v>
      </c>
      <c r="E264">
        <v>6300</v>
      </c>
      <c r="F264">
        <v>284003</v>
      </c>
    </row>
    <row r="265" spans="1:6" x14ac:dyDescent="0.35">
      <c r="A265" t="s">
        <v>804</v>
      </c>
      <c r="B265" t="s">
        <v>14</v>
      </c>
      <c r="C265">
        <v>1944</v>
      </c>
      <c r="D265">
        <v>3140</v>
      </c>
      <c r="E265">
        <v>6280</v>
      </c>
      <c r="F265">
        <v>284563</v>
      </c>
    </row>
    <row r="266" spans="1:6" x14ac:dyDescent="0.35">
      <c r="A266" t="s">
        <v>804</v>
      </c>
      <c r="B266" t="s">
        <v>14</v>
      </c>
      <c r="C266">
        <v>1945</v>
      </c>
      <c r="D266">
        <v>3283</v>
      </c>
      <c r="E266">
        <v>6566</v>
      </c>
      <c r="F266">
        <v>288734</v>
      </c>
    </row>
    <row r="267" spans="1:6" x14ac:dyDescent="0.35">
      <c r="A267" t="s">
        <v>804</v>
      </c>
      <c r="B267" t="s">
        <v>14</v>
      </c>
      <c r="C267">
        <v>1946</v>
      </c>
      <c r="D267">
        <v>3664</v>
      </c>
      <c r="E267">
        <v>7328</v>
      </c>
      <c r="F267">
        <v>330405</v>
      </c>
    </row>
    <row r="268" spans="1:6" x14ac:dyDescent="0.35">
      <c r="A268" t="s">
        <v>804</v>
      </c>
      <c r="B268" t="s">
        <v>14</v>
      </c>
      <c r="C268">
        <v>1947</v>
      </c>
      <c r="D268">
        <v>4031</v>
      </c>
      <c r="E268">
        <v>8062</v>
      </c>
      <c r="F268">
        <v>358385</v>
      </c>
    </row>
    <row r="269" spans="1:6" x14ac:dyDescent="0.35">
      <c r="A269" t="s">
        <v>804</v>
      </c>
      <c r="B269" t="s">
        <v>14</v>
      </c>
      <c r="C269">
        <v>1948</v>
      </c>
      <c r="D269">
        <v>3940</v>
      </c>
      <c r="E269">
        <v>7880</v>
      </c>
      <c r="F269">
        <v>346160</v>
      </c>
    </row>
    <row r="270" spans="1:6" x14ac:dyDescent="0.35">
      <c r="A270" t="s">
        <v>804</v>
      </c>
      <c r="B270" t="s">
        <v>14</v>
      </c>
      <c r="C270">
        <v>1949</v>
      </c>
      <c r="D270">
        <v>4169</v>
      </c>
      <c r="E270">
        <v>8338</v>
      </c>
      <c r="F270">
        <v>364955</v>
      </c>
    </row>
    <row r="271" spans="1:6" x14ac:dyDescent="0.35">
      <c r="A271" t="s">
        <v>804</v>
      </c>
      <c r="B271" t="s">
        <v>14</v>
      </c>
      <c r="C271">
        <v>1950</v>
      </c>
      <c r="D271">
        <v>4285</v>
      </c>
      <c r="E271">
        <v>8570</v>
      </c>
      <c r="F271">
        <v>369578</v>
      </c>
    </row>
    <row r="272" spans="1:6" x14ac:dyDescent="0.35">
      <c r="A272" t="s">
        <v>804</v>
      </c>
      <c r="B272" t="s">
        <v>14</v>
      </c>
      <c r="C272">
        <v>1951</v>
      </c>
      <c r="D272">
        <v>4377</v>
      </c>
      <c r="E272">
        <v>8754</v>
      </c>
      <c r="F272">
        <v>378246</v>
      </c>
    </row>
    <row r="273" spans="1:6" x14ac:dyDescent="0.35">
      <c r="A273" t="s">
        <v>804</v>
      </c>
      <c r="B273" t="s">
        <v>14</v>
      </c>
      <c r="C273">
        <v>1952</v>
      </c>
      <c r="D273">
        <v>4587</v>
      </c>
      <c r="E273">
        <v>9174</v>
      </c>
      <c r="F273">
        <v>400496</v>
      </c>
    </row>
    <row r="274" spans="1:6" x14ac:dyDescent="0.35">
      <c r="A274" t="s">
        <v>804</v>
      </c>
      <c r="B274" t="s">
        <v>14</v>
      </c>
      <c r="C274">
        <v>1953</v>
      </c>
      <c r="D274">
        <v>4553</v>
      </c>
      <c r="E274">
        <v>9106</v>
      </c>
      <c r="F274">
        <v>414529</v>
      </c>
    </row>
    <row r="275" spans="1:6" x14ac:dyDescent="0.35">
      <c r="A275" t="s">
        <v>804</v>
      </c>
      <c r="B275" t="s">
        <v>14</v>
      </c>
      <c r="C275">
        <v>1954</v>
      </c>
      <c r="D275">
        <v>4847</v>
      </c>
      <c r="E275">
        <v>9694</v>
      </c>
      <c r="F275">
        <v>432525</v>
      </c>
    </row>
    <row r="276" spans="1:6" x14ac:dyDescent="0.35">
      <c r="A276" t="s">
        <v>804</v>
      </c>
      <c r="B276" t="s">
        <v>14</v>
      </c>
      <c r="C276">
        <v>1955</v>
      </c>
      <c r="D276">
        <v>4897</v>
      </c>
      <c r="E276">
        <v>9794</v>
      </c>
      <c r="F276">
        <v>438639</v>
      </c>
    </row>
    <row r="277" spans="1:6" x14ac:dyDescent="0.35">
      <c r="A277" t="s">
        <v>804</v>
      </c>
      <c r="B277" t="s">
        <v>14</v>
      </c>
      <c r="C277">
        <v>1956</v>
      </c>
      <c r="D277">
        <v>5012</v>
      </c>
      <c r="E277">
        <v>10024</v>
      </c>
      <c r="F277">
        <v>447547</v>
      </c>
    </row>
    <row r="278" spans="1:6" x14ac:dyDescent="0.35">
      <c r="A278" t="s">
        <v>804</v>
      </c>
      <c r="B278" t="s">
        <v>14</v>
      </c>
      <c r="C278">
        <v>1957</v>
      </c>
      <c r="D278">
        <v>5178</v>
      </c>
      <c r="E278">
        <v>10356</v>
      </c>
      <c r="F278">
        <v>465423</v>
      </c>
    </row>
    <row r="279" spans="1:6" x14ac:dyDescent="0.35">
      <c r="A279" t="s">
        <v>804</v>
      </c>
      <c r="B279" t="s">
        <v>14</v>
      </c>
      <c r="C279">
        <v>1958</v>
      </c>
      <c r="D279">
        <v>5334</v>
      </c>
      <c r="E279">
        <v>10668</v>
      </c>
      <c r="F279">
        <v>466065</v>
      </c>
    </row>
    <row r="280" spans="1:6" x14ac:dyDescent="0.35">
      <c r="A280" t="s">
        <v>804</v>
      </c>
      <c r="B280" t="s">
        <v>14</v>
      </c>
      <c r="C280">
        <v>1959</v>
      </c>
      <c r="D280">
        <v>5205</v>
      </c>
      <c r="E280">
        <v>10410</v>
      </c>
      <c r="F280">
        <v>475266</v>
      </c>
    </row>
    <row r="281" spans="1:6" x14ac:dyDescent="0.35">
      <c r="A281" t="s">
        <v>804</v>
      </c>
      <c r="B281" t="s">
        <v>14</v>
      </c>
      <c r="C281">
        <v>1960</v>
      </c>
      <c r="D281">
        <v>5112</v>
      </c>
      <c r="E281">
        <v>10224</v>
      </c>
      <c r="F281">
        <v>474613</v>
      </c>
    </row>
    <row r="282" spans="1:6" x14ac:dyDescent="0.35">
      <c r="A282" t="s">
        <v>804</v>
      </c>
      <c r="B282" t="s">
        <v>14</v>
      </c>
      <c r="C282">
        <v>1961</v>
      </c>
      <c r="D282">
        <v>5102</v>
      </c>
      <c r="E282">
        <v>10204</v>
      </c>
      <c r="F282">
        <v>471410</v>
      </c>
    </row>
    <row r="283" spans="1:6" x14ac:dyDescent="0.35">
      <c r="A283" t="s">
        <v>804</v>
      </c>
      <c r="B283" t="s">
        <v>14</v>
      </c>
      <c r="C283">
        <v>1962</v>
      </c>
      <c r="D283">
        <v>5159</v>
      </c>
      <c r="E283">
        <v>10318</v>
      </c>
      <c r="F283">
        <v>465136</v>
      </c>
    </row>
    <row r="284" spans="1:6" x14ac:dyDescent="0.35">
      <c r="A284" t="s">
        <v>804</v>
      </c>
      <c r="B284" t="s">
        <v>14</v>
      </c>
      <c r="C284">
        <v>1963</v>
      </c>
      <c r="D284">
        <v>4930</v>
      </c>
      <c r="E284">
        <v>9860</v>
      </c>
      <c r="F284">
        <v>461569</v>
      </c>
    </row>
    <row r="285" spans="1:6" x14ac:dyDescent="0.35">
      <c r="A285" t="s">
        <v>804</v>
      </c>
      <c r="B285" t="s">
        <v>14</v>
      </c>
      <c r="C285">
        <v>1964</v>
      </c>
      <c r="D285">
        <v>4751</v>
      </c>
      <c r="E285">
        <v>9502</v>
      </c>
      <c r="F285">
        <v>448814</v>
      </c>
    </row>
    <row r="286" spans="1:6" x14ac:dyDescent="0.35">
      <c r="A286" t="s">
        <v>804</v>
      </c>
      <c r="B286" t="s">
        <v>14</v>
      </c>
      <c r="C286">
        <v>1965</v>
      </c>
      <c r="D286">
        <v>4307</v>
      </c>
      <c r="E286">
        <v>8614</v>
      </c>
      <c r="F286">
        <v>414754</v>
      </c>
    </row>
    <row r="287" spans="1:6" x14ac:dyDescent="0.35">
      <c r="A287" t="s">
        <v>804</v>
      </c>
      <c r="C287">
        <v>1966</v>
      </c>
    </row>
    <row r="288" spans="1:6" x14ac:dyDescent="0.35">
      <c r="A288" t="s">
        <v>804</v>
      </c>
      <c r="C288">
        <v>1967</v>
      </c>
    </row>
    <row r="289" spans="1:4" x14ac:dyDescent="0.35">
      <c r="A289" t="s">
        <v>804</v>
      </c>
      <c r="C289">
        <v>1968</v>
      </c>
    </row>
    <row r="290" spans="1:4" x14ac:dyDescent="0.35">
      <c r="A290" t="s">
        <v>804</v>
      </c>
      <c r="C290">
        <v>1969</v>
      </c>
    </row>
    <row r="291" spans="1:4" x14ac:dyDescent="0.35">
      <c r="A291" t="s">
        <v>804</v>
      </c>
      <c r="C291">
        <v>1970</v>
      </c>
    </row>
    <row r="292" spans="1:4" x14ac:dyDescent="0.35">
      <c r="A292" t="s">
        <v>804</v>
      </c>
      <c r="C292">
        <v>1971</v>
      </c>
    </row>
    <row r="293" spans="1:4" x14ac:dyDescent="0.35">
      <c r="A293" t="s">
        <v>804</v>
      </c>
      <c r="B293" t="s">
        <v>15</v>
      </c>
      <c r="C293">
        <v>1972</v>
      </c>
      <c r="D293">
        <v>3095</v>
      </c>
    </row>
    <row r="294" spans="1:4" x14ac:dyDescent="0.35">
      <c r="A294" t="s">
        <v>804</v>
      </c>
      <c r="B294" t="s">
        <v>15</v>
      </c>
      <c r="C294">
        <v>1973</v>
      </c>
      <c r="D294">
        <v>2995</v>
      </c>
    </row>
    <row r="295" spans="1:4" x14ac:dyDescent="0.35">
      <c r="A295" t="s">
        <v>804</v>
      </c>
      <c r="B295" t="s">
        <v>15</v>
      </c>
      <c r="C295">
        <v>1974</v>
      </c>
      <c r="D295">
        <v>3036</v>
      </c>
    </row>
    <row r="296" spans="1:4" x14ac:dyDescent="0.35">
      <c r="A296" t="s">
        <v>804</v>
      </c>
      <c r="B296" t="s">
        <v>15</v>
      </c>
      <c r="C296">
        <v>1975</v>
      </c>
      <c r="D296">
        <v>3129</v>
      </c>
    </row>
    <row r="297" spans="1:4" x14ac:dyDescent="0.35">
      <c r="A297" t="s">
        <v>804</v>
      </c>
      <c r="B297" t="s">
        <v>15</v>
      </c>
      <c r="C297">
        <v>1976</v>
      </c>
      <c r="D297">
        <v>3209</v>
      </c>
    </row>
    <row r="298" spans="1:4" x14ac:dyDescent="0.35">
      <c r="A298" t="s">
        <v>804</v>
      </c>
      <c r="B298" t="s">
        <v>15</v>
      </c>
      <c r="C298">
        <v>1977</v>
      </c>
      <c r="D298">
        <v>3181</v>
      </c>
    </row>
    <row r="299" spans="1:4" x14ac:dyDescent="0.35">
      <c r="A299" t="s">
        <v>804</v>
      </c>
      <c r="B299" t="s">
        <v>15</v>
      </c>
      <c r="C299">
        <v>1978</v>
      </c>
      <c r="D299">
        <v>3332</v>
      </c>
    </row>
    <row r="300" spans="1:4" x14ac:dyDescent="0.35">
      <c r="A300" t="s">
        <v>804</v>
      </c>
      <c r="B300" t="s">
        <v>15</v>
      </c>
      <c r="C300">
        <v>1979</v>
      </c>
      <c r="D300">
        <v>3282</v>
      </c>
    </row>
    <row r="301" spans="1:4" x14ac:dyDescent="0.35">
      <c r="A301" t="s">
        <v>804</v>
      </c>
      <c r="B301" t="s">
        <v>15</v>
      </c>
      <c r="C301">
        <v>1980</v>
      </c>
      <c r="D301">
        <v>3428</v>
      </c>
    </row>
    <row r="302" spans="1:4" x14ac:dyDescent="0.35">
      <c r="A302" t="s">
        <v>804</v>
      </c>
      <c r="B302" t="s">
        <v>15</v>
      </c>
      <c r="C302">
        <v>1981</v>
      </c>
      <c r="D302">
        <v>3337</v>
      </c>
    </row>
    <row r="303" spans="1:4" x14ac:dyDescent="0.35">
      <c r="A303" t="s">
        <v>804</v>
      </c>
      <c r="B303" t="s">
        <v>15</v>
      </c>
      <c r="C303">
        <v>1982</v>
      </c>
      <c r="D303">
        <v>3398</v>
      </c>
    </row>
    <row r="304" spans="1:4" x14ac:dyDescent="0.35">
      <c r="A304" t="s">
        <v>804</v>
      </c>
      <c r="B304" t="s">
        <v>15</v>
      </c>
      <c r="C304">
        <v>1983</v>
      </c>
      <c r="D304">
        <v>3461</v>
      </c>
    </row>
    <row r="305" spans="1:6" x14ac:dyDescent="0.35">
      <c r="A305" t="s">
        <v>804</v>
      </c>
      <c r="B305" t="s">
        <v>15</v>
      </c>
      <c r="C305">
        <v>1984</v>
      </c>
      <c r="D305">
        <v>3555</v>
      </c>
    </row>
    <row r="306" spans="1:6" x14ac:dyDescent="0.35">
      <c r="A306" t="s">
        <v>804</v>
      </c>
      <c r="B306" t="s">
        <v>15</v>
      </c>
      <c r="C306">
        <v>1985</v>
      </c>
      <c r="D306">
        <v>3617</v>
      </c>
    </row>
    <row r="307" spans="1:6" x14ac:dyDescent="0.35">
      <c r="A307" t="s">
        <v>804</v>
      </c>
      <c r="B307" t="s">
        <v>15</v>
      </c>
      <c r="C307">
        <v>1986</v>
      </c>
      <c r="D307">
        <v>3509</v>
      </c>
    </row>
    <row r="308" spans="1:6" x14ac:dyDescent="0.35">
      <c r="A308" t="s">
        <v>804</v>
      </c>
      <c r="B308" t="s">
        <v>15</v>
      </c>
      <c r="C308">
        <v>1987</v>
      </c>
      <c r="D308">
        <v>3701</v>
      </c>
    </row>
    <row r="309" spans="1:6" x14ac:dyDescent="0.35">
      <c r="A309" t="s">
        <v>804</v>
      </c>
      <c r="B309" t="s">
        <v>15</v>
      </c>
      <c r="C309">
        <v>1988</v>
      </c>
      <c r="D309">
        <v>3781</v>
      </c>
    </row>
    <row r="310" spans="1:6" x14ac:dyDescent="0.35">
      <c r="A310" t="s">
        <v>804</v>
      </c>
      <c r="B310" t="s">
        <v>15</v>
      </c>
      <c r="C310">
        <v>1989</v>
      </c>
      <c r="D310">
        <v>4000</v>
      </c>
    </row>
    <row r="311" spans="1:6" x14ac:dyDescent="0.35">
      <c r="A311" t="s">
        <v>804</v>
      </c>
      <c r="B311" t="s">
        <v>15</v>
      </c>
      <c r="C311">
        <v>1990</v>
      </c>
      <c r="D311">
        <v>4108</v>
      </c>
    </row>
    <row r="312" spans="1:6" x14ac:dyDescent="0.35">
      <c r="A312" t="s">
        <v>804</v>
      </c>
      <c r="B312" t="s">
        <v>16</v>
      </c>
      <c r="C312">
        <v>1991</v>
      </c>
      <c r="E312">
        <v>8030</v>
      </c>
      <c r="F312">
        <v>396515</v>
      </c>
    </row>
    <row r="313" spans="1:6" x14ac:dyDescent="0.35">
      <c r="A313" t="s">
        <v>804</v>
      </c>
      <c r="B313" t="s">
        <v>16</v>
      </c>
      <c r="C313">
        <v>1992</v>
      </c>
      <c r="E313">
        <v>8165</v>
      </c>
      <c r="F313">
        <v>392680</v>
      </c>
    </row>
    <row r="314" spans="1:6" x14ac:dyDescent="0.35">
      <c r="A314" t="s">
        <v>804</v>
      </c>
      <c r="B314" t="s">
        <v>16</v>
      </c>
      <c r="C314">
        <v>1993</v>
      </c>
      <c r="E314">
        <v>7950</v>
      </c>
      <c r="F314">
        <v>382430</v>
      </c>
    </row>
    <row r="315" spans="1:6" x14ac:dyDescent="0.35">
      <c r="A315" t="s">
        <v>804</v>
      </c>
      <c r="B315" t="s">
        <v>16</v>
      </c>
      <c r="C315">
        <v>1994</v>
      </c>
      <c r="E315">
        <v>8510</v>
      </c>
      <c r="F315">
        <v>378525</v>
      </c>
    </row>
    <row r="316" spans="1:6" x14ac:dyDescent="0.35">
      <c r="A316" t="s">
        <v>804</v>
      </c>
      <c r="B316" t="s">
        <v>16</v>
      </c>
      <c r="C316">
        <v>1995</v>
      </c>
      <c r="E316">
        <v>8515</v>
      </c>
      <c r="F316">
        <v>371550</v>
      </c>
    </row>
    <row r="317" spans="1:6" x14ac:dyDescent="0.35">
      <c r="A317" t="s">
        <v>804</v>
      </c>
      <c r="B317" t="s">
        <v>16</v>
      </c>
      <c r="C317">
        <v>1996</v>
      </c>
      <c r="E317">
        <v>8570</v>
      </c>
      <c r="F317">
        <v>359380</v>
      </c>
    </row>
    <row r="318" spans="1:6" x14ac:dyDescent="0.35">
      <c r="A318" t="s">
        <v>804</v>
      </c>
      <c r="B318" t="s">
        <v>16</v>
      </c>
      <c r="C318">
        <v>1997</v>
      </c>
      <c r="E318">
        <v>8495</v>
      </c>
      <c r="F318">
        <v>341855</v>
      </c>
    </row>
    <row r="319" spans="1:6" x14ac:dyDescent="0.35">
      <c r="A319" t="s">
        <v>804</v>
      </c>
      <c r="B319" t="s">
        <v>16</v>
      </c>
      <c r="C319">
        <v>1998</v>
      </c>
      <c r="E319">
        <v>8805</v>
      </c>
      <c r="F319">
        <v>335225</v>
      </c>
    </row>
    <row r="320" spans="1:6" x14ac:dyDescent="0.35">
      <c r="A320" t="s">
        <v>804</v>
      </c>
      <c r="B320" t="s">
        <v>16</v>
      </c>
      <c r="C320">
        <v>1999</v>
      </c>
      <c r="E320">
        <v>8870</v>
      </c>
      <c r="F320">
        <v>330040</v>
      </c>
    </row>
    <row r="321" spans="1:6" x14ac:dyDescent="0.35">
      <c r="A321" t="s">
        <v>804</v>
      </c>
      <c r="B321" t="s">
        <v>16</v>
      </c>
      <c r="C321">
        <v>2000</v>
      </c>
      <c r="E321">
        <v>8740</v>
      </c>
      <c r="F321">
        <v>320755</v>
      </c>
    </row>
    <row r="322" spans="1:6" x14ac:dyDescent="0.35">
      <c r="A322" t="s">
        <v>804</v>
      </c>
      <c r="B322" t="s">
        <v>16</v>
      </c>
      <c r="C322">
        <v>2001</v>
      </c>
      <c r="E322">
        <v>9215</v>
      </c>
      <c r="F322">
        <v>326195</v>
      </c>
    </row>
    <row r="323" spans="1:6" x14ac:dyDescent="0.35">
      <c r="A323" t="s">
        <v>804</v>
      </c>
      <c r="B323" t="s">
        <v>16</v>
      </c>
      <c r="C323">
        <v>2002</v>
      </c>
      <c r="E323">
        <v>9265</v>
      </c>
      <c r="F323">
        <v>321105</v>
      </c>
    </row>
    <row r="324" spans="1:6" x14ac:dyDescent="0.35">
      <c r="A324" t="s">
        <v>804</v>
      </c>
      <c r="B324" t="s">
        <v>16</v>
      </c>
      <c r="C324">
        <v>2003</v>
      </c>
      <c r="E324">
        <v>9915</v>
      </c>
      <c r="F324">
        <v>327030</v>
      </c>
    </row>
    <row r="325" spans="1:6" x14ac:dyDescent="0.35">
      <c r="A325" t="s">
        <v>804</v>
      </c>
      <c r="B325" t="s">
        <v>16</v>
      </c>
      <c r="C325">
        <v>2004</v>
      </c>
      <c r="E325">
        <v>9990</v>
      </c>
      <c r="F325">
        <v>328735</v>
      </c>
    </row>
    <row r="326" spans="1:6" x14ac:dyDescent="0.35">
      <c r="A326" t="s">
        <v>804</v>
      </c>
      <c r="B326" t="s">
        <v>16</v>
      </c>
      <c r="C326">
        <v>2005</v>
      </c>
      <c r="E326">
        <v>10220</v>
      </c>
      <c r="F326">
        <v>333775</v>
      </c>
    </row>
    <row r="327" spans="1:6" x14ac:dyDescent="0.35">
      <c r="A327" t="s">
        <v>804</v>
      </c>
      <c r="B327" t="s">
        <v>16</v>
      </c>
      <c r="C327">
        <v>2006</v>
      </c>
      <c r="E327">
        <v>10880</v>
      </c>
      <c r="F327">
        <v>345645</v>
      </c>
    </row>
    <row r="328" spans="1:6" x14ac:dyDescent="0.35">
      <c r="A328" t="s">
        <v>804</v>
      </c>
      <c r="B328" t="s">
        <v>16</v>
      </c>
      <c r="C328">
        <v>2007</v>
      </c>
      <c r="E328">
        <v>11415</v>
      </c>
      <c r="F328">
        <v>358745</v>
      </c>
    </row>
    <row r="329" spans="1:6" x14ac:dyDescent="0.35">
      <c r="A329" t="s">
        <v>804</v>
      </c>
      <c r="B329" t="s">
        <v>16</v>
      </c>
      <c r="C329">
        <v>2008</v>
      </c>
      <c r="E329">
        <v>11635</v>
      </c>
      <c r="F329">
        <v>368645</v>
      </c>
    </row>
    <row r="330" spans="1:6" x14ac:dyDescent="0.35">
      <c r="A330" t="s">
        <v>804</v>
      </c>
      <c r="B330" t="s">
        <v>16</v>
      </c>
      <c r="C330">
        <v>2009</v>
      </c>
      <c r="E330">
        <v>12470</v>
      </c>
      <c r="F330">
        <v>370720</v>
      </c>
    </row>
    <row r="331" spans="1:6" x14ac:dyDescent="0.35">
      <c r="A331" t="s">
        <v>804</v>
      </c>
      <c r="B331" t="s">
        <v>16</v>
      </c>
      <c r="C331">
        <v>2010</v>
      </c>
      <c r="E331">
        <v>12340</v>
      </c>
      <c r="F331">
        <v>367005</v>
      </c>
    </row>
    <row r="332" spans="1:6" x14ac:dyDescent="0.35">
      <c r="A332" t="s">
        <v>804</v>
      </c>
      <c r="B332" t="s">
        <v>16</v>
      </c>
      <c r="C332">
        <v>2011</v>
      </c>
      <c r="E332">
        <v>12190</v>
      </c>
      <c r="F332">
        <v>367910</v>
      </c>
    </row>
    <row r="333" spans="1:6" x14ac:dyDescent="0.35">
      <c r="A333" t="s">
        <v>804</v>
      </c>
      <c r="B333" t="s">
        <v>16</v>
      </c>
      <c r="C333">
        <v>2012</v>
      </c>
      <c r="E333">
        <v>12130</v>
      </c>
      <c r="F333">
        <v>372280</v>
      </c>
    </row>
    <row r="334" spans="1:6" x14ac:dyDescent="0.35">
      <c r="A334" t="s">
        <v>804</v>
      </c>
      <c r="B334" t="s">
        <v>16</v>
      </c>
      <c r="C334">
        <v>2013</v>
      </c>
      <c r="E334">
        <v>12380</v>
      </c>
      <c r="F334">
        <v>370625</v>
      </c>
    </row>
    <row r="335" spans="1:6" x14ac:dyDescent="0.35">
      <c r="A335" t="s">
        <v>804</v>
      </c>
      <c r="B335" t="s">
        <v>16</v>
      </c>
      <c r="C335">
        <v>2014</v>
      </c>
      <c r="E335">
        <v>12330</v>
      </c>
      <c r="F335">
        <v>374575</v>
      </c>
    </row>
    <row r="336" spans="1:6" x14ac:dyDescent="0.35">
      <c r="A336" t="s">
        <v>804</v>
      </c>
      <c r="B336" t="s">
        <v>16</v>
      </c>
      <c r="C336">
        <v>2015</v>
      </c>
      <c r="E336">
        <v>12160</v>
      </c>
      <c r="F336">
        <v>372820</v>
      </c>
    </row>
    <row r="337" spans="1:6" x14ac:dyDescent="0.35">
      <c r="A337" t="s">
        <v>804</v>
      </c>
      <c r="B337" t="s">
        <v>16</v>
      </c>
      <c r="C337">
        <v>2016</v>
      </c>
      <c r="E337">
        <v>11890</v>
      </c>
      <c r="F337">
        <v>373930</v>
      </c>
    </row>
    <row r="338" spans="1:6" x14ac:dyDescent="0.35">
      <c r="A338" t="s">
        <v>804</v>
      </c>
      <c r="B338" t="s">
        <v>16</v>
      </c>
      <c r="C338">
        <v>2017</v>
      </c>
      <c r="E338">
        <v>11615</v>
      </c>
      <c r="F338">
        <v>368540</v>
      </c>
    </row>
    <row r="339" spans="1:6" x14ac:dyDescent="0.35">
      <c r="A339" t="s">
        <v>804</v>
      </c>
      <c r="B339" t="s">
        <v>16</v>
      </c>
      <c r="C339">
        <v>2018</v>
      </c>
      <c r="E339">
        <v>11470</v>
      </c>
      <c r="F339">
        <v>365320</v>
      </c>
    </row>
    <row r="340" spans="1:6" x14ac:dyDescent="0.35">
      <c r="A340" t="s">
        <v>804</v>
      </c>
      <c r="B340" t="s">
        <v>16</v>
      </c>
      <c r="C340">
        <v>2019</v>
      </c>
      <c r="E340">
        <v>11450</v>
      </c>
      <c r="F340">
        <v>363470</v>
      </c>
    </row>
    <row r="341" spans="1:6" x14ac:dyDescent="0.35">
      <c r="A341" t="s">
        <v>10</v>
      </c>
      <c r="B341" t="s">
        <v>4</v>
      </c>
      <c r="C341">
        <v>1906</v>
      </c>
    </row>
    <row r="342" spans="1:6" x14ac:dyDescent="0.35">
      <c r="A342" t="s">
        <v>10</v>
      </c>
      <c r="B342" t="s">
        <v>4</v>
      </c>
      <c r="C342">
        <v>1907</v>
      </c>
    </row>
    <row r="343" spans="1:6" x14ac:dyDescent="0.35">
      <c r="A343" t="s">
        <v>10</v>
      </c>
      <c r="B343" t="s">
        <v>4</v>
      </c>
      <c r="C343">
        <v>1908</v>
      </c>
    </row>
    <row r="344" spans="1:6" x14ac:dyDescent="0.35">
      <c r="A344" t="s">
        <v>10</v>
      </c>
      <c r="B344" t="s">
        <v>4</v>
      </c>
      <c r="C344">
        <v>1909</v>
      </c>
    </row>
    <row r="345" spans="1:6" x14ac:dyDescent="0.35">
      <c r="A345" t="s">
        <v>10</v>
      </c>
      <c r="B345" t="s">
        <v>4</v>
      </c>
      <c r="C345">
        <v>1910</v>
      </c>
    </row>
    <row r="346" spans="1:6" x14ac:dyDescent="0.35">
      <c r="A346" t="s">
        <v>10</v>
      </c>
      <c r="B346" t="s">
        <v>4</v>
      </c>
      <c r="C346">
        <v>1911</v>
      </c>
    </row>
    <row r="347" spans="1:6" x14ac:dyDescent="0.35">
      <c r="A347" t="s">
        <v>10</v>
      </c>
      <c r="B347" t="s">
        <v>4</v>
      </c>
      <c r="C347">
        <v>1912</v>
      </c>
    </row>
    <row r="348" spans="1:6" x14ac:dyDescent="0.35">
      <c r="A348" t="s">
        <v>10</v>
      </c>
      <c r="B348" t="s">
        <v>4</v>
      </c>
      <c r="C348">
        <v>1913</v>
      </c>
    </row>
    <row r="349" spans="1:6" x14ac:dyDescent="0.35">
      <c r="A349" t="s">
        <v>11</v>
      </c>
      <c r="C349">
        <v>1914</v>
      </c>
    </row>
    <row r="350" spans="1:6" x14ac:dyDescent="0.35">
      <c r="A350" t="s">
        <v>11</v>
      </c>
      <c r="C350">
        <v>1915</v>
      </c>
    </row>
    <row r="351" spans="1:6" x14ac:dyDescent="0.35">
      <c r="A351" t="s">
        <v>11</v>
      </c>
      <c r="C351">
        <v>1916</v>
      </c>
    </row>
    <row r="352" spans="1:6" x14ac:dyDescent="0.35">
      <c r="A352" t="s">
        <v>11</v>
      </c>
      <c r="C352">
        <v>1917</v>
      </c>
    </row>
    <row r="353" spans="1:3" x14ac:dyDescent="0.35">
      <c r="A353" t="s">
        <v>11</v>
      </c>
      <c r="C353">
        <v>1918</v>
      </c>
    </row>
    <row r="354" spans="1:3" x14ac:dyDescent="0.35">
      <c r="A354" t="s">
        <v>11</v>
      </c>
      <c r="C354">
        <v>1919</v>
      </c>
    </row>
    <row r="355" spans="1:3" x14ac:dyDescent="0.35">
      <c r="A355" t="s">
        <v>11</v>
      </c>
      <c r="B355" t="s">
        <v>4</v>
      </c>
      <c r="C355">
        <v>1920</v>
      </c>
    </row>
    <row r="356" spans="1:3" x14ac:dyDescent="0.35">
      <c r="A356" t="s">
        <v>11</v>
      </c>
      <c r="B356" t="s">
        <v>4</v>
      </c>
      <c r="C356">
        <v>1921</v>
      </c>
    </row>
    <row r="357" spans="1:3" x14ac:dyDescent="0.35">
      <c r="A357" t="s">
        <v>11</v>
      </c>
      <c r="C357">
        <v>1922</v>
      </c>
    </row>
    <row r="358" spans="1:3" x14ac:dyDescent="0.35">
      <c r="A358" t="s">
        <v>11</v>
      </c>
      <c r="C358">
        <v>1923</v>
      </c>
    </row>
    <row r="359" spans="1:3" x14ac:dyDescent="0.35">
      <c r="A359" t="s">
        <v>11</v>
      </c>
      <c r="C359">
        <v>1924</v>
      </c>
    </row>
    <row r="360" spans="1:3" x14ac:dyDescent="0.35">
      <c r="A360" t="s">
        <v>11</v>
      </c>
      <c r="C360">
        <v>1925</v>
      </c>
    </row>
    <row r="361" spans="1:3" x14ac:dyDescent="0.35">
      <c r="A361" t="s">
        <v>11</v>
      </c>
      <c r="C361">
        <v>1926</v>
      </c>
    </row>
    <row r="362" spans="1:3" x14ac:dyDescent="0.35">
      <c r="A362" t="s">
        <v>11</v>
      </c>
      <c r="C362">
        <v>1927</v>
      </c>
    </row>
    <row r="363" spans="1:3" x14ac:dyDescent="0.35">
      <c r="A363" t="s">
        <v>11</v>
      </c>
      <c r="B363" t="s">
        <v>4</v>
      </c>
      <c r="C363">
        <v>1928</v>
      </c>
    </row>
    <row r="364" spans="1:3" x14ac:dyDescent="0.35">
      <c r="A364" t="s">
        <v>11</v>
      </c>
      <c r="B364" t="s">
        <v>4</v>
      </c>
      <c r="C364">
        <v>1929</v>
      </c>
    </row>
    <row r="365" spans="1:3" x14ac:dyDescent="0.35">
      <c r="A365" t="s">
        <v>11</v>
      </c>
      <c r="C365">
        <v>1930</v>
      </c>
    </row>
    <row r="366" spans="1:3" x14ac:dyDescent="0.35">
      <c r="A366" t="s">
        <v>11</v>
      </c>
      <c r="B366" t="s">
        <v>4</v>
      </c>
      <c r="C366">
        <v>1931</v>
      </c>
    </row>
    <row r="367" spans="1:3" x14ac:dyDescent="0.35">
      <c r="A367" t="s">
        <v>11</v>
      </c>
      <c r="C367">
        <v>1932</v>
      </c>
    </row>
    <row r="368" spans="1:3" x14ac:dyDescent="0.35">
      <c r="A368" t="s">
        <v>11</v>
      </c>
      <c r="C368">
        <v>1933</v>
      </c>
    </row>
    <row r="369" spans="1:6" x14ac:dyDescent="0.35">
      <c r="A369" t="s">
        <v>11</v>
      </c>
      <c r="B369" t="s">
        <v>4</v>
      </c>
      <c r="C369">
        <v>1934</v>
      </c>
    </row>
    <row r="370" spans="1:6" x14ac:dyDescent="0.35">
      <c r="A370" t="s">
        <v>11</v>
      </c>
      <c r="C370">
        <v>1935</v>
      </c>
    </row>
    <row r="371" spans="1:6" x14ac:dyDescent="0.35">
      <c r="A371" t="s">
        <v>11</v>
      </c>
      <c r="C371">
        <v>1936</v>
      </c>
    </row>
    <row r="372" spans="1:6" x14ac:dyDescent="0.35">
      <c r="A372" t="s">
        <v>11</v>
      </c>
      <c r="C372">
        <v>1937</v>
      </c>
    </row>
    <row r="373" spans="1:6" x14ac:dyDescent="0.35">
      <c r="A373" t="s">
        <v>11</v>
      </c>
      <c r="B373" t="s">
        <v>12</v>
      </c>
      <c r="C373">
        <v>1938</v>
      </c>
      <c r="D373">
        <v>1135</v>
      </c>
    </row>
    <row r="374" spans="1:6" x14ac:dyDescent="0.35">
      <c r="A374" t="s">
        <v>11</v>
      </c>
      <c r="B374" t="s">
        <v>12</v>
      </c>
      <c r="C374">
        <v>1939</v>
      </c>
      <c r="D374">
        <v>1742</v>
      </c>
    </row>
    <row r="375" spans="1:6" x14ac:dyDescent="0.35">
      <c r="A375" t="s">
        <v>11</v>
      </c>
      <c r="B375" t="s">
        <v>12</v>
      </c>
      <c r="C375">
        <v>1940</v>
      </c>
      <c r="D375">
        <v>1915</v>
      </c>
    </row>
    <row r="376" spans="1:6" x14ac:dyDescent="0.35">
      <c r="A376" t="s">
        <v>11</v>
      </c>
      <c r="B376" t="s">
        <v>12</v>
      </c>
      <c r="C376">
        <v>1941</v>
      </c>
      <c r="D376">
        <v>1786</v>
      </c>
    </row>
    <row r="377" spans="1:6" x14ac:dyDescent="0.35">
      <c r="A377" t="s">
        <v>11</v>
      </c>
      <c r="B377" t="s">
        <v>12</v>
      </c>
      <c r="C377">
        <v>1942</v>
      </c>
      <c r="D377">
        <v>1571</v>
      </c>
    </row>
    <row r="378" spans="1:6" x14ac:dyDescent="0.35">
      <c r="A378" t="s">
        <v>11</v>
      </c>
      <c r="B378" t="s">
        <v>12</v>
      </c>
      <c r="C378">
        <v>1943</v>
      </c>
      <c r="D378">
        <v>1705</v>
      </c>
    </row>
    <row r="379" spans="1:6" x14ac:dyDescent="0.35">
      <c r="A379" t="s">
        <v>11</v>
      </c>
      <c r="B379" t="s">
        <v>12</v>
      </c>
      <c r="C379">
        <v>1944</v>
      </c>
      <c r="D379">
        <v>1670</v>
      </c>
    </row>
    <row r="380" spans="1:6" x14ac:dyDescent="0.35">
      <c r="A380" t="s">
        <v>11</v>
      </c>
      <c r="B380" t="s">
        <v>12</v>
      </c>
      <c r="C380">
        <v>1945</v>
      </c>
      <c r="D380">
        <v>1100</v>
      </c>
    </row>
    <row r="381" spans="1:6" x14ac:dyDescent="0.35">
      <c r="A381" t="s">
        <v>11</v>
      </c>
      <c r="B381" t="s">
        <v>12</v>
      </c>
      <c r="C381">
        <v>1946</v>
      </c>
      <c r="D381">
        <v>1470</v>
      </c>
      <c r="F381">
        <v>110830</v>
      </c>
    </row>
    <row r="382" spans="1:6" x14ac:dyDescent="0.35">
      <c r="A382" t="s">
        <v>11</v>
      </c>
      <c r="B382" t="s">
        <v>12</v>
      </c>
      <c r="C382">
        <v>1947</v>
      </c>
      <c r="D382">
        <v>1532</v>
      </c>
      <c r="F382">
        <v>128616</v>
      </c>
    </row>
    <row r="383" spans="1:6" x14ac:dyDescent="0.35">
      <c r="A383" t="s">
        <v>11</v>
      </c>
      <c r="B383" t="s">
        <v>12</v>
      </c>
      <c r="C383">
        <v>1948</v>
      </c>
      <c r="D383">
        <v>1467</v>
      </c>
      <c r="F383">
        <v>122873</v>
      </c>
    </row>
    <row r="384" spans="1:6" x14ac:dyDescent="0.35">
      <c r="A384" t="s">
        <v>11</v>
      </c>
      <c r="B384" t="s">
        <v>12</v>
      </c>
      <c r="C384">
        <v>1949</v>
      </c>
      <c r="D384">
        <v>1372</v>
      </c>
      <c r="F384">
        <v>112920</v>
      </c>
    </row>
    <row r="385" spans="1:6" x14ac:dyDescent="0.35">
      <c r="A385" t="s">
        <v>11</v>
      </c>
      <c r="B385" t="s">
        <v>12</v>
      </c>
      <c r="C385">
        <v>1950</v>
      </c>
      <c r="D385">
        <v>1340</v>
      </c>
      <c r="F385">
        <v>107492</v>
      </c>
    </row>
    <row r="386" spans="1:6" x14ac:dyDescent="0.35">
      <c r="A386" t="s">
        <v>11</v>
      </c>
      <c r="B386" t="s">
        <v>12</v>
      </c>
      <c r="C386">
        <v>1951</v>
      </c>
      <c r="D386">
        <v>1182</v>
      </c>
      <c r="F386">
        <v>102512</v>
      </c>
    </row>
    <row r="387" spans="1:6" x14ac:dyDescent="0.35">
      <c r="A387" t="s">
        <v>11</v>
      </c>
      <c r="B387" t="s">
        <v>12</v>
      </c>
      <c r="C387">
        <v>1952</v>
      </c>
      <c r="D387">
        <v>1168</v>
      </c>
      <c r="F387">
        <v>102731</v>
      </c>
    </row>
    <row r="388" spans="1:6" x14ac:dyDescent="0.35">
      <c r="A388" t="s">
        <v>11</v>
      </c>
      <c r="B388" t="s">
        <v>12</v>
      </c>
      <c r="C388">
        <v>1953</v>
      </c>
      <c r="D388">
        <v>1152</v>
      </c>
      <c r="F388">
        <v>102454</v>
      </c>
    </row>
    <row r="389" spans="1:6" x14ac:dyDescent="0.35">
      <c r="A389" t="s">
        <v>11</v>
      </c>
      <c r="B389" t="s">
        <v>12</v>
      </c>
      <c r="C389">
        <v>1954</v>
      </c>
      <c r="D389">
        <v>1161</v>
      </c>
      <c r="F389">
        <v>103584</v>
      </c>
    </row>
    <row r="390" spans="1:6" x14ac:dyDescent="0.35">
      <c r="A390" t="s">
        <v>11</v>
      </c>
      <c r="B390" t="s">
        <v>12</v>
      </c>
      <c r="C390">
        <v>1955</v>
      </c>
      <c r="D390">
        <v>1212</v>
      </c>
      <c r="F390">
        <v>108062</v>
      </c>
    </row>
    <row r="391" spans="1:6" x14ac:dyDescent="0.35">
      <c r="A391" t="s">
        <v>11</v>
      </c>
      <c r="B391" t="s">
        <v>12</v>
      </c>
      <c r="C391">
        <v>1956</v>
      </c>
      <c r="D391">
        <v>1267</v>
      </c>
      <c r="F391">
        <v>115347</v>
      </c>
    </row>
    <row r="392" spans="1:6" x14ac:dyDescent="0.35">
      <c r="A392" t="s">
        <v>11</v>
      </c>
      <c r="B392" t="s">
        <v>12</v>
      </c>
      <c r="C392">
        <v>1957</v>
      </c>
      <c r="D392">
        <v>1358</v>
      </c>
      <c r="F392">
        <v>118029</v>
      </c>
    </row>
    <row r="393" spans="1:6" x14ac:dyDescent="0.35">
      <c r="A393" t="s">
        <v>11</v>
      </c>
      <c r="B393" t="s">
        <v>12</v>
      </c>
      <c r="C393">
        <v>1958</v>
      </c>
      <c r="D393">
        <v>1333</v>
      </c>
      <c r="F393">
        <v>119012</v>
      </c>
    </row>
    <row r="394" spans="1:6" x14ac:dyDescent="0.35">
      <c r="A394" t="s">
        <v>11</v>
      </c>
      <c r="B394" t="s">
        <v>12</v>
      </c>
      <c r="C394">
        <v>1959</v>
      </c>
      <c r="D394">
        <v>1345</v>
      </c>
      <c r="F394">
        <v>123607</v>
      </c>
    </row>
    <row r="395" spans="1:6" x14ac:dyDescent="0.35">
      <c r="A395" t="s">
        <v>11</v>
      </c>
      <c r="B395" t="s">
        <v>12</v>
      </c>
      <c r="C395">
        <v>1960</v>
      </c>
      <c r="D395">
        <v>1356</v>
      </c>
      <c r="F395">
        <v>125113</v>
      </c>
    </row>
    <row r="396" spans="1:6" x14ac:dyDescent="0.35">
      <c r="A396" t="s">
        <v>11</v>
      </c>
      <c r="C396">
        <v>1961</v>
      </c>
    </row>
    <row r="397" spans="1:6" x14ac:dyDescent="0.35">
      <c r="A397" t="s">
        <v>11</v>
      </c>
      <c r="C397">
        <v>1962</v>
      </c>
    </row>
    <row r="398" spans="1:6" x14ac:dyDescent="0.35">
      <c r="A398" t="s">
        <v>11</v>
      </c>
      <c r="C398">
        <v>1963</v>
      </c>
    </row>
    <row r="399" spans="1:6" x14ac:dyDescent="0.35">
      <c r="A399" t="s">
        <v>11</v>
      </c>
      <c r="C399">
        <v>1964</v>
      </c>
    </row>
    <row r="400" spans="1:6" x14ac:dyDescent="0.35">
      <c r="A400" t="s">
        <v>11</v>
      </c>
      <c r="B400" t="s">
        <v>12</v>
      </c>
      <c r="C400">
        <v>1965</v>
      </c>
      <c r="D400">
        <v>1300</v>
      </c>
      <c r="F400">
        <v>128865</v>
      </c>
    </row>
    <row r="401" spans="1:6" x14ac:dyDescent="0.35">
      <c r="A401" t="s">
        <v>11</v>
      </c>
      <c r="B401" t="s">
        <v>12</v>
      </c>
      <c r="C401">
        <v>1966</v>
      </c>
      <c r="D401">
        <v>1246</v>
      </c>
      <c r="F401">
        <v>127528</v>
      </c>
    </row>
    <row r="402" spans="1:6" x14ac:dyDescent="0.35">
      <c r="A402" t="s">
        <v>11</v>
      </c>
      <c r="B402" t="s">
        <v>12</v>
      </c>
      <c r="C402">
        <v>1967</v>
      </c>
      <c r="D402">
        <v>1133</v>
      </c>
      <c r="F402">
        <v>126509</v>
      </c>
    </row>
    <row r="403" spans="1:6" x14ac:dyDescent="0.35">
      <c r="A403" t="s">
        <v>11</v>
      </c>
      <c r="B403" t="s">
        <v>12</v>
      </c>
      <c r="C403">
        <v>1968</v>
      </c>
      <c r="D403">
        <v>1203</v>
      </c>
      <c r="F403">
        <v>125048</v>
      </c>
    </row>
    <row r="404" spans="1:6" x14ac:dyDescent="0.35">
      <c r="A404" t="s">
        <v>11</v>
      </c>
      <c r="B404" t="s">
        <v>12</v>
      </c>
      <c r="C404">
        <v>1969</v>
      </c>
      <c r="D404">
        <v>1136</v>
      </c>
      <c r="F404">
        <v>120339</v>
      </c>
    </row>
    <row r="405" spans="1:6" x14ac:dyDescent="0.35">
      <c r="A405" t="s">
        <v>11</v>
      </c>
      <c r="B405" t="s">
        <v>12</v>
      </c>
      <c r="C405">
        <v>1970</v>
      </c>
      <c r="E405">
        <v>2055</v>
      </c>
      <c r="F405">
        <v>111363</v>
      </c>
    </row>
    <row r="406" spans="1:6" x14ac:dyDescent="0.35">
      <c r="A406" t="s">
        <v>11</v>
      </c>
      <c r="B406" t="s">
        <v>12</v>
      </c>
      <c r="C406">
        <v>1971</v>
      </c>
      <c r="E406">
        <v>2063</v>
      </c>
      <c r="F406">
        <v>107488</v>
      </c>
    </row>
    <row r="407" spans="1:6" x14ac:dyDescent="0.35">
      <c r="A407" t="s">
        <v>11</v>
      </c>
      <c r="B407" t="s">
        <v>12</v>
      </c>
      <c r="C407">
        <v>1972</v>
      </c>
      <c r="E407">
        <v>1932</v>
      </c>
      <c r="F407">
        <v>103094</v>
      </c>
    </row>
    <row r="408" spans="1:6" x14ac:dyDescent="0.35">
      <c r="A408" t="s">
        <v>11</v>
      </c>
      <c r="B408" t="s">
        <v>12</v>
      </c>
      <c r="C408">
        <v>1973</v>
      </c>
      <c r="E408">
        <v>1758</v>
      </c>
      <c r="F408">
        <v>97145</v>
      </c>
    </row>
    <row r="409" spans="1:6" x14ac:dyDescent="0.35">
      <c r="A409" t="s">
        <v>11</v>
      </c>
      <c r="B409" t="s">
        <v>12</v>
      </c>
      <c r="C409">
        <v>1974</v>
      </c>
      <c r="E409">
        <v>1758</v>
      </c>
      <c r="F409">
        <v>96464</v>
      </c>
    </row>
    <row r="410" spans="1:6" x14ac:dyDescent="0.35">
      <c r="A410" t="s">
        <v>11</v>
      </c>
      <c r="B410" t="s">
        <v>12</v>
      </c>
      <c r="C410">
        <v>1975</v>
      </c>
      <c r="E410">
        <v>1768</v>
      </c>
      <c r="F410">
        <v>92756</v>
      </c>
    </row>
    <row r="411" spans="1:6" x14ac:dyDescent="0.35">
      <c r="A411" t="s">
        <v>11</v>
      </c>
      <c r="B411" t="s">
        <v>12</v>
      </c>
      <c r="C411">
        <v>1976</v>
      </c>
      <c r="E411">
        <v>1556</v>
      </c>
      <c r="F411">
        <v>86528</v>
      </c>
    </row>
    <row r="412" spans="1:6" x14ac:dyDescent="0.35">
      <c r="A412" t="s">
        <v>11</v>
      </c>
      <c r="B412" t="s">
        <v>12</v>
      </c>
      <c r="C412">
        <v>1977</v>
      </c>
      <c r="E412">
        <v>1484</v>
      </c>
      <c r="F412">
        <v>84772</v>
      </c>
    </row>
    <row r="413" spans="1:6" x14ac:dyDescent="0.35">
      <c r="A413" t="s">
        <v>11</v>
      </c>
      <c r="B413" t="s">
        <v>12</v>
      </c>
      <c r="C413">
        <v>1978</v>
      </c>
      <c r="E413">
        <v>1488</v>
      </c>
      <c r="F413">
        <v>84449</v>
      </c>
    </row>
    <row r="414" spans="1:6" x14ac:dyDescent="0.35">
      <c r="A414" t="s">
        <v>11</v>
      </c>
      <c r="B414" t="s">
        <v>12</v>
      </c>
      <c r="C414">
        <v>1979</v>
      </c>
      <c r="E414">
        <v>1480</v>
      </c>
      <c r="F414">
        <v>85445</v>
      </c>
    </row>
    <row r="415" spans="1:6" x14ac:dyDescent="0.35">
      <c r="A415" t="s">
        <v>11</v>
      </c>
      <c r="B415" t="s">
        <v>12</v>
      </c>
      <c r="C415">
        <v>1980</v>
      </c>
      <c r="E415">
        <v>1592</v>
      </c>
      <c r="F415">
        <v>89858</v>
      </c>
    </row>
    <row r="416" spans="1:6" x14ac:dyDescent="0.35">
      <c r="A416" t="s">
        <v>11</v>
      </c>
      <c r="B416" t="s">
        <v>12</v>
      </c>
      <c r="C416">
        <v>1981</v>
      </c>
      <c r="E416">
        <v>1626</v>
      </c>
      <c r="F416">
        <v>92812</v>
      </c>
    </row>
    <row r="417" spans="1:6" x14ac:dyDescent="0.35">
      <c r="A417" t="s">
        <v>11</v>
      </c>
      <c r="B417" t="s">
        <v>12</v>
      </c>
      <c r="C417">
        <v>1982</v>
      </c>
      <c r="E417">
        <v>1704</v>
      </c>
      <c r="F417">
        <v>93568</v>
      </c>
    </row>
    <row r="418" spans="1:6" x14ac:dyDescent="0.35">
      <c r="A418" t="s">
        <v>11</v>
      </c>
      <c r="B418" t="s">
        <v>12</v>
      </c>
      <c r="C418">
        <v>1983</v>
      </c>
      <c r="E418">
        <v>1642</v>
      </c>
      <c r="F418">
        <v>88933</v>
      </c>
    </row>
    <row r="419" spans="1:6" x14ac:dyDescent="0.35">
      <c r="A419" t="s">
        <v>11</v>
      </c>
      <c r="B419" t="s">
        <v>12</v>
      </c>
      <c r="C419">
        <v>1984</v>
      </c>
      <c r="E419">
        <v>1568</v>
      </c>
      <c r="F419">
        <v>88033</v>
      </c>
    </row>
    <row r="420" spans="1:6" x14ac:dyDescent="0.35">
      <c r="A420" t="s">
        <v>11</v>
      </c>
      <c r="B420" t="s">
        <v>12</v>
      </c>
      <c r="C420">
        <v>1985</v>
      </c>
      <c r="E420">
        <v>1652</v>
      </c>
      <c r="F420">
        <v>86130</v>
      </c>
    </row>
    <row r="421" spans="1:6" x14ac:dyDescent="0.35">
      <c r="A421" t="s">
        <v>11</v>
      </c>
      <c r="B421" t="s">
        <v>12</v>
      </c>
      <c r="C421">
        <v>1986</v>
      </c>
      <c r="E421">
        <v>1602</v>
      </c>
      <c r="F421">
        <v>85710</v>
      </c>
    </row>
    <row r="422" spans="1:6" x14ac:dyDescent="0.35">
      <c r="A422" t="s">
        <v>11</v>
      </c>
      <c r="B422" t="s">
        <v>12</v>
      </c>
      <c r="C422">
        <v>1987</v>
      </c>
      <c r="E422">
        <v>1560</v>
      </c>
      <c r="F422">
        <v>85183</v>
      </c>
    </row>
    <row r="423" spans="1:6" x14ac:dyDescent="0.35">
      <c r="A423" t="s">
        <v>11</v>
      </c>
      <c r="B423" t="s">
        <v>12</v>
      </c>
      <c r="C423">
        <v>1988</v>
      </c>
      <c r="E423">
        <v>1738</v>
      </c>
      <c r="F423">
        <v>86599</v>
      </c>
    </row>
    <row r="424" spans="1:6" x14ac:dyDescent="0.35">
      <c r="A424" t="s">
        <v>11</v>
      </c>
      <c r="B424" t="s">
        <v>12</v>
      </c>
      <c r="C424">
        <v>1989</v>
      </c>
      <c r="E424">
        <v>1794</v>
      </c>
      <c r="F424">
        <v>87294</v>
      </c>
    </row>
    <row r="425" spans="1:6" x14ac:dyDescent="0.35">
      <c r="A425" t="s">
        <v>11</v>
      </c>
      <c r="B425" t="s">
        <v>12</v>
      </c>
      <c r="C425">
        <v>1990</v>
      </c>
      <c r="E425">
        <v>1858</v>
      </c>
      <c r="F425">
        <v>88870</v>
      </c>
    </row>
    <row r="426" spans="1:6" x14ac:dyDescent="0.35">
      <c r="A426" t="s">
        <v>11</v>
      </c>
      <c r="B426" t="s">
        <v>12</v>
      </c>
      <c r="C426">
        <v>1991</v>
      </c>
      <c r="D426">
        <v>925</v>
      </c>
      <c r="F426">
        <v>93039</v>
      </c>
    </row>
    <row r="427" spans="1:6" x14ac:dyDescent="0.35">
      <c r="A427" t="s">
        <v>11</v>
      </c>
      <c r="B427" t="s">
        <v>12</v>
      </c>
      <c r="C427">
        <v>1992</v>
      </c>
      <c r="D427">
        <v>1004</v>
      </c>
      <c r="F427">
        <v>93577</v>
      </c>
    </row>
    <row r="428" spans="1:6" x14ac:dyDescent="0.35">
      <c r="A428" t="s">
        <v>11</v>
      </c>
      <c r="B428" t="s">
        <v>12</v>
      </c>
      <c r="C428">
        <v>1993</v>
      </c>
      <c r="D428">
        <v>967</v>
      </c>
      <c r="F428">
        <v>93539</v>
      </c>
    </row>
    <row r="429" spans="1:6" x14ac:dyDescent="0.35">
      <c r="A429" t="s">
        <v>11</v>
      </c>
      <c r="B429" t="s">
        <v>12</v>
      </c>
      <c r="C429">
        <v>1994</v>
      </c>
      <c r="D429">
        <v>1083</v>
      </c>
      <c r="F429">
        <v>90489</v>
      </c>
    </row>
    <row r="430" spans="1:6" x14ac:dyDescent="0.35">
      <c r="A430" t="s">
        <v>11</v>
      </c>
      <c r="B430" t="s">
        <v>12</v>
      </c>
      <c r="C430">
        <v>1995</v>
      </c>
      <c r="D430">
        <v>1048</v>
      </c>
      <c r="F430">
        <v>86898</v>
      </c>
    </row>
    <row r="431" spans="1:6" x14ac:dyDescent="0.35">
      <c r="A431" t="s">
        <v>11</v>
      </c>
      <c r="B431" t="s">
        <v>12</v>
      </c>
      <c r="C431">
        <v>1996</v>
      </c>
      <c r="D431">
        <v>1019</v>
      </c>
      <c r="F431">
        <v>87085</v>
      </c>
    </row>
    <row r="432" spans="1:6" x14ac:dyDescent="0.35">
      <c r="A432" t="s">
        <v>11</v>
      </c>
      <c r="B432" t="s">
        <v>12</v>
      </c>
      <c r="C432">
        <v>1997</v>
      </c>
      <c r="D432">
        <v>1032</v>
      </c>
      <c r="F432">
        <v>82267</v>
      </c>
    </row>
    <row r="433" spans="1:6" x14ac:dyDescent="0.35">
      <c r="A433" t="s">
        <v>11</v>
      </c>
      <c r="B433" t="s">
        <v>12</v>
      </c>
      <c r="C433">
        <v>1998</v>
      </c>
      <c r="D433">
        <v>972</v>
      </c>
      <c r="F433">
        <v>79519</v>
      </c>
    </row>
    <row r="434" spans="1:6" x14ac:dyDescent="0.35">
      <c r="A434" t="s">
        <v>11</v>
      </c>
      <c r="B434" t="s">
        <v>12</v>
      </c>
      <c r="C434">
        <v>1999</v>
      </c>
      <c r="D434">
        <v>1024</v>
      </c>
      <c r="F434">
        <v>76295</v>
      </c>
    </row>
    <row r="435" spans="1:6" x14ac:dyDescent="0.35">
      <c r="A435" t="s">
        <v>11</v>
      </c>
      <c r="B435" t="s">
        <v>12</v>
      </c>
      <c r="C435">
        <v>2000</v>
      </c>
      <c r="D435">
        <v>989</v>
      </c>
      <c r="F435">
        <v>76525</v>
      </c>
    </row>
    <row r="436" spans="1:6" x14ac:dyDescent="0.35">
      <c r="A436" t="s">
        <v>11</v>
      </c>
      <c r="B436" t="s">
        <v>12</v>
      </c>
      <c r="C436">
        <v>2001</v>
      </c>
      <c r="D436">
        <v>1115</v>
      </c>
      <c r="F436">
        <v>73413</v>
      </c>
    </row>
    <row r="437" spans="1:6" x14ac:dyDescent="0.35">
      <c r="A437" t="s">
        <v>11</v>
      </c>
      <c r="B437" t="s">
        <v>12</v>
      </c>
      <c r="C437">
        <v>2002</v>
      </c>
      <c r="D437">
        <v>1134</v>
      </c>
      <c r="F437">
        <v>76378</v>
      </c>
    </row>
    <row r="438" spans="1:6" x14ac:dyDescent="0.35">
      <c r="A438" t="s">
        <v>11</v>
      </c>
      <c r="B438" t="s">
        <v>12</v>
      </c>
      <c r="C438">
        <v>2003</v>
      </c>
      <c r="D438">
        <v>1191</v>
      </c>
      <c r="F438">
        <v>74742</v>
      </c>
    </row>
    <row r="439" spans="1:6" x14ac:dyDescent="0.35">
      <c r="A439" t="s">
        <v>11</v>
      </c>
      <c r="B439" t="s">
        <v>12</v>
      </c>
      <c r="C439">
        <v>2004</v>
      </c>
      <c r="D439">
        <v>1202</v>
      </c>
      <c r="F439">
        <v>76802</v>
      </c>
    </row>
    <row r="440" spans="1:6" x14ac:dyDescent="0.35">
      <c r="A440" t="s">
        <v>11</v>
      </c>
      <c r="B440" t="s">
        <v>12</v>
      </c>
      <c r="C440">
        <v>2005</v>
      </c>
      <c r="D440">
        <v>1166</v>
      </c>
      <c r="F440">
        <v>76050</v>
      </c>
    </row>
    <row r="441" spans="1:6" x14ac:dyDescent="0.35">
      <c r="A441" t="s">
        <v>11</v>
      </c>
      <c r="B441" t="s">
        <v>12</v>
      </c>
      <c r="C441">
        <v>2006</v>
      </c>
      <c r="D441">
        <v>1267</v>
      </c>
      <c r="F441">
        <v>75599</v>
      </c>
    </row>
    <row r="442" spans="1:6" x14ac:dyDescent="0.35">
      <c r="A442" t="s">
        <v>11</v>
      </c>
      <c r="B442" t="s">
        <v>12</v>
      </c>
      <c r="C442">
        <v>2007</v>
      </c>
      <c r="D442">
        <v>1263</v>
      </c>
      <c r="F442">
        <v>73904</v>
      </c>
    </row>
    <row r="443" spans="1:6" x14ac:dyDescent="0.35">
      <c r="A443" t="s">
        <v>11</v>
      </c>
      <c r="B443" t="s">
        <v>12</v>
      </c>
      <c r="C443">
        <v>2008</v>
      </c>
      <c r="D443">
        <v>1293</v>
      </c>
      <c r="F443">
        <v>75331</v>
      </c>
    </row>
    <row r="444" spans="1:6" x14ac:dyDescent="0.35">
      <c r="A444" t="s">
        <v>11</v>
      </c>
      <c r="B444" t="s">
        <v>12</v>
      </c>
      <c r="C444">
        <v>2009</v>
      </c>
      <c r="D444">
        <v>1267</v>
      </c>
      <c r="F444">
        <v>74010</v>
      </c>
    </row>
    <row r="445" spans="1:6" x14ac:dyDescent="0.35">
      <c r="A445" t="s">
        <v>11</v>
      </c>
      <c r="B445" t="s">
        <v>12</v>
      </c>
      <c r="C445">
        <v>2010</v>
      </c>
      <c r="D445">
        <v>1339</v>
      </c>
      <c r="F445">
        <v>76269</v>
      </c>
    </row>
    <row r="446" spans="1:6" x14ac:dyDescent="0.35">
      <c r="A446" t="s">
        <v>11</v>
      </c>
      <c r="B446" t="s">
        <v>12</v>
      </c>
      <c r="C446">
        <v>2011</v>
      </c>
      <c r="D446">
        <v>1354</v>
      </c>
      <c r="F446">
        <v>75576</v>
      </c>
    </row>
    <row r="447" spans="1:6" x14ac:dyDescent="0.35">
      <c r="A447" t="s">
        <v>11</v>
      </c>
      <c r="B447" t="s">
        <v>12</v>
      </c>
      <c r="C447">
        <v>2012</v>
      </c>
      <c r="D447">
        <v>1223</v>
      </c>
      <c r="F447">
        <v>76705</v>
      </c>
    </row>
    <row r="448" spans="1:6" x14ac:dyDescent="0.35">
      <c r="A448" t="s">
        <v>11</v>
      </c>
      <c r="B448" t="s">
        <v>12</v>
      </c>
      <c r="C448">
        <v>2013</v>
      </c>
      <c r="D448">
        <v>1303</v>
      </c>
      <c r="F448">
        <v>76900</v>
      </c>
    </row>
    <row r="449" spans="1:6" x14ac:dyDescent="0.35">
      <c r="A449" t="s">
        <v>11</v>
      </c>
      <c r="B449" t="s">
        <v>12</v>
      </c>
      <c r="C449">
        <v>2014</v>
      </c>
      <c r="D449">
        <v>1293</v>
      </c>
      <c r="F449">
        <v>79357</v>
      </c>
    </row>
    <row r="450" spans="1:6" x14ac:dyDescent="0.35">
      <c r="A450" t="s">
        <v>11</v>
      </c>
      <c r="B450" t="s">
        <v>12</v>
      </c>
      <c r="C450">
        <v>2015</v>
      </c>
      <c r="D450">
        <v>1292</v>
      </c>
      <c r="F450">
        <v>82009</v>
      </c>
    </row>
    <row r="451" spans="1:6" x14ac:dyDescent="0.35">
      <c r="A451" t="s">
        <v>11</v>
      </c>
      <c r="B451" t="s">
        <v>12</v>
      </c>
      <c r="C451">
        <v>2016</v>
      </c>
      <c r="D451">
        <v>1341</v>
      </c>
      <c r="F451">
        <v>85218</v>
      </c>
    </row>
    <row r="452" spans="1:6" x14ac:dyDescent="0.35">
      <c r="A452" t="s">
        <v>11</v>
      </c>
      <c r="B452" t="s">
        <v>12</v>
      </c>
      <c r="C452">
        <v>2017</v>
      </c>
      <c r="D452">
        <v>1339</v>
      </c>
      <c r="F452">
        <v>85204</v>
      </c>
    </row>
    <row r="453" spans="1:6" x14ac:dyDescent="0.35">
      <c r="A453" t="s">
        <v>11</v>
      </c>
      <c r="B453" t="s">
        <v>12</v>
      </c>
      <c r="C453">
        <v>2018</v>
      </c>
      <c r="D453">
        <v>1278</v>
      </c>
      <c r="F453">
        <v>83190</v>
      </c>
    </row>
    <row r="454" spans="1:6" x14ac:dyDescent="0.35">
      <c r="A454" t="s">
        <v>11</v>
      </c>
      <c r="B454" t="s">
        <v>12</v>
      </c>
      <c r="C454">
        <v>2019</v>
      </c>
      <c r="D454">
        <v>1240</v>
      </c>
      <c r="F454">
        <v>82676</v>
      </c>
    </row>
    <row r="455" spans="1:6" x14ac:dyDescent="0.35">
      <c r="A455" t="s">
        <v>11</v>
      </c>
      <c r="B455" t="s">
        <v>12</v>
      </c>
      <c r="C455">
        <v>2020</v>
      </c>
      <c r="D455">
        <v>1173</v>
      </c>
      <c r="F455">
        <v>81529</v>
      </c>
    </row>
    <row r="456" spans="1:6" x14ac:dyDescent="0.35">
      <c r="A456" t="s">
        <v>11</v>
      </c>
      <c r="B456" t="s">
        <v>12</v>
      </c>
      <c r="C456">
        <v>2021</v>
      </c>
      <c r="D456">
        <v>1233</v>
      </c>
      <c r="F456">
        <v>83870</v>
      </c>
    </row>
    <row r="457" spans="1:6" x14ac:dyDescent="0.35">
      <c r="A457" t="s">
        <v>3</v>
      </c>
      <c r="B457" t="s">
        <v>4</v>
      </c>
      <c r="C457">
        <v>1907</v>
      </c>
    </row>
    <row r="458" spans="1:6" x14ac:dyDescent="0.35">
      <c r="A458" t="s">
        <v>3</v>
      </c>
      <c r="B458" t="s">
        <v>4</v>
      </c>
      <c r="C458">
        <v>1908</v>
      </c>
    </row>
    <row r="459" spans="1:6" x14ac:dyDescent="0.35">
      <c r="A459" t="s">
        <v>3</v>
      </c>
      <c r="B459" t="s">
        <v>4</v>
      </c>
      <c r="C459">
        <v>1909</v>
      </c>
    </row>
    <row r="460" spans="1:6" x14ac:dyDescent="0.35">
      <c r="A460" t="s">
        <v>3</v>
      </c>
      <c r="B460" t="s">
        <v>4</v>
      </c>
      <c r="C460">
        <v>1910</v>
      </c>
    </row>
    <row r="461" spans="1:6" x14ac:dyDescent="0.35">
      <c r="A461" t="s">
        <v>3</v>
      </c>
      <c r="B461" t="s">
        <v>4</v>
      </c>
      <c r="C461">
        <v>1911</v>
      </c>
    </row>
    <row r="462" spans="1:6" x14ac:dyDescent="0.35">
      <c r="A462" t="s">
        <v>3</v>
      </c>
      <c r="B462" t="s">
        <v>4</v>
      </c>
      <c r="C462">
        <v>1912</v>
      </c>
    </row>
    <row r="463" spans="1:6" x14ac:dyDescent="0.35">
      <c r="A463" t="s">
        <v>3</v>
      </c>
      <c r="B463" t="s">
        <v>4</v>
      </c>
      <c r="C463">
        <v>1913</v>
      </c>
    </row>
    <row r="464" spans="1:6" x14ac:dyDescent="0.35">
      <c r="A464" t="s">
        <v>3</v>
      </c>
      <c r="B464" t="s">
        <v>4</v>
      </c>
      <c r="C464">
        <v>1914</v>
      </c>
    </row>
    <row r="465" spans="1:3" x14ac:dyDescent="0.35">
      <c r="A465" t="s">
        <v>3</v>
      </c>
      <c r="B465" t="s">
        <v>4</v>
      </c>
      <c r="C465">
        <v>1915</v>
      </c>
    </row>
    <row r="466" spans="1:3" x14ac:dyDescent="0.35">
      <c r="A466" t="s">
        <v>3</v>
      </c>
      <c r="B466" t="s">
        <v>4</v>
      </c>
      <c r="C466">
        <v>1916</v>
      </c>
    </row>
    <row r="467" spans="1:3" x14ac:dyDescent="0.35">
      <c r="A467" t="s">
        <v>3</v>
      </c>
      <c r="B467" t="s">
        <v>4</v>
      </c>
      <c r="C467">
        <v>1917</v>
      </c>
    </row>
    <row r="468" spans="1:3" x14ac:dyDescent="0.35">
      <c r="A468" t="s">
        <v>3</v>
      </c>
      <c r="B468" t="s">
        <v>4</v>
      </c>
      <c r="C468">
        <v>1918</v>
      </c>
    </row>
    <row r="469" spans="1:3" x14ac:dyDescent="0.35">
      <c r="A469" t="s">
        <v>3</v>
      </c>
      <c r="B469" t="s">
        <v>4</v>
      </c>
      <c r="C469">
        <v>1919</v>
      </c>
    </row>
    <row r="470" spans="1:3" x14ac:dyDescent="0.35">
      <c r="A470" t="s">
        <v>3</v>
      </c>
      <c r="B470" t="s">
        <v>4</v>
      </c>
      <c r="C470">
        <v>1920</v>
      </c>
    </row>
    <row r="471" spans="1:3" x14ac:dyDescent="0.35">
      <c r="A471" t="s">
        <v>3</v>
      </c>
      <c r="B471" t="s">
        <v>4</v>
      </c>
      <c r="C471">
        <v>1921</v>
      </c>
    </row>
    <row r="472" spans="1:3" x14ac:dyDescent="0.35">
      <c r="A472" t="s">
        <v>3</v>
      </c>
      <c r="B472" t="s">
        <v>4</v>
      </c>
      <c r="C472">
        <v>1922</v>
      </c>
    </row>
    <row r="473" spans="1:3" x14ac:dyDescent="0.35">
      <c r="A473" t="s">
        <v>3</v>
      </c>
      <c r="B473" t="s">
        <v>4</v>
      </c>
      <c r="C473">
        <v>1923</v>
      </c>
    </row>
    <row r="474" spans="1:3" x14ac:dyDescent="0.35">
      <c r="A474" t="s">
        <v>3</v>
      </c>
      <c r="B474" t="s">
        <v>4</v>
      </c>
      <c r="C474">
        <v>1924</v>
      </c>
    </row>
    <row r="475" spans="1:3" x14ac:dyDescent="0.35">
      <c r="A475" t="s">
        <v>3</v>
      </c>
      <c r="B475" t="s">
        <v>4</v>
      </c>
      <c r="C475">
        <v>1925</v>
      </c>
    </row>
    <row r="476" spans="1:3" x14ac:dyDescent="0.35">
      <c r="A476" t="s">
        <v>3</v>
      </c>
      <c r="B476" t="s">
        <v>4</v>
      </c>
      <c r="C476">
        <v>1926</v>
      </c>
    </row>
    <row r="477" spans="1:3" x14ac:dyDescent="0.35">
      <c r="A477" t="s">
        <v>3</v>
      </c>
      <c r="B477" t="s">
        <v>4</v>
      </c>
      <c r="C477">
        <v>1927</v>
      </c>
    </row>
    <row r="478" spans="1:3" x14ac:dyDescent="0.35">
      <c r="A478" t="s">
        <v>3</v>
      </c>
      <c r="B478" t="s">
        <v>4</v>
      </c>
      <c r="C478">
        <v>1928</v>
      </c>
    </row>
    <row r="479" spans="1:3" x14ac:dyDescent="0.35">
      <c r="A479" t="s">
        <v>3</v>
      </c>
      <c r="B479" t="s">
        <v>4</v>
      </c>
      <c r="C479">
        <v>1929</v>
      </c>
    </row>
    <row r="480" spans="1:3" x14ac:dyDescent="0.35">
      <c r="A480" t="s">
        <v>3</v>
      </c>
      <c r="B480" t="s">
        <v>4</v>
      </c>
      <c r="C480">
        <v>1930</v>
      </c>
    </row>
    <row r="481" spans="1:6" x14ac:dyDescent="0.35">
      <c r="A481" t="s">
        <v>3</v>
      </c>
      <c r="B481" t="s">
        <v>4</v>
      </c>
      <c r="C481">
        <v>1931</v>
      </c>
    </row>
    <row r="482" spans="1:6" x14ac:dyDescent="0.35">
      <c r="A482" t="s">
        <v>3</v>
      </c>
      <c r="B482" t="s">
        <v>4</v>
      </c>
      <c r="C482">
        <v>1932</v>
      </c>
    </row>
    <row r="483" spans="1:6" x14ac:dyDescent="0.35">
      <c r="A483" t="s">
        <v>3</v>
      </c>
      <c r="B483" t="s">
        <v>4</v>
      </c>
      <c r="C483">
        <v>1933</v>
      </c>
    </row>
    <row r="484" spans="1:6" x14ac:dyDescent="0.35">
      <c r="A484" t="s">
        <v>3</v>
      </c>
      <c r="B484" t="s">
        <v>4</v>
      </c>
      <c r="C484">
        <v>1934</v>
      </c>
    </row>
    <row r="485" spans="1:6" x14ac:dyDescent="0.35">
      <c r="A485" t="s">
        <v>3</v>
      </c>
      <c r="B485" t="s">
        <v>4</v>
      </c>
      <c r="C485">
        <v>1935</v>
      </c>
    </row>
    <row r="486" spans="1:6" x14ac:dyDescent="0.35">
      <c r="A486" t="s">
        <v>3</v>
      </c>
      <c r="B486" t="s">
        <v>4</v>
      </c>
      <c r="C486">
        <v>1936</v>
      </c>
    </row>
    <row r="487" spans="1:6" x14ac:dyDescent="0.35">
      <c r="A487" t="s">
        <v>3</v>
      </c>
      <c r="B487" t="s">
        <v>5</v>
      </c>
      <c r="C487">
        <v>1937</v>
      </c>
      <c r="D487">
        <v>1294</v>
      </c>
      <c r="E487">
        <v>2588</v>
      </c>
      <c r="F487">
        <v>116595</v>
      </c>
    </row>
    <row r="488" spans="1:6" x14ac:dyDescent="0.35">
      <c r="A488" t="s">
        <v>3</v>
      </c>
      <c r="B488" t="s">
        <v>5</v>
      </c>
      <c r="C488">
        <v>1938</v>
      </c>
      <c r="D488">
        <v>1239</v>
      </c>
      <c r="E488">
        <v>2478</v>
      </c>
      <c r="F488">
        <v>117999</v>
      </c>
    </row>
    <row r="489" spans="1:6" x14ac:dyDescent="0.35">
      <c r="A489" t="s">
        <v>3</v>
      </c>
      <c r="B489" t="s">
        <v>5</v>
      </c>
      <c r="C489">
        <v>1939</v>
      </c>
      <c r="D489">
        <v>1265</v>
      </c>
      <c r="E489">
        <v>2530</v>
      </c>
      <c r="F489">
        <v>120377</v>
      </c>
    </row>
    <row r="490" spans="1:6" x14ac:dyDescent="0.35">
      <c r="A490" t="s">
        <v>3</v>
      </c>
      <c r="B490" t="s">
        <v>5</v>
      </c>
      <c r="C490">
        <v>1940</v>
      </c>
      <c r="D490">
        <v>1271</v>
      </c>
      <c r="E490">
        <v>2542</v>
      </c>
      <c r="F490">
        <v>123850</v>
      </c>
    </row>
    <row r="491" spans="1:6" x14ac:dyDescent="0.35">
      <c r="A491" t="s">
        <v>3</v>
      </c>
      <c r="B491" t="s">
        <v>5</v>
      </c>
      <c r="C491">
        <v>1941</v>
      </c>
      <c r="D491">
        <v>1438</v>
      </c>
      <c r="E491">
        <v>2876</v>
      </c>
      <c r="F491">
        <v>131692</v>
      </c>
    </row>
    <row r="492" spans="1:6" x14ac:dyDescent="0.35">
      <c r="A492" t="s">
        <v>3</v>
      </c>
      <c r="B492" t="s">
        <v>5</v>
      </c>
      <c r="C492">
        <v>1942</v>
      </c>
      <c r="D492">
        <v>1465</v>
      </c>
      <c r="E492">
        <v>2926</v>
      </c>
      <c r="F492">
        <v>133802</v>
      </c>
    </row>
    <row r="493" spans="1:6" x14ac:dyDescent="0.35">
      <c r="A493" t="s">
        <v>3</v>
      </c>
      <c r="B493" t="s">
        <v>5</v>
      </c>
      <c r="C493">
        <v>1943</v>
      </c>
      <c r="D493">
        <v>1612</v>
      </c>
      <c r="E493">
        <v>3224</v>
      </c>
      <c r="F493">
        <v>146114</v>
      </c>
    </row>
    <row r="494" spans="1:6" x14ac:dyDescent="0.35">
      <c r="A494" t="s">
        <v>3</v>
      </c>
      <c r="B494" t="s">
        <v>5</v>
      </c>
      <c r="C494">
        <v>1944</v>
      </c>
      <c r="D494">
        <v>1778</v>
      </c>
      <c r="E494">
        <v>3556</v>
      </c>
      <c r="F494">
        <v>149828</v>
      </c>
    </row>
    <row r="495" spans="1:6" x14ac:dyDescent="0.35">
      <c r="A495" t="s">
        <v>3</v>
      </c>
      <c r="B495" t="s">
        <v>5</v>
      </c>
      <c r="C495">
        <v>1945</v>
      </c>
      <c r="D495">
        <v>1782</v>
      </c>
      <c r="E495">
        <v>3564</v>
      </c>
      <c r="F495">
        <v>157036</v>
      </c>
    </row>
    <row r="496" spans="1:6" x14ac:dyDescent="0.35">
      <c r="A496" t="s">
        <v>3</v>
      </c>
      <c r="B496" t="s">
        <v>5</v>
      </c>
      <c r="C496">
        <v>1946</v>
      </c>
      <c r="D496">
        <v>2014</v>
      </c>
      <c r="E496">
        <v>4028</v>
      </c>
      <c r="F496">
        <v>172392</v>
      </c>
    </row>
    <row r="497" spans="1:6" x14ac:dyDescent="0.35">
      <c r="A497" t="s">
        <v>3</v>
      </c>
      <c r="B497" t="s">
        <v>5</v>
      </c>
      <c r="C497">
        <v>1947</v>
      </c>
      <c r="D497">
        <v>2008</v>
      </c>
      <c r="E497">
        <v>4016</v>
      </c>
      <c r="F497">
        <v>178419</v>
      </c>
    </row>
    <row r="498" spans="1:6" x14ac:dyDescent="0.35">
      <c r="A498" t="s">
        <v>3</v>
      </c>
      <c r="B498" t="s">
        <v>5</v>
      </c>
      <c r="C498">
        <v>1948</v>
      </c>
      <c r="D498">
        <v>1923</v>
      </c>
      <c r="E498">
        <v>3846</v>
      </c>
      <c r="F498">
        <v>174167</v>
      </c>
    </row>
    <row r="499" spans="1:6" x14ac:dyDescent="0.35">
      <c r="A499" t="s">
        <v>3</v>
      </c>
      <c r="B499" t="s">
        <v>5</v>
      </c>
      <c r="C499">
        <v>1949</v>
      </c>
      <c r="D499">
        <v>2021</v>
      </c>
      <c r="E499">
        <v>4042</v>
      </c>
      <c r="F499">
        <v>177259</v>
      </c>
    </row>
    <row r="500" spans="1:6" x14ac:dyDescent="0.35">
      <c r="A500" t="s">
        <v>3</v>
      </c>
      <c r="B500" t="s">
        <v>5</v>
      </c>
      <c r="C500">
        <v>1950</v>
      </c>
      <c r="D500">
        <v>2217</v>
      </c>
      <c r="E500">
        <v>4434</v>
      </c>
      <c r="F500">
        <v>186198</v>
      </c>
    </row>
    <row r="501" spans="1:6" x14ac:dyDescent="0.35">
      <c r="A501" t="s">
        <v>3</v>
      </c>
      <c r="B501" t="s">
        <v>5</v>
      </c>
      <c r="C501">
        <v>1951</v>
      </c>
      <c r="D501">
        <v>2230</v>
      </c>
      <c r="E501">
        <v>4460</v>
      </c>
      <c r="F501">
        <v>188907</v>
      </c>
    </row>
    <row r="502" spans="1:6" x14ac:dyDescent="0.35">
      <c r="A502" t="s">
        <v>3</v>
      </c>
      <c r="B502" t="s">
        <v>5</v>
      </c>
      <c r="C502">
        <v>1952</v>
      </c>
      <c r="D502">
        <v>2310</v>
      </c>
      <c r="E502">
        <v>4620</v>
      </c>
      <c r="F502">
        <v>197097</v>
      </c>
    </row>
    <row r="503" spans="1:6" x14ac:dyDescent="0.35">
      <c r="A503" t="s">
        <v>3</v>
      </c>
      <c r="B503" t="s">
        <v>5</v>
      </c>
      <c r="C503">
        <v>1953</v>
      </c>
      <c r="D503">
        <v>2470</v>
      </c>
      <c r="E503">
        <v>4940</v>
      </c>
      <c r="F503">
        <v>197373</v>
      </c>
    </row>
    <row r="504" spans="1:6" x14ac:dyDescent="0.35">
      <c r="A504" t="s">
        <v>3</v>
      </c>
      <c r="B504" t="s">
        <v>5</v>
      </c>
      <c r="C504">
        <v>1954</v>
      </c>
      <c r="D504">
        <v>2344</v>
      </c>
      <c r="E504">
        <v>4688</v>
      </c>
      <c r="F504">
        <v>197581</v>
      </c>
    </row>
    <row r="505" spans="1:6" x14ac:dyDescent="0.35">
      <c r="A505" t="s">
        <v>3</v>
      </c>
      <c r="B505" t="s">
        <v>5</v>
      </c>
      <c r="C505">
        <v>1955</v>
      </c>
      <c r="D505">
        <v>2369</v>
      </c>
      <c r="E505">
        <v>4738</v>
      </c>
      <c r="F505">
        <v>202969</v>
      </c>
    </row>
    <row r="506" spans="1:6" x14ac:dyDescent="0.35">
      <c r="A506" t="s">
        <v>3</v>
      </c>
      <c r="B506" t="s">
        <v>5</v>
      </c>
      <c r="C506">
        <v>1956</v>
      </c>
      <c r="D506">
        <v>2442</v>
      </c>
      <c r="E506">
        <v>4884</v>
      </c>
      <c r="F506">
        <v>207282</v>
      </c>
    </row>
    <row r="507" spans="1:6" x14ac:dyDescent="0.35">
      <c r="A507" t="s">
        <v>3</v>
      </c>
      <c r="B507" t="s">
        <v>5</v>
      </c>
      <c r="C507">
        <v>1957</v>
      </c>
      <c r="D507">
        <v>2495</v>
      </c>
      <c r="E507">
        <v>4990</v>
      </c>
      <c r="F507">
        <v>215370</v>
      </c>
    </row>
    <row r="508" spans="1:6" x14ac:dyDescent="0.35">
      <c r="A508" t="s">
        <v>3</v>
      </c>
      <c r="B508" t="s">
        <v>5</v>
      </c>
      <c r="C508">
        <v>1958</v>
      </c>
      <c r="D508">
        <v>2599</v>
      </c>
      <c r="E508">
        <v>5198</v>
      </c>
      <c r="F508">
        <v>217298</v>
      </c>
    </row>
    <row r="509" spans="1:6" x14ac:dyDescent="0.35">
      <c r="A509" t="s">
        <v>3</v>
      </c>
      <c r="B509" t="s">
        <v>5</v>
      </c>
      <c r="C509">
        <v>1959</v>
      </c>
      <c r="D509">
        <v>2611</v>
      </c>
      <c r="E509">
        <v>5222</v>
      </c>
      <c r="F509">
        <v>221789</v>
      </c>
    </row>
    <row r="510" spans="1:6" x14ac:dyDescent="0.35">
      <c r="A510" t="s">
        <v>3</v>
      </c>
      <c r="B510" t="s">
        <v>5</v>
      </c>
      <c r="C510">
        <v>1960</v>
      </c>
      <c r="D510">
        <v>2564</v>
      </c>
      <c r="E510">
        <v>5128</v>
      </c>
      <c r="F510">
        <v>225245</v>
      </c>
    </row>
    <row r="511" spans="1:6" x14ac:dyDescent="0.35">
      <c r="A511" t="s">
        <v>3</v>
      </c>
      <c r="B511" t="s">
        <v>5</v>
      </c>
      <c r="C511">
        <v>1961</v>
      </c>
      <c r="D511">
        <v>2623</v>
      </c>
      <c r="E511">
        <v>5246</v>
      </c>
      <c r="F511">
        <v>234778</v>
      </c>
    </row>
    <row r="512" spans="1:6" x14ac:dyDescent="0.35">
      <c r="A512" t="s">
        <v>3</v>
      </c>
      <c r="B512" t="s">
        <v>5</v>
      </c>
      <c r="C512">
        <v>1962</v>
      </c>
      <c r="D512">
        <v>2575</v>
      </c>
      <c r="E512">
        <v>5150</v>
      </c>
      <c r="F512">
        <v>231921</v>
      </c>
    </row>
    <row r="513" spans="1:6" x14ac:dyDescent="0.35">
      <c r="A513" t="s">
        <v>3</v>
      </c>
      <c r="B513" t="s">
        <v>5</v>
      </c>
      <c r="C513">
        <v>1963</v>
      </c>
      <c r="D513">
        <v>2584</v>
      </c>
      <c r="E513">
        <v>5168</v>
      </c>
      <c r="F513">
        <v>230552</v>
      </c>
    </row>
    <row r="514" spans="1:6" x14ac:dyDescent="0.35">
      <c r="A514" t="s">
        <v>3</v>
      </c>
      <c r="B514" t="s">
        <v>5</v>
      </c>
      <c r="C514">
        <v>1964</v>
      </c>
      <c r="D514">
        <v>2393</v>
      </c>
      <c r="E514">
        <v>4786</v>
      </c>
      <c r="F514">
        <v>224378</v>
      </c>
    </row>
    <row r="515" spans="1:6" x14ac:dyDescent="0.35">
      <c r="A515" t="s">
        <v>3</v>
      </c>
      <c r="B515" t="s">
        <v>5</v>
      </c>
      <c r="C515">
        <v>1965</v>
      </c>
      <c r="D515">
        <v>2371</v>
      </c>
      <c r="E515">
        <v>4742</v>
      </c>
      <c r="F515">
        <v>218109</v>
      </c>
    </row>
    <row r="516" spans="1:6" x14ac:dyDescent="0.35">
      <c r="A516" t="s">
        <v>3</v>
      </c>
      <c r="B516" t="s">
        <v>5</v>
      </c>
      <c r="C516">
        <v>1966</v>
      </c>
      <c r="D516">
        <v>2310</v>
      </c>
      <c r="E516">
        <v>4620</v>
      </c>
      <c r="F516">
        <v>218014</v>
      </c>
    </row>
    <row r="517" spans="1:6" x14ac:dyDescent="0.35">
      <c r="A517" t="s">
        <v>3</v>
      </c>
      <c r="B517" t="s">
        <v>5</v>
      </c>
      <c r="C517">
        <v>1967</v>
      </c>
      <c r="D517">
        <v>2319</v>
      </c>
      <c r="E517">
        <v>4638</v>
      </c>
      <c r="F517">
        <v>224633</v>
      </c>
    </row>
    <row r="518" spans="1:6" x14ac:dyDescent="0.35">
      <c r="A518" t="s">
        <v>3</v>
      </c>
      <c r="B518" t="s">
        <v>5</v>
      </c>
      <c r="C518">
        <v>1968</v>
      </c>
      <c r="D518">
        <v>2472</v>
      </c>
      <c r="E518">
        <v>4944</v>
      </c>
      <c r="F518">
        <v>235957</v>
      </c>
    </row>
    <row r="519" spans="1:6" x14ac:dyDescent="0.35">
      <c r="A519" t="s">
        <v>3</v>
      </c>
      <c r="B519" t="s">
        <v>5</v>
      </c>
      <c r="C519">
        <v>1969</v>
      </c>
      <c r="D519">
        <v>2586</v>
      </c>
      <c r="E519">
        <v>5172</v>
      </c>
      <c r="F519">
        <v>245013</v>
      </c>
    </row>
    <row r="520" spans="1:6" x14ac:dyDescent="0.35">
      <c r="A520" t="s">
        <v>3</v>
      </c>
      <c r="B520" t="s">
        <v>5</v>
      </c>
      <c r="C520">
        <v>1970</v>
      </c>
      <c r="D520">
        <v>2718</v>
      </c>
      <c r="E520">
        <v>5436</v>
      </c>
      <c r="F520">
        <v>252064</v>
      </c>
    </row>
    <row r="521" spans="1:6" x14ac:dyDescent="0.35">
      <c r="A521" t="s">
        <v>3</v>
      </c>
      <c r="B521" t="s">
        <v>5</v>
      </c>
      <c r="C521">
        <v>1971</v>
      </c>
      <c r="D521">
        <v>2779</v>
      </c>
      <c r="E521">
        <v>5558</v>
      </c>
      <c r="F521">
        <v>270838</v>
      </c>
    </row>
    <row r="522" spans="1:6" x14ac:dyDescent="0.35">
      <c r="A522" t="s">
        <v>3</v>
      </c>
      <c r="B522" t="s">
        <v>5</v>
      </c>
      <c r="C522">
        <v>1972</v>
      </c>
      <c r="D522">
        <v>2622</v>
      </c>
      <c r="E522">
        <v>5244</v>
      </c>
      <c r="F522">
        <v>259719</v>
      </c>
    </row>
    <row r="523" spans="1:6" x14ac:dyDescent="0.35">
      <c r="A523" t="s">
        <v>3</v>
      </c>
      <c r="C523">
        <v>1973</v>
      </c>
    </row>
    <row r="524" spans="1:6" x14ac:dyDescent="0.35">
      <c r="A524" t="s">
        <v>3</v>
      </c>
      <c r="B524" t="s">
        <v>5</v>
      </c>
      <c r="C524">
        <v>1974</v>
      </c>
      <c r="D524">
        <v>2367</v>
      </c>
      <c r="E524">
        <v>4734</v>
      </c>
      <c r="F524">
        <v>240437</v>
      </c>
    </row>
    <row r="525" spans="1:6" x14ac:dyDescent="0.35">
      <c r="A525" t="s">
        <v>3</v>
      </c>
      <c r="B525" t="s">
        <v>5</v>
      </c>
      <c r="C525">
        <v>1975</v>
      </c>
      <c r="D525">
        <v>2223</v>
      </c>
      <c r="F525">
        <v>228525</v>
      </c>
    </row>
    <row r="526" spans="1:6" x14ac:dyDescent="0.35">
      <c r="A526" t="s">
        <v>3</v>
      </c>
      <c r="B526" t="s">
        <v>5</v>
      </c>
      <c r="C526">
        <v>1976</v>
      </c>
      <c r="D526">
        <v>2281</v>
      </c>
      <c r="F526">
        <v>223264</v>
      </c>
    </row>
    <row r="527" spans="1:6" x14ac:dyDescent="0.35">
      <c r="A527" t="s">
        <v>3</v>
      </c>
      <c r="B527" t="s">
        <v>5</v>
      </c>
      <c r="C527">
        <v>1977</v>
      </c>
      <c r="D527">
        <v>2020</v>
      </c>
      <c r="F527">
        <v>222223</v>
      </c>
    </row>
    <row r="528" spans="1:6" x14ac:dyDescent="0.35">
      <c r="A528" t="s">
        <v>3</v>
      </c>
      <c r="B528" t="s">
        <v>5</v>
      </c>
      <c r="C528">
        <v>1978</v>
      </c>
      <c r="D528">
        <v>2181</v>
      </c>
      <c r="F528">
        <v>219780</v>
      </c>
    </row>
    <row r="529" spans="1:6" x14ac:dyDescent="0.35">
      <c r="A529" t="s">
        <v>3</v>
      </c>
      <c r="B529" t="s">
        <v>5</v>
      </c>
      <c r="C529">
        <v>1979</v>
      </c>
      <c r="D529">
        <v>2165</v>
      </c>
      <c r="F529">
        <v>218774</v>
      </c>
    </row>
    <row r="530" spans="1:6" x14ac:dyDescent="0.35">
      <c r="A530" t="s">
        <v>3</v>
      </c>
      <c r="B530" t="s">
        <v>5</v>
      </c>
      <c r="C530">
        <v>1980</v>
      </c>
      <c r="D530">
        <v>2219</v>
      </c>
      <c r="F530">
        <v>221069</v>
      </c>
    </row>
    <row r="531" spans="1:6" x14ac:dyDescent="0.35">
      <c r="A531" t="s">
        <v>3</v>
      </c>
      <c r="B531" t="s">
        <v>5</v>
      </c>
      <c r="C531">
        <v>1981</v>
      </c>
      <c r="D531">
        <v>2278</v>
      </c>
      <c r="F531">
        <v>231217</v>
      </c>
    </row>
    <row r="532" spans="1:6" x14ac:dyDescent="0.35">
      <c r="A532" t="s">
        <v>3</v>
      </c>
      <c r="B532" t="s">
        <v>5</v>
      </c>
      <c r="C532">
        <v>1982</v>
      </c>
      <c r="D532">
        <v>2443</v>
      </c>
      <c r="F532">
        <v>234978</v>
      </c>
    </row>
    <row r="533" spans="1:6" x14ac:dyDescent="0.35">
      <c r="A533" t="s">
        <v>3</v>
      </c>
      <c r="B533" t="s">
        <v>5</v>
      </c>
      <c r="C533">
        <v>1983</v>
      </c>
      <c r="D533">
        <v>2420</v>
      </c>
      <c r="F533">
        <v>237652</v>
      </c>
    </row>
    <row r="534" spans="1:6" x14ac:dyDescent="0.35">
      <c r="A534" t="s">
        <v>3</v>
      </c>
      <c r="B534" t="s">
        <v>5</v>
      </c>
      <c r="C534">
        <v>1984</v>
      </c>
      <c r="D534">
        <v>2359</v>
      </c>
      <c r="F534">
        <v>229248</v>
      </c>
    </row>
    <row r="535" spans="1:6" x14ac:dyDescent="0.35">
      <c r="A535" t="s">
        <v>3</v>
      </c>
      <c r="B535" t="s">
        <v>5</v>
      </c>
      <c r="C535">
        <v>1985</v>
      </c>
      <c r="D535">
        <v>2622</v>
      </c>
      <c r="F535">
        <v>241999</v>
      </c>
    </row>
    <row r="536" spans="1:6" x14ac:dyDescent="0.35">
      <c r="A536" t="s">
        <v>3</v>
      </c>
      <c r="B536" t="s">
        <v>5</v>
      </c>
      <c r="C536">
        <v>1986</v>
      </c>
      <c r="D536">
        <v>2636</v>
      </c>
      <c r="F536">
        <v>238011</v>
      </c>
    </row>
    <row r="537" spans="1:6" x14ac:dyDescent="0.35">
      <c r="A537" t="s">
        <v>3</v>
      </c>
      <c r="B537" t="s">
        <v>5</v>
      </c>
      <c r="C537">
        <v>1987</v>
      </c>
      <c r="D537">
        <v>2594</v>
      </c>
      <c r="F537">
        <v>238612</v>
      </c>
    </row>
    <row r="538" spans="1:6" x14ac:dyDescent="0.35">
      <c r="A538" t="s">
        <v>3</v>
      </c>
      <c r="B538" t="s">
        <v>5</v>
      </c>
      <c r="C538">
        <v>1988</v>
      </c>
      <c r="D538">
        <v>2871</v>
      </c>
      <c r="F538">
        <v>240228</v>
      </c>
    </row>
    <row r="539" spans="1:6" x14ac:dyDescent="0.35">
      <c r="A539" t="s">
        <v>3</v>
      </c>
      <c r="B539" t="s">
        <v>5</v>
      </c>
      <c r="C539">
        <v>1989</v>
      </c>
      <c r="D539">
        <v>3064</v>
      </c>
      <c r="F539">
        <v>244452</v>
      </c>
    </row>
    <row r="540" spans="1:6" x14ac:dyDescent="0.35">
      <c r="A540" t="s">
        <v>3</v>
      </c>
      <c r="B540" t="s">
        <v>5</v>
      </c>
      <c r="C540">
        <v>1990</v>
      </c>
      <c r="D540">
        <v>3074</v>
      </c>
      <c r="F540">
        <v>256267</v>
      </c>
    </row>
    <row r="541" spans="1:6" x14ac:dyDescent="0.35">
      <c r="A541" t="s">
        <v>3</v>
      </c>
      <c r="B541" t="s">
        <v>5</v>
      </c>
      <c r="C541">
        <v>1991</v>
      </c>
      <c r="D541">
        <v>3266</v>
      </c>
      <c r="F541">
        <v>250506</v>
      </c>
    </row>
    <row r="542" spans="1:6" x14ac:dyDescent="0.35">
      <c r="A542" t="s">
        <v>3</v>
      </c>
      <c r="B542" t="s">
        <v>5</v>
      </c>
      <c r="C542">
        <v>1992</v>
      </c>
      <c r="D542">
        <v>3315</v>
      </c>
      <c r="F542">
        <v>257242</v>
      </c>
    </row>
    <row r="543" spans="1:6" x14ac:dyDescent="0.35">
      <c r="A543" t="s">
        <v>3</v>
      </c>
      <c r="B543" t="s">
        <v>5</v>
      </c>
      <c r="C543">
        <v>1993</v>
      </c>
      <c r="D543">
        <v>3399</v>
      </c>
      <c r="F543">
        <v>253206</v>
      </c>
    </row>
    <row r="544" spans="1:6" x14ac:dyDescent="0.35">
      <c r="A544" t="s">
        <v>3</v>
      </c>
      <c r="B544" t="s">
        <v>5</v>
      </c>
      <c r="C544">
        <v>1994</v>
      </c>
      <c r="D544">
        <v>3409</v>
      </c>
      <c r="F544">
        <v>251055</v>
      </c>
    </row>
    <row r="545" spans="1:6" x14ac:dyDescent="0.35">
      <c r="A545" t="s">
        <v>3</v>
      </c>
      <c r="B545" t="s">
        <v>5</v>
      </c>
      <c r="C545">
        <v>1995</v>
      </c>
      <c r="D545">
        <v>3359</v>
      </c>
      <c r="F545">
        <v>249249</v>
      </c>
    </row>
    <row r="546" spans="1:6" x14ac:dyDescent="0.35">
      <c r="A546" t="s">
        <v>3</v>
      </c>
      <c r="B546" t="s">
        <v>5</v>
      </c>
      <c r="C546">
        <v>1996</v>
      </c>
      <c r="D546">
        <v>3345</v>
      </c>
      <c r="F546">
        <v>246914</v>
      </c>
    </row>
    <row r="547" spans="1:6" x14ac:dyDescent="0.35">
      <c r="A547" t="s">
        <v>3</v>
      </c>
      <c r="B547" t="s">
        <v>5</v>
      </c>
      <c r="C547">
        <v>1997</v>
      </c>
      <c r="D547">
        <v>3450</v>
      </c>
      <c r="F547">
        <v>244689</v>
      </c>
    </row>
    <row r="548" spans="1:6" x14ac:dyDescent="0.35">
      <c r="A548" t="s">
        <v>3</v>
      </c>
      <c r="B548" t="s">
        <v>5</v>
      </c>
      <c r="C548">
        <v>1998</v>
      </c>
      <c r="D548">
        <v>3592</v>
      </c>
      <c r="F548">
        <v>242208</v>
      </c>
    </row>
    <row r="549" spans="1:6" x14ac:dyDescent="0.35">
      <c r="A549" t="s">
        <v>3</v>
      </c>
      <c r="B549" t="s">
        <v>5</v>
      </c>
      <c r="C549">
        <v>1999</v>
      </c>
      <c r="D549">
        <v>3630</v>
      </c>
      <c r="F549">
        <v>241370</v>
      </c>
    </row>
    <row r="550" spans="1:6" x14ac:dyDescent="0.35">
      <c r="A550" t="s">
        <v>3</v>
      </c>
      <c r="B550" t="s">
        <v>5</v>
      </c>
      <c r="C550">
        <v>2000</v>
      </c>
      <c r="D550">
        <v>3800</v>
      </c>
      <c r="F550">
        <v>241795</v>
      </c>
    </row>
    <row r="551" spans="1:6" x14ac:dyDescent="0.35">
      <c r="A551" t="s">
        <v>3</v>
      </c>
      <c r="B551" t="s">
        <v>5</v>
      </c>
      <c r="C551">
        <v>2001</v>
      </c>
      <c r="D551">
        <v>3938</v>
      </c>
      <c r="F551">
        <v>238312</v>
      </c>
    </row>
    <row r="552" spans="1:6" x14ac:dyDescent="0.35">
      <c r="A552" t="s">
        <v>3</v>
      </c>
      <c r="B552" t="s">
        <v>5</v>
      </c>
      <c r="C552">
        <v>2002</v>
      </c>
      <c r="D552">
        <v>4070</v>
      </c>
      <c r="F552">
        <v>242668</v>
      </c>
    </row>
    <row r="553" spans="1:6" x14ac:dyDescent="0.35">
      <c r="A553" t="s">
        <v>3</v>
      </c>
      <c r="B553" t="s">
        <v>5</v>
      </c>
      <c r="C553">
        <v>2003</v>
      </c>
      <c r="D553">
        <v>3990</v>
      </c>
      <c r="F553">
        <v>243022</v>
      </c>
    </row>
    <row r="554" spans="1:6" x14ac:dyDescent="0.35">
      <c r="A554" t="s">
        <v>3</v>
      </c>
      <c r="B554" t="s">
        <v>5</v>
      </c>
      <c r="C554">
        <v>2004</v>
      </c>
      <c r="D554">
        <v>4105</v>
      </c>
      <c r="F554">
        <v>245861</v>
      </c>
    </row>
    <row r="555" spans="1:6" x14ac:dyDescent="0.35">
      <c r="A555" t="s">
        <v>3</v>
      </c>
      <c r="B555" t="s">
        <v>5</v>
      </c>
      <c r="C555">
        <v>2005</v>
      </c>
      <c r="D555">
        <v>4192</v>
      </c>
      <c r="F555">
        <v>255847</v>
      </c>
    </row>
    <row r="556" spans="1:6" x14ac:dyDescent="0.35">
      <c r="A556" t="s">
        <v>3</v>
      </c>
      <c r="B556" t="s">
        <v>5</v>
      </c>
      <c r="C556">
        <v>2006</v>
      </c>
      <c r="D556">
        <v>4282</v>
      </c>
      <c r="F556">
        <v>261998</v>
      </c>
    </row>
    <row r="557" spans="1:6" x14ac:dyDescent="0.35">
      <c r="A557" t="s">
        <v>3</v>
      </c>
      <c r="B557" t="s">
        <v>5</v>
      </c>
      <c r="C557">
        <v>2007</v>
      </c>
      <c r="D557">
        <v>4390</v>
      </c>
      <c r="F557">
        <v>283143</v>
      </c>
    </row>
    <row r="558" spans="1:6" x14ac:dyDescent="0.35">
      <c r="A558" t="s">
        <v>3</v>
      </c>
      <c r="B558" t="s">
        <v>5</v>
      </c>
      <c r="C558">
        <v>2008</v>
      </c>
      <c r="D558">
        <v>4582</v>
      </c>
      <c r="F558">
        <v>292911</v>
      </c>
    </row>
    <row r="559" spans="1:6" x14ac:dyDescent="0.35">
      <c r="A559" t="s">
        <v>3</v>
      </c>
      <c r="B559" t="s">
        <v>5</v>
      </c>
      <c r="C559">
        <v>2009</v>
      </c>
      <c r="D559">
        <v>4434</v>
      </c>
      <c r="F559">
        <v>292153</v>
      </c>
    </row>
    <row r="560" spans="1:6" x14ac:dyDescent="0.35">
      <c r="A560" t="s">
        <v>3</v>
      </c>
      <c r="B560" t="s">
        <v>5</v>
      </c>
      <c r="C560">
        <v>2010</v>
      </c>
      <c r="D560">
        <v>4541</v>
      </c>
      <c r="F560">
        <v>294049</v>
      </c>
    </row>
    <row r="561" spans="1:6" x14ac:dyDescent="0.35">
      <c r="A561" t="s">
        <v>3</v>
      </c>
      <c r="B561" t="s">
        <v>5</v>
      </c>
      <c r="C561">
        <v>2011</v>
      </c>
      <c r="D561">
        <v>4498</v>
      </c>
      <c r="F561">
        <v>292512</v>
      </c>
    </row>
    <row r="562" spans="1:6" x14ac:dyDescent="0.35">
      <c r="A562" t="s">
        <v>3</v>
      </c>
      <c r="B562" t="s">
        <v>5</v>
      </c>
      <c r="C562">
        <v>2012</v>
      </c>
      <c r="D562">
        <v>4421</v>
      </c>
      <c r="F562">
        <v>300599</v>
      </c>
    </row>
    <row r="563" spans="1:6" x14ac:dyDescent="0.35">
      <c r="A563" t="s">
        <v>3</v>
      </c>
      <c r="B563" t="s">
        <v>5</v>
      </c>
      <c r="C563">
        <v>2013</v>
      </c>
      <c r="D563">
        <v>4475</v>
      </c>
      <c r="F563">
        <v>298984</v>
      </c>
    </row>
    <row r="564" spans="1:6" x14ac:dyDescent="0.35">
      <c r="A564" t="s">
        <v>3</v>
      </c>
      <c r="B564" t="s">
        <v>5</v>
      </c>
      <c r="C564">
        <v>2014</v>
      </c>
      <c r="D564">
        <v>4316</v>
      </c>
      <c r="F564">
        <v>291012</v>
      </c>
    </row>
    <row r="565" spans="1:6" x14ac:dyDescent="0.35">
      <c r="A565" t="s">
        <v>3</v>
      </c>
      <c r="B565" t="s">
        <v>5</v>
      </c>
      <c r="C565">
        <v>2015</v>
      </c>
      <c r="D565">
        <v>4291</v>
      </c>
      <c r="F565">
        <v>296741</v>
      </c>
    </row>
    <row r="566" spans="1:6" x14ac:dyDescent="0.35">
      <c r="A566" t="s">
        <v>3</v>
      </c>
      <c r="B566" t="s">
        <v>5</v>
      </c>
      <c r="C566">
        <v>2016</v>
      </c>
      <c r="D566">
        <v>4497</v>
      </c>
      <c r="F566">
        <v>302088</v>
      </c>
    </row>
    <row r="567" spans="1:6" x14ac:dyDescent="0.35">
      <c r="A567" t="s">
        <v>3</v>
      </c>
      <c r="B567" t="s">
        <v>5</v>
      </c>
      <c r="C567">
        <v>2017</v>
      </c>
      <c r="D567">
        <v>4468</v>
      </c>
      <c r="F567">
        <v>300209</v>
      </c>
    </row>
    <row r="568" spans="1:6" x14ac:dyDescent="0.35">
      <c r="A568" t="s">
        <v>3</v>
      </c>
      <c r="B568" t="s">
        <v>5</v>
      </c>
      <c r="C568">
        <v>2018</v>
      </c>
      <c r="D568">
        <v>4437</v>
      </c>
      <c r="F568">
        <v>306156</v>
      </c>
    </row>
    <row r="569" spans="1:6" x14ac:dyDescent="0.35">
      <c r="A569" t="s">
        <v>3</v>
      </c>
      <c r="B569" t="s">
        <v>5</v>
      </c>
      <c r="C569">
        <v>2019</v>
      </c>
      <c r="D569">
        <v>4446</v>
      </c>
      <c r="F569">
        <v>296963</v>
      </c>
    </row>
    <row r="570" spans="1:6" x14ac:dyDescent="0.35">
      <c r="A570" t="s">
        <v>3</v>
      </c>
      <c r="B570" t="s">
        <v>5</v>
      </c>
      <c r="C570">
        <v>2020</v>
      </c>
      <c r="D570">
        <v>4148</v>
      </c>
      <c r="F570">
        <v>286070</v>
      </c>
    </row>
    <row r="571" spans="1:6" x14ac:dyDescent="0.35">
      <c r="A571" t="s">
        <v>125</v>
      </c>
      <c r="B571" t="s">
        <v>4</v>
      </c>
      <c r="C571">
        <v>1906</v>
      </c>
    </row>
    <row r="572" spans="1:6" x14ac:dyDescent="0.35">
      <c r="A572" t="s">
        <v>125</v>
      </c>
      <c r="B572" t="s">
        <v>4</v>
      </c>
      <c r="C572">
        <v>1907</v>
      </c>
    </row>
    <row r="573" spans="1:6" x14ac:dyDescent="0.35">
      <c r="A573" t="s">
        <v>125</v>
      </c>
      <c r="B573" t="s">
        <v>4</v>
      </c>
      <c r="C573">
        <v>1908</v>
      </c>
    </row>
    <row r="574" spans="1:6" x14ac:dyDescent="0.35">
      <c r="A574" t="s">
        <v>125</v>
      </c>
      <c r="B574" t="s">
        <v>4</v>
      </c>
      <c r="C574">
        <v>1909</v>
      </c>
    </row>
    <row r="575" spans="1:6" x14ac:dyDescent="0.35">
      <c r="A575" t="s">
        <v>125</v>
      </c>
      <c r="B575" t="s">
        <v>4</v>
      </c>
      <c r="C575">
        <v>1910</v>
      </c>
    </row>
    <row r="576" spans="1:6" x14ac:dyDescent="0.35">
      <c r="A576" t="s">
        <v>125</v>
      </c>
      <c r="B576" t="s">
        <v>4</v>
      </c>
      <c r="C576">
        <v>1911</v>
      </c>
    </row>
    <row r="577" spans="1:3" x14ac:dyDescent="0.35">
      <c r="A577" t="s">
        <v>125</v>
      </c>
      <c r="B577" t="s">
        <v>4</v>
      </c>
      <c r="C577">
        <v>1912</v>
      </c>
    </row>
    <row r="578" spans="1:3" x14ac:dyDescent="0.35">
      <c r="A578" t="s">
        <v>125</v>
      </c>
      <c r="B578" t="s">
        <v>4</v>
      </c>
      <c r="C578">
        <v>1913</v>
      </c>
    </row>
    <row r="579" spans="1:3" x14ac:dyDescent="0.35">
      <c r="A579" t="s">
        <v>125</v>
      </c>
      <c r="B579" t="s">
        <v>4</v>
      </c>
      <c r="C579">
        <v>1914</v>
      </c>
    </row>
    <row r="580" spans="1:3" x14ac:dyDescent="0.35">
      <c r="A580" t="s">
        <v>125</v>
      </c>
      <c r="B580" t="s">
        <v>4</v>
      </c>
      <c r="C580">
        <v>1915</v>
      </c>
    </row>
    <row r="581" spans="1:3" x14ac:dyDescent="0.35">
      <c r="A581" t="s">
        <v>125</v>
      </c>
      <c r="B581" t="s">
        <v>4</v>
      </c>
      <c r="C581">
        <v>1916</v>
      </c>
    </row>
    <row r="582" spans="1:3" x14ac:dyDescent="0.35">
      <c r="A582" t="s">
        <v>125</v>
      </c>
      <c r="B582" t="s">
        <v>4</v>
      </c>
      <c r="C582">
        <v>1917</v>
      </c>
    </row>
    <row r="583" spans="1:3" x14ac:dyDescent="0.35">
      <c r="A583" t="s">
        <v>125</v>
      </c>
      <c r="B583" t="s">
        <v>4</v>
      </c>
      <c r="C583">
        <v>1918</v>
      </c>
    </row>
    <row r="584" spans="1:3" x14ac:dyDescent="0.35">
      <c r="A584" t="s">
        <v>125</v>
      </c>
      <c r="B584" t="s">
        <v>4</v>
      </c>
      <c r="C584">
        <v>1919</v>
      </c>
    </row>
    <row r="585" spans="1:3" x14ac:dyDescent="0.35">
      <c r="A585" t="s">
        <v>125</v>
      </c>
      <c r="B585" t="s">
        <v>4</v>
      </c>
      <c r="C585">
        <v>1920</v>
      </c>
    </row>
    <row r="586" spans="1:3" x14ac:dyDescent="0.35">
      <c r="A586" t="s">
        <v>125</v>
      </c>
      <c r="B586" t="s">
        <v>4</v>
      </c>
      <c r="C586">
        <v>1921</v>
      </c>
    </row>
    <row r="587" spans="1:3" x14ac:dyDescent="0.35">
      <c r="A587" t="s">
        <v>125</v>
      </c>
      <c r="B587" t="s">
        <v>4</v>
      </c>
      <c r="C587">
        <v>1922</v>
      </c>
    </row>
    <row r="588" spans="1:3" x14ac:dyDescent="0.35">
      <c r="A588" t="s">
        <v>125</v>
      </c>
      <c r="B588" t="s">
        <v>4</v>
      </c>
      <c r="C588">
        <v>1923</v>
      </c>
    </row>
    <row r="589" spans="1:3" x14ac:dyDescent="0.35">
      <c r="A589" t="s">
        <v>125</v>
      </c>
      <c r="B589" t="s">
        <v>4</v>
      </c>
      <c r="C589">
        <v>1924</v>
      </c>
    </row>
    <row r="590" spans="1:3" x14ac:dyDescent="0.35">
      <c r="A590" t="s">
        <v>125</v>
      </c>
      <c r="B590" t="s">
        <v>4</v>
      </c>
      <c r="C590">
        <v>1925</v>
      </c>
    </row>
    <row r="591" spans="1:3" x14ac:dyDescent="0.35">
      <c r="A591" t="s">
        <v>125</v>
      </c>
      <c r="B591" t="s">
        <v>4</v>
      </c>
      <c r="C591">
        <v>1926</v>
      </c>
    </row>
    <row r="592" spans="1:3" x14ac:dyDescent="0.35">
      <c r="A592" t="s">
        <v>125</v>
      </c>
      <c r="B592" t="s">
        <v>4</v>
      </c>
      <c r="C592">
        <v>1927</v>
      </c>
    </row>
    <row r="593" spans="1:3" x14ac:dyDescent="0.35">
      <c r="A593" t="s">
        <v>125</v>
      </c>
      <c r="B593" t="s">
        <v>4</v>
      </c>
      <c r="C593">
        <v>1928</v>
      </c>
    </row>
    <row r="594" spans="1:3" x14ac:dyDescent="0.35">
      <c r="A594" t="s">
        <v>125</v>
      </c>
      <c r="B594" t="s">
        <v>4</v>
      </c>
      <c r="C594">
        <v>1929</v>
      </c>
    </row>
    <row r="595" spans="1:3" x14ac:dyDescent="0.35">
      <c r="A595" t="s">
        <v>125</v>
      </c>
      <c r="B595" t="s">
        <v>4</v>
      </c>
      <c r="C595">
        <v>1930</v>
      </c>
    </row>
    <row r="596" spans="1:3" x14ac:dyDescent="0.35">
      <c r="A596" t="s">
        <v>125</v>
      </c>
      <c r="B596" t="s">
        <v>4</v>
      </c>
      <c r="C596">
        <v>1931</v>
      </c>
    </row>
    <row r="597" spans="1:3" x14ac:dyDescent="0.35">
      <c r="A597" t="s">
        <v>125</v>
      </c>
      <c r="B597" t="s">
        <v>4</v>
      </c>
      <c r="C597">
        <v>1932</v>
      </c>
    </row>
    <row r="598" spans="1:3" x14ac:dyDescent="0.35">
      <c r="A598" t="s">
        <v>125</v>
      </c>
      <c r="B598" t="s">
        <v>4</v>
      </c>
      <c r="C598">
        <v>1933</v>
      </c>
    </row>
    <row r="599" spans="1:3" x14ac:dyDescent="0.35">
      <c r="A599" t="s">
        <v>125</v>
      </c>
      <c r="B599" t="s">
        <v>4</v>
      </c>
      <c r="C599">
        <v>1934</v>
      </c>
    </row>
    <row r="600" spans="1:3" x14ac:dyDescent="0.35">
      <c r="A600" t="s">
        <v>125</v>
      </c>
      <c r="B600" t="s">
        <v>4</v>
      </c>
      <c r="C600">
        <v>1935</v>
      </c>
    </row>
    <row r="601" spans="1:3" x14ac:dyDescent="0.35">
      <c r="A601" t="s">
        <v>125</v>
      </c>
      <c r="B601" t="s">
        <v>4</v>
      </c>
      <c r="C601">
        <v>1936</v>
      </c>
    </row>
    <row r="602" spans="1:3" x14ac:dyDescent="0.35">
      <c r="A602" t="s">
        <v>125</v>
      </c>
      <c r="C602">
        <v>1937</v>
      </c>
    </row>
    <row r="603" spans="1:3" x14ac:dyDescent="0.35">
      <c r="A603" t="s">
        <v>125</v>
      </c>
      <c r="C603">
        <v>1938</v>
      </c>
    </row>
    <row r="604" spans="1:3" x14ac:dyDescent="0.35">
      <c r="A604" t="s">
        <v>125</v>
      </c>
      <c r="C604">
        <v>1939</v>
      </c>
    </row>
    <row r="605" spans="1:3" x14ac:dyDescent="0.35">
      <c r="A605" t="s">
        <v>125</v>
      </c>
      <c r="C605">
        <v>1940</v>
      </c>
    </row>
    <row r="606" spans="1:3" x14ac:dyDescent="0.35">
      <c r="A606" t="s">
        <v>125</v>
      </c>
      <c r="C606">
        <v>1941</v>
      </c>
    </row>
    <row r="607" spans="1:3" x14ac:dyDescent="0.35">
      <c r="A607" t="s">
        <v>125</v>
      </c>
      <c r="C607">
        <v>1942</v>
      </c>
    </row>
    <row r="608" spans="1:3" x14ac:dyDescent="0.35">
      <c r="A608" t="s">
        <v>125</v>
      </c>
      <c r="C608">
        <v>1943</v>
      </c>
    </row>
    <row r="609" spans="1:4" x14ac:dyDescent="0.35">
      <c r="A609" t="s">
        <v>125</v>
      </c>
      <c r="C609">
        <v>1944</v>
      </c>
    </row>
    <row r="610" spans="1:4" x14ac:dyDescent="0.35">
      <c r="A610" t="s">
        <v>125</v>
      </c>
      <c r="C610">
        <v>1945</v>
      </c>
    </row>
    <row r="611" spans="1:4" x14ac:dyDescent="0.35">
      <c r="A611" t="s">
        <v>125</v>
      </c>
      <c r="C611">
        <v>1946</v>
      </c>
    </row>
    <row r="612" spans="1:4" x14ac:dyDescent="0.35">
      <c r="A612" t="s">
        <v>125</v>
      </c>
      <c r="C612">
        <v>1947</v>
      </c>
    </row>
    <row r="613" spans="1:4" x14ac:dyDescent="0.35">
      <c r="A613" t="s">
        <v>125</v>
      </c>
      <c r="C613">
        <v>1948</v>
      </c>
    </row>
    <row r="614" spans="1:4" x14ac:dyDescent="0.35">
      <c r="A614" t="s">
        <v>125</v>
      </c>
      <c r="C614">
        <v>1949</v>
      </c>
    </row>
    <row r="615" spans="1:4" x14ac:dyDescent="0.35">
      <c r="A615" t="s">
        <v>125</v>
      </c>
      <c r="B615" t="s">
        <v>126</v>
      </c>
      <c r="C615">
        <v>1950</v>
      </c>
      <c r="D615">
        <v>13103</v>
      </c>
    </row>
    <row r="616" spans="1:4" x14ac:dyDescent="0.35">
      <c r="A616" t="s">
        <v>125</v>
      </c>
      <c r="B616" t="s">
        <v>126</v>
      </c>
      <c r="C616">
        <v>1951</v>
      </c>
      <c r="D616">
        <v>13181</v>
      </c>
    </row>
    <row r="617" spans="1:4" x14ac:dyDescent="0.35">
      <c r="A617" t="s">
        <v>125</v>
      </c>
      <c r="B617" t="s">
        <v>126</v>
      </c>
      <c r="C617">
        <v>1952</v>
      </c>
      <c r="D617">
        <v>12698</v>
      </c>
    </row>
    <row r="618" spans="1:4" x14ac:dyDescent="0.35">
      <c r="A618" t="s">
        <v>125</v>
      </c>
      <c r="B618" t="s">
        <v>126</v>
      </c>
      <c r="C618">
        <v>1953</v>
      </c>
      <c r="D618">
        <v>12295</v>
      </c>
    </row>
    <row r="619" spans="1:4" x14ac:dyDescent="0.35">
      <c r="A619" t="s">
        <v>125</v>
      </c>
      <c r="B619" t="s">
        <v>126</v>
      </c>
      <c r="C619">
        <v>1954</v>
      </c>
      <c r="D619">
        <v>12728</v>
      </c>
    </row>
    <row r="620" spans="1:4" x14ac:dyDescent="0.35">
      <c r="A620" t="s">
        <v>125</v>
      </c>
      <c r="B620" t="s">
        <v>126</v>
      </c>
      <c r="C620">
        <v>1955</v>
      </c>
      <c r="D620">
        <v>13089</v>
      </c>
    </row>
    <row r="621" spans="1:4" x14ac:dyDescent="0.35">
      <c r="A621" t="s">
        <v>125</v>
      </c>
      <c r="B621" t="s">
        <v>126</v>
      </c>
      <c r="C621">
        <v>1956</v>
      </c>
      <c r="D621">
        <v>13307</v>
      </c>
    </row>
    <row r="622" spans="1:4" x14ac:dyDescent="0.35">
      <c r="A622" t="s">
        <v>125</v>
      </c>
      <c r="B622" t="s">
        <v>126</v>
      </c>
      <c r="C622">
        <v>1957</v>
      </c>
      <c r="D622">
        <v>13380</v>
      </c>
    </row>
    <row r="623" spans="1:4" x14ac:dyDescent="0.35">
      <c r="A623" t="s">
        <v>125</v>
      </c>
      <c r="B623" t="s">
        <v>126</v>
      </c>
      <c r="C623">
        <v>1958</v>
      </c>
      <c r="D623">
        <v>13428</v>
      </c>
    </row>
    <row r="624" spans="1:4" x14ac:dyDescent="0.35">
      <c r="A624" t="s">
        <v>125</v>
      </c>
      <c r="B624" t="s">
        <v>126</v>
      </c>
      <c r="C624">
        <v>1959</v>
      </c>
      <c r="D624">
        <v>14183</v>
      </c>
    </row>
    <row r="625" spans="1:4" x14ac:dyDescent="0.35">
      <c r="A625" t="s">
        <v>125</v>
      </c>
      <c r="B625" t="s">
        <v>126</v>
      </c>
      <c r="C625">
        <v>1960</v>
      </c>
      <c r="D625">
        <v>14509</v>
      </c>
    </row>
    <row r="626" spans="1:4" x14ac:dyDescent="0.35">
      <c r="A626" t="s">
        <v>125</v>
      </c>
      <c r="B626" t="s">
        <v>126</v>
      </c>
      <c r="C626">
        <v>1961</v>
      </c>
      <c r="D626">
        <v>14701</v>
      </c>
    </row>
    <row r="627" spans="1:4" x14ac:dyDescent="0.35">
      <c r="A627" t="s">
        <v>125</v>
      </c>
      <c r="B627" t="s">
        <v>126</v>
      </c>
      <c r="C627">
        <v>1962</v>
      </c>
      <c r="D627">
        <v>14657</v>
      </c>
    </row>
    <row r="628" spans="1:4" x14ac:dyDescent="0.35">
      <c r="A628" t="s">
        <v>125</v>
      </c>
      <c r="B628" t="s">
        <v>126</v>
      </c>
      <c r="C628">
        <v>1963</v>
      </c>
      <c r="D628">
        <v>14817</v>
      </c>
    </row>
    <row r="629" spans="1:4" x14ac:dyDescent="0.35">
      <c r="A629" t="s">
        <v>125</v>
      </c>
      <c r="B629" t="s">
        <v>126</v>
      </c>
      <c r="C629">
        <v>1964</v>
      </c>
      <c r="D629">
        <v>15028</v>
      </c>
    </row>
    <row r="630" spans="1:4" x14ac:dyDescent="0.35">
      <c r="A630" t="s">
        <v>125</v>
      </c>
      <c r="B630" t="s">
        <v>126</v>
      </c>
      <c r="C630">
        <v>1965</v>
      </c>
      <c r="D630">
        <v>14365</v>
      </c>
    </row>
    <row r="631" spans="1:4" x14ac:dyDescent="0.35">
      <c r="A631" t="s">
        <v>125</v>
      </c>
      <c r="B631" t="s">
        <v>126</v>
      </c>
      <c r="C631">
        <v>1966</v>
      </c>
      <c r="D631">
        <v>13773</v>
      </c>
    </row>
    <row r="632" spans="1:4" x14ac:dyDescent="0.35">
      <c r="A632" t="s">
        <v>125</v>
      </c>
      <c r="B632" t="s">
        <v>126</v>
      </c>
      <c r="C632">
        <v>1967</v>
      </c>
      <c r="D632">
        <v>13018</v>
      </c>
    </row>
    <row r="633" spans="1:4" x14ac:dyDescent="0.35">
      <c r="A633" t="s">
        <v>125</v>
      </c>
      <c r="B633" t="s">
        <v>126</v>
      </c>
      <c r="C633">
        <v>1968</v>
      </c>
      <c r="D633">
        <v>12186</v>
      </c>
    </row>
    <row r="634" spans="1:4" x14ac:dyDescent="0.35">
      <c r="A634" t="s">
        <v>125</v>
      </c>
      <c r="B634" t="s">
        <v>126</v>
      </c>
      <c r="C634">
        <v>1969</v>
      </c>
      <c r="D634">
        <v>11296</v>
      </c>
    </row>
    <row r="635" spans="1:4" x14ac:dyDescent="0.35">
      <c r="A635" t="s">
        <v>125</v>
      </c>
      <c r="B635" t="s">
        <v>126</v>
      </c>
      <c r="C635">
        <v>1970</v>
      </c>
      <c r="D635">
        <v>10250</v>
      </c>
    </row>
    <row r="636" spans="1:4" x14ac:dyDescent="0.35">
      <c r="A636" t="s">
        <v>125</v>
      </c>
      <c r="B636" t="s">
        <v>126</v>
      </c>
      <c r="C636">
        <v>1971</v>
      </c>
      <c r="D636">
        <v>9751</v>
      </c>
    </row>
    <row r="637" spans="1:4" x14ac:dyDescent="0.35">
      <c r="A637" t="s">
        <v>125</v>
      </c>
      <c r="B637" t="s">
        <v>126</v>
      </c>
      <c r="C637">
        <v>1972</v>
      </c>
      <c r="D637">
        <v>8558</v>
      </c>
    </row>
    <row r="638" spans="1:4" x14ac:dyDescent="0.35">
      <c r="A638" t="s">
        <v>125</v>
      </c>
      <c r="B638" t="s">
        <v>126</v>
      </c>
      <c r="C638">
        <v>1973</v>
      </c>
      <c r="D638">
        <v>7699</v>
      </c>
    </row>
    <row r="639" spans="1:4" x14ac:dyDescent="0.35">
      <c r="A639" t="s">
        <v>125</v>
      </c>
      <c r="B639" t="s">
        <v>126</v>
      </c>
      <c r="C639">
        <v>1974</v>
      </c>
      <c r="D639">
        <v>7554</v>
      </c>
    </row>
    <row r="640" spans="1:4" x14ac:dyDescent="0.35">
      <c r="A640" t="s">
        <v>125</v>
      </c>
      <c r="B640" t="s">
        <v>126</v>
      </c>
      <c r="C640">
        <v>1975</v>
      </c>
      <c r="D640">
        <v>7186</v>
      </c>
    </row>
    <row r="641" spans="1:4" x14ac:dyDescent="0.35">
      <c r="A641" t="s">
        <v>125</v>
      </c>
      <c r="B641" t="s">
        <v>126</v>
      </c>
      <c r="C641">
        <v>1976</v>
      </c>
      <c r="D641">
        <v>7488</v>
      </c>
    </row>
    <row r="642" spans="1:4" x14ac:dyDescent="0.35">
      <c r="A642" t="s">
        <v>125</v>
      </c>
      <c r="B642" t="s">
        <v>126</v>
      </c>
      <c r="C642">
        <v>1977</v>
      </c>
      <c r="D642">
        <v>7141</v>
      </c>
    </row>
    <row r="643" spans="1:4" x14ac:dyDescent="0.35">
      <c r="A643" t="s">
        <v>125</v>
      </c>
      <c r="B643" t="s">
        <v>126</v>
      </c>
      <c r="C643">
        <v>1978</v>
      </c>
      <c r="D643">
        <v>7243</v>
      </c>
    </row>
    <row r="644" spans="1:4" x14ac:dyDescent="0.35">
      <c r="A644" t="s">
        <v>125</v>
      </c>
      <c r="B644" t="s">
        <v>126</v>
      </c>
      <c r="C644">
        <v>1979</v>
      </c>
      <c r="D644">
        <v>7371</v>
      </c>
    </row>
    <row r="645" spans="1:4" x14ac:dyDescent="0.35">
      <c r="A645" t="s">
        <v>125</v>
      </c>
      <c r="B645" t="s">
        <v>126</v>
      </c>
      <c r="C645">
        <v>1980</v>
      </c>
      <c r="D645">
        <v>7967</v>
      </c>
    </row>
    <row r="646" spans="1:4" x14ac:dyDescent="0.35">
      <c r="A646" t="s">
        <v>125</v>
      </c>
      <c r="B646" t="s">
        <v>126</v>
      </c>
      <c r="C646">
        <v>1981</v>
      </c>
      <c r="D646">
        <v>7781</v>
      </c>
    </row>
    <row r="647" spans="1:4" x14ac:dyDescent="0.35">
      <c r="A647" t="s">
        <v>125</v>
      </c>
      <c r="B647" t="s">
        <v>126</v>
      </c>
      <c r="C647">
        <v>1982</v>
      </c>
      <c r="D647">
        <v>7867</v>
      </c>
    </row>
    <row r="648" spans="1:4" x14ac:dyDescent="0.35">
      <c r="A648" t="s">
        <v>125</v>
      </c>
      <c r="B648" t="s">
        <v>126</v>
      </c>
      <c r="C648">
        <v>1983</v>
      </c>
      <c r="D648">
        <v>7792</v>
      </c>
    </row>
    <row r="649" spans="1:4" x14ac:dyDescent="0.35">
      <c r="A649" t="s">
        <v>125</v>
      </c>
      <c r="B649" t="s">
        <v>126</v>
      </c>
      <c r="C649">
        <v>1984</v>
      </c>
      <c r="D649">
        <v>7909</v>
      </c>
    </row>
    <row r="650" spans="1:4" x14ac:dyDescent="0.35">
      <c r="A650" t="s">
        <v>125</v>
      </c>
      <c r="B650" t="s">
        <v>126</v>
      </c>
      <c r="C650">
        <v>1985</v>
      </c>
      <c r="D650">
        <v>8249</v>
      </c>
    </row>
    <row r="651" spans="1:4" x14ac:dyDescent="0.35">
      <c r="A651" t="s">
        <v>125</v>
      </c>
      <c r="B651" t="s">
        <v>126</v>
      </c>
      <c r="C651">
        <v>1986</v>
      </c>
      <c r="D651">
        <v>8792</v>
      </c>
    </row>
    <row r="652" spans="1:4" x14ac:dyDescent="0.35">
      <c r="A652" t="s">
        <v>125</v>
      </c>
      <c r="B652" t="s">
        <v>126</v>
      </c>
      <c r="C652">
        <v>1987</v>
      </c>
      <c r="D652">
        <v>9186</v>
      </c>
    </row>
    <row r="653" spans="1:4" x14ac:dyDescent="0.35">
      <c r="A653" t="s">
        <v>125</v>
      </c>
      <c r="B653" t="s">
        <v>126</v>
      </c>
      <c r="C653">
        <v>1988</v>
      </c>
      <c r="D653">
        <v>9483</v>
      </c>
    </row>
    <row r="654" spans="1:4" x14ac:dyDescent="0.35">
      <c r="A654" t="s">
        <v>125</v>
      </c>
      <c r="B654" t="s">
        <v>126</v>
      </c>
      <c r="C654">
        <v>1989</v>
      </c>
      <c r="D654">
        <v>9544</v>
      </c>
    </row>
    <row r="655" spans="1:4" x14ac:dyDescent="0.35">
      <c r="A655" t="s">
        <v>125</v>
      </c>
      <c r="B655" t="s">
        <v>126</v>
      </c>
      <c r="C655">
        <v>1990</v>
      </c>
      <c r="D655">
        <v>10024</v>
      </c>
    </row>
    <row r="656" spans="1:4" x14ac:dyDescent="0.35">
      <c r="A656" t="s">
        <v>125</v>
      </c>
      <c r="B656" t="s">
        <v>126</v>
      </c>
      <c r="C656">
        <v>1991</v>
      </c>
      <c r="D656">
        <v>9620</v>
      </c>
    </row>
    <row r="657" spans="1:4" x14ac:dyDescent="0.35">
      <c r="A657" t="s">
        <v>125</v>
      </c>
      <c r="B657" t="s">
        <v>126</v>
      </c>
      <c r="C657">
        <v>1992</v>
      </c>
      <c r="D657">
        <v>9564</v>
      </c>
    </row>
    <row r="658" spans="1:4" x14ac:dyDescent="0.35">
      <c r="A658" t="s">
        <v>125</v>
      </c>
      <c r="B658" t="s">
        <v>126</v>
      </c>
      <c r="C658">
        <v>1993</v>
      </c>
      <c r="D658">
        <v>9826</v>
      </c>
    </row>
    <row r="659" spans="1:4" x14ac:dyDescent="0.35">
      <c r="A659" t="s">
        <v>125</v>
      </c>
      <c r="B659" t="s">
        <v>126</v>
      </c>
      <c r="C659">
        <v>1994</v>
      </c>
      <c r="D659">
        <v>9744</v>
      </c>
    </row>
    <row r="660" spans="1:4" x14ac:dyDescent="0.35">
      <c r="A660" t="s">
        <v>125</v>
      </c>
      <c r="B660" t="s">
        <v>126</v>
      </c>
      <c r="C660">
        <v>1995</v>
      </c>
      <c r="D660">
        <v>10095</v>
      </c>
    </row>
    <row r="661" spans="1:4" x14ac:dyDescent="0.35">
      <c r="A661" t="s">
        <v>125</v>
      </c>
      <c r="B661" t="s">
        <v>126</v>
      </c>
      <c r="C661">
        <v>1996</v>
      </c>
      <c r="D661">
        <v>11063</v>
      </c>
    </row>
    <row r="662" spans="1:4" x14ac:dyDescent="0.35">
      <c r="A662" t="s">
        <v>125</v>
      </c>
      <c r="B662" t="s">
        <v>126</v>
      </c>
      <c r="C662">
        <v>1997</v>
      </c>
      <c r="D662">
        <v>11465</v>
      </c>
    </row>
    <row r="663" spans="1:4" x14ac:dyDescent="0.35">
      <c r="A663" t="s">
        <v>125</v>
      </c>
      <c r="B663" t="s">
        <v>126</v>
      </c>
      <c r="C663">
        <v>1998</v>
      </c>
      <c r="D663">
        <v>11702</v>
      </c>
    </row>
    <row r="664" spans="1:4" x14ac:dyDescent="0.35">
      <c r="A664" t="s">
        <v>125</v>
      </c>
      <c r="B664" t="s">
        <v>126</v>
      </c>
      <c r="C664">
        <v>1999</v>
      </c>
      <c r="D664">
        <v>11481</v>
      </c>
    </row>
    <row r="665" spans="1:4" x14ac:dyDescent="0.35">
      <c r="A665" t="s">
        <v>125</v>
      </c>
      <c r="B665" t="s">
        <v>126</v>
      </c>
      <c r="C665">
        <v>2000</v>
      </c>
      <c r="D665">
        <v>11546</v>
      </c>
    </row>
    <row r="666" spans="1:4" x14ac:dyDescent="0.35">
      <c r="A666" t="s">
        <v>125</v>
      </c>
      <c r="B666" t="s">
        <v>126</v>
      </c>
      <c r="C666">
        <v>2001</v>
      </c>
      <c r="D666">
        <v>11064</v>
      </c>
    </row>
    <row r="667" spans="1:4" x14ac:dyDescent="0.35">
      <c r="A667" t="s">
        <v>125</v>
      </c>
      <c r="B667" t="s">
        <v>126</v>
      </c>
      <c r="C667">
        <v>2002</v>
      </c>
      <c r="D667">
        <v>11438</v>
      </c>
    </row>
    <row r="668" spans="1:4" x14ac:dyDescent="0.35">
      <c r="A668" t="s">
        <v>125</v>
      </c>
      <c r="B668" t="s">
        <v>126</v>
      </c>
      <c r="C668">
        <v>2003</v>
      </c>
      <c r="D668">
        <v>11148</v>
      </c>
    </row>
    <row r="669" spans="1:4" x14ac:dyDescent="0.35">
      <c r="A669" t="s">
        <v>125</v>
      </c>
      <c r="B669" t="s">
        <v>126</v>
      </c>
      <c r="C669">
        <v>2004</v>
      </c>
      <c r="D669">
        <v>12032</v>
      </c>
    </row>
    <row r="670" spans="1:4" x14ac:dyDescent="0.35">
      <c r="A670" t="s">
        <v>125</v>
      </c>
      <c r="B670" t="s">
        <v>126</v>
      </c>
      <c r="C670">
        <v>2005</v>
      </c>
      <c r="D670">
        <v>10447</v>
      </c>
    </row>
    <row r="671" spans="1:4" x14ac:dyDescent="0.35">
      <c r="A671" t="s">
        <v>125</v>
      </c>
      <c r="B671" t="s">
        <v>126</v>
      </c>
      <c r="C671">
        <v>2006</v>
      </c>
      <c r="D671">
        <v>10538</v>
      </c>
    </row>
    <row r="672" spans="1:4" x14ac:dyDescent="0.35">
      <c r="A672" t="s">
        <v>125</v>
      </c>
      <c r="B672" t="s">
        <v>126</v>
      </c>
      <c r="C672">
        <v>2007</v>
      </c>
      <c r="D672">
        <v>10829</v>
      </c>
    </row>
    <row r="673" spans="1:6" x14ac:dyDescent="0.35">
      <c r="A673" t="s">
        <v>125</v>
      </c>
      <c r="B673" t="s">
        <v>126</v>
      </c>
      <c r="C673">
        <v>2008</v>
      </c>
      <c r="D673">
        <v>10820</v>
      </c>
    </row>
    <row r="674" spans="1:6" x14ac:dyDescent="0.35">
      <c r="A674" t="s">
        <v>125</v>
      </c>
      <c r="B674" t="s">
        <v>126</v>
      </c>
      <c r="C674">
        <v>2009</v>
      </c>
      <c r="D674">
        <v>11026</v>
      </c>
    </row>
    <row r="675" spans="1:6" x14ac:dyDescent="0.35">
      <c r="A675" t="s">
        <v>125</v>
      </c>
      <c r="B675" t="s">
        <v>126</v>
      </c>
      <c r="C675">
        <v>2010</v>
      </c>
      <c r="D675">
        <v>11573</v>
      </c>
    </row>
    <row r="676" spans="1:6" x14ac:dyDescent="0.35">
      <c r="A676" t="s">
        <v>125</v>
      </c>
      <c r="B676" t="s">
        <v>126</v>
      </c>
      <c r="C676">
        <v>2011</v>
      </c>
      <c r="D676">
        <v>11254</v>
      </c>
    </row>
    <row r="677" spans="1:6" x14ac:dyDescent="0.35">
      <c r="A677" t="s">
        <v>125</v>
      </c>
      <c r="B677" t="s">
        <v>126</v>
      </c>
      <c r="C677">
        <v>2012</v>
      </c>
      <c r="D677">
        <v>11648</v>
      </c>
    </row>
    <row r="678" spans="1:6" x14ac:dyDescent="0.35">
      <c r="A678" t="s">
        <v>125</v>
      </c>
      <c r="B678" t="s">
        <v>126</v>
      </c>
      <c r="C678">
        <v>2013</v>
      </c>
      <c r="D678">
        <v>12119</v>
      </c>
    </row>
    <row r="679" spans="1:6" x14ac:dyDescent="0.35">
      <c r="A679" t="s">
        <v>125</v>
      </c>
      <c r="B679" t="s">
        <v>126</v>
      </c>
      <c r="C679">
        <v>2014</v>
      </c>
      <c r="D679">
        <v>12977</v>
      </c>
    </row>
    <row r="680" spans="1:6" x14ac:dyDescent="0.35">
      <c r="A680" t="s">
        <v>125</v>
      </c>
      <c r="B680" t="s">
        <v>126</v>
      </c>
      <c r="C680">
        <v>2015</v>
      </c>
      <c r="D680">
        <v>13368</v>
      </c>
    </row>
    <row r="681" spans="1:6" x14ac:dyDescent="0.35">
      <c r="A681" t="s">
        <v>125</v>
      </c>
      <c r="B681" t="s">
        <v>126</v>
      </c>
      <c r="C681">
        <v>2016</v>
      </c>
      <c r="D681">
        <v>14371</v>
      </c>
    </row>
    <row r="682" spans="1:6" x14ac:dyDescent="0.35">
      <c r="A682" t="s">
        <v>125</v>
      </c>
      <c r="B682" t="s">
        <v>126</v>
      </c>
      <c r="C682">
        <v>2017</v>
      </c>
      <c r="D682">
        <v>14415</v>
      </c>
    </row>
    <row r="683" spans="1:6" x14ac:dyDescent="0.35">
      <c r="A683" t="s">
        <v>125</v>
      </c>
      <c r="B683" t="s">
        <v>126</v>
      </c>
      <c r="C683">
        <v>2018</v>
      </c>
      <c r="D683">
        <v>14099</v>
      </c>
    </row>
    <row r="684" spans="1:6" x14ac:dyDescent="0.35">
      <c r="A684" t="s">
        <v>125</v>
      </c>
      <c r="B684" t="s">
        <v>126</v>
      </c>
      <c r="C684">
        <v>2019</v>
      </c>
      <c r="D684">
        <v>14088</v>
      </c>
    </row>
    <row r="685" spans="1:6" x14ac:dyDescent="0.35">
      <c r="A685" t="s">
        <v>125</v>
      </c>
      <c r="B685" t="s">
        <v>126</v>
      </c>
      <c r="C685">
        <v>2020</v>
      </c>
      <c r="D685">
        <v>13663</v>
      </c>
    </row>
    <row r="686" spans="1:6" x14ac:dyDescent="0.35">
      <c r="A686" t="s">
        <v>806</v>
      </c>
      <c r="B686" t="s">
        <v>248</v>
      </c>
      <c r="C686">
        <v>1975</v>
      </c>
      <c r="D686">
        <v>5909</v>
      </c>
      <c r="F686">
        <v>597678</v>
      </c>
    </row>
    <row r="687" spans="1:6" x14ac:dyDescent="0.35">
      <c r="A687" t="s">
        <v>806</v>
      </c>
      <c r="B687" t="s">
        <v>248</v>
      </c>
      <c r="C687">
        <v>1976</v>
      </c>
      <c r="D687">
        <v>5538</v>
      </c>
      <c r="F687">
        <v>578642</v>
      </c>
    </row>
    <row r="688" spans="1:6" x14ac:dyDescent="0.35">
      <c r="A688" t="s">
        <v>806</v>
      </c>
      <c r="B688" t="s">
        <v>248</v>
      </c>
      <c r="C688">
        <v>1977</v>
      </c>
      <c r="D688">
        <v>5449</v>
      </c>
      <c r="F688">
        <v>563554</v>
      </c>
    </row>
    <row r="689" spans="1:6" x14ac:dyDescent="0.35">
      <c r="A689" t="s">
        <v>806</v>
      </c>
      <c r="B689" t="s">
        <v>248</v>
      </c>
      <c r="C689">
        <v>1978</v>
      </c>
      <c r="D689">
        <v>5859</v>
      </c>
      <c r="F689">
        <v>589585</v>
      </c>
    </row>
    <row r="690" spans="1:6" x14ac:dyDescent="0.35">
      <c r="A690" t="s">
        <v>806</v>
      </c>
      <c r="B690" t="s">
        <v>248</v>
      </c>
      <c r="C690">
        <v>1979</v>
      </c>
      <c r="D690">
        <v>6099</v>
      </c>
      <c r="F690">
        <v>630703</v>
      </c>
    </row>
    <row r="691" spans="1:6" x14ac:dyDescent="0.35">
      <c r="A691" t="s">
        <v>806</v>
      </c>
      <c r="B691" t="s">
        <v>248</v>
      </c>
      <c r="C691">
        <v>1980</v>
      </c>
      <c r="D691">
        <v>6308</v>
      </c>
      <c r="F691">
        <v>648097</v>
      </c>
    </row>
    <row r="692" spans="1:6" x14ac:dyDescent="0.35">
      <c r="A692" t="s">
        <v>806</v>
      </c>
      <c r="B692" t="s">
        <v>248</v>
      </c>
      <c r="C692">
        <v>1981</v>
      </c>
    </row>
    <row r="693" spans="1:6" x14ac:dyDescent="0.35">
      <c r="A693" t="s">
        <v>806</v>
      </c>
      <c r="B693" t="s">
        <v>248</v>
      </c>
      <c r="C693">
        <v>1982</v>
      </c>
      <c r="D693">
        <v>6201</v>
      </c>
      <c r="F693">
        <v>617234</v>
      </c>
    </row>
    <row r="694" spans="1:6" x14ac:dyDescent="0.35">
      <c r="A694" t="s">
        <v>806</v>
      </c>
      <c r="B694" t="s">
        <v>248</v>
      </c>
      <c r="C694">
        <v>1983</v>
      </c>
      <c r="D694">
        <v>6293</v>
      </c>
      <c r="F694">
        <v>619890</v>
      </c>
    </row>
    <row r="695" spans="1:6" x14ac:dyDescent="0.35">
      <c r="A695" t="s">
        <v>806</v>
      </c>
      <c r="B695" t="s">
        <v>248</v>
      </c>
      <c r="C695">
        <v>1984</v>
      </c>
      <c r="D695">
        <v>6321</v>
      </c>
      <c r="F695">
        <v>627559</v>
      </c>
    </row>
    <row r="696" spans="1:6" x14ac:dyDescent="0.35">
      <c r="A696" t="s">
        <v>806</v>
      </c>
      <c r="B696" t="s">
        <v>248</v>
      </c>
      <c r="C696">
        <v>1985</v>
      </c>
      <c r="D696">
        <v>6700</v>
      </c>
      <c r="F696">
        <v>646339</v>
      </c>
    </row>
    <row r="697" spans="1:6" x14ac:dyDescent="0.35">
      <c r="A697" t="s">
        <v>806</v>
      </c>
      <c r="B697" t="s">
        <v>248</v>
      </c>
      <c r="C697">
        <v>1986</v>
      </c>
      <c r="D697">
        <v>6969</v>
      </c>
      <c r="F697">
        <v>650203</v>
      </c>
    </row>
    <row r="698" spans="1:6" x14ac:dyDescent="0.35">
      <c r="A698" t="s">
        <v>806</v>
      </c>
      <c r="B698" t="s">
        <v>248</v>
      </c>
      <c r="C698">
        <v>1987</v>
      </c>
      <c r="D698">
        <v>7186</v>
      </c>
      <c r="F698">
        <v>670147</v>
      </c>
    </row>
    <row r="699" spans="1:6" x14ac:dyDescent="0.35">
      <c r="A699" t="s">
        <v>806</v>
      </c>
      <c r="B699" t="s">
        <v>248</v>
      </c>
      <c r="C699">
        <v>1988</v>
      </c>
      <c r="D699">
        <v>7452</v>
      </c>
      <c r="F699">
        <v>681531</v>
      </c>
    </row>
    <row r="700" spans="1:6" x14ac:dyDescent="0.35">
      <c r="A700" t="s">
        <v>806</v>
      </c>
      <c r="B700" t="s">
        <v>248</v>
      </c>
      <c r="C700">
        <v>1989</v>
      </c>
      <c r="D700">
        <v>7579</v>
      </c>
      <c r="F700">
        <v>675205</v>
      </c>
    </row>
    <row r="701" spans="1:6" x14ac:dyDescent="0.35">
      <c r="A701" t="s">
        <v>806</v>
      </c>
      <c r="B701" t="s">
        <v>248</v>
      </c>
      <c r="C701">
        <v>1990</v>
      </c>
      <c r="D701">
        <v>7934</v>
      </c>
      <c r="F701">
        <v>692885</v>
      </c>
    </row>
    <row r="702" spans="1:6" x14ac:dyDescent="0.35">
      <c r="A702" t="s">
        <v>806</v>
      </c>
      <c r="B702" t="s">
        <v>248</v>
      </c>
      <c r="C702">
        <v>1991</v>
      </c>
      <c r="D702">
        <v>8160</v>
      </c>
      <c r="F702">
        <v>685477</v>
      </c>
    </row>
    <row r="703" spans="1:6" x14ac:dyDescent="0.35">
      <c r="A703" t="s">
        <v>806</v>
      </c>
      <c r="B703" t="s">
        <v>248</v>
      </c>
      <c r="C703">
        <v>1992</v>
      </c>
      <c r="D703">
        <v>8314</v>
      </c>
      <c r="F703">
        <v>675329</v>
      </c>
    </row>
    <row r="704" spans="1:6" x14ac:dyDescent="0.35">
      <c r="A704" t="s">
        <v>806</v>
      </c>
      <c r="B704" t="s">
        <v>248</v>
      </c>
      <c r="C704">
        <v>1993</v>
      </c>
      <c r="D704">
        <v>8302</v>
      </c>
      <c r="F704">
        <v>659962</v>
      </c>
    </row>
    <row r="705" spans="1:6" x14ac:dyDescent="0.35">
      <c r="A705" t="s">
        <v>806</v>
      </c>
      <c r="B705" t="s">
        <v>248</v>
      </c>
      <c r="C705">
        <v>1994</v>
      </c>
      <c r="D705">
        <v>8451</v>
      </c>
      <c r="F705">
        <v>650675</v>
      </c>
    </row>
    <row r="706" spans="1:6" x14ac:dyDescent="0.35">
      <c r="A706" t="s">
        <v>806</v>
      </c>
      <c r="B706" t="s">
        <v>249</v>
      </c>
      <c r="C706">
        <v>1938</v>
      </c>
    </row>
    <row r="707" spans="1:6" x14ac:dyDescent="0.35">
      <c r="A707" t="s">
        <v>806</v>
      </c>
      <c r="B707" t="s">
        <v>249</v>
      </c>
      <c r="C707">
        <v>1939</v>
      </c>
    </row>
    <row r="708" spans="1:6" x14ac:dyDescent="0.35">
      <c r="A708" t="s">
        <v>806</v>
      </c>
      <c r="B708" t="s">
        <v>249</v>
      </c>
      <c r="C708">
        <v>1940</v>
      </c>
    </row>
    <row r="709" spans="1:6" x14ac:dyDescent="0.35">
      <c r="A709" t="s">
        <v>806</v>
      </c>
      <c r="B709" t="s">
        <v>249</v>
      </c>
      <c r="C709">
        <v>1941</v>
      </c>
    </row>
    <row r="710" spans="1:6" x14ac:dyDescent="0.35">
      <c r="A710" t="s">
        <v>806</v>
      </c>
      <c r="B710" t="s">
        <v>249</v>
      </c>
      <c r="C710">
        <v>1942</v>
      </c>
    </row>
    <row r="711" spans="1:6" x14ac:dyDescent="0.35">
      <c r="A711" t="s">
        <v>806</v>
      </c>
      <c r="B711" t="s">
        <v>249</v>
      </c>
      <c r="C711">
        <v>1943</v>
      </c>
    </row>
    <row r="712" spans="1:6" x14ac:dyDescent="0.35">
      <c r="A712" t="s">
        <v>806</v>
      </c>
      <c r="B712" t="s">
        <v>249</v>
      </c>
      <c r="C712">
        <v>1944</v>
      </c>
    </row>
    <row r="713" spans="1:6" x14ac:dyDescent="0.35">
      <c r="A713" t="s">
        <v>806</v>
      </c>
      <c r="B713" t="s">
        <v>249</v>
      </c>
      <c r="C713">
        <v>1945</v>
      </c>
    </row>
    <row r="714" spans="1:6" x14ac:dyDescent="0.35">
      <c r="A714" t="s">
        <v>806</v>
      </c>
      <c r="B714" t="s">
        <v>249</v>
      </c>
      <c r="C714">
        <v>1946</v>
      </c>
    </row>
    <row r="715" spans="1:6" x14ac:dyDescent="0.35">
      <c r="A715" t="s">
        <v>806</v>
      </c>
      <c r="B715" t="s">
        <v>249</v>
      </c>
      <c r="C715">
        <v>1947</v>
      </c>
    </row>
    <row r="716" spans="1:6" x14ac:dyDescent="0.35">
      <c r="A716" t="s">
        <v>806</v>
      </c>
      <c r="B716" t="s">
        <v>249</v>
      </c>
      <c r="C716">
        <v>1948</v>
      </c>
    </row>
    <row r="717" spans="1:6" x14ac:dyDescent="0.35">
      <c r="A717" t="s">
        <v>806</v>
      </c>
      <c r="B717" t="s">
        <v>249</v>
      </c>
      <c r="C717">
        <v>1949</v>
      </c>
    </row>
    <row r="718" spans="1:6" x14ac:dyDescent="0.35">
      <c r="A718" t="s">
        <v>806</v>
      </c>
      <c r="B718" t="s">
        <v>249</v>
      </c>
      <c r="C718">
        <v>1950</v>
      </c>
    </row>
    <row r="719" spans="1:6" x14ac:dyDescent="0.35">
      <c r="A719" t="s">
        <v>806</v>
      </c>
      <c r="B719" t="s">
        <v>249</v>
      </c>
      <c r="C719">
        <v>1951</v>
      </c>
    </row>
    <row r="720" spans="1:6" x14ac:dyDescent="0.35">
      <c r="A720" t="s">
        <v>806</v>
      </c>
      <c r="B720" t="s">
        <v>249</v>
      </c>
      <c r="C720">
        <v>1952</v>
      </c>
    </row>
    <row r="721" spans="1:3" x14ac:dyDescent="0.35">
      <c r="A721" t="s">
        <v>806</v>
      </c>
      <c r="B721" t="s">
        <v>249</v>
      </c>
      <c r="C721">
        <v>1953</v>
      </c>
    </row>
    <row r="722" spans="1:3" x14ac:dyDescent="0.35">
      <c r="A722" t="s">
        <v>806</v>
      </c>
      <c r="B722" t="s">
        <v>249</v>
      </c>
      <c r="C722">
        <v>1954</v>
      </c>
    </row>
    <row r="723" spans="1:3" x14ac:dyDescent="0.35">
      <c r="A723" t="s">
        <v>806</v>
      </c>
      <c r="B723" t="s">
        <v>249</v>
      </c>
      <c r="C723">
        <v>1955</v>
      </c>
    </row>
    <row r="724" spans="1:3" x14ac:dyDescent="0.35">
      <c r="A724" t="s">
        <v>806</v>
      </c>
      <c r="B724" t="s">
        <v>249</v>
      </c>
      <c r="C724">
        <v>1956</v>
      </c>
    </row>
    <row r="725" spans="1:3" x14ac:dyDescent="0.35">
      <c r="A725" t="s">
        <v>806</v>
      </c>
      <c r="B725" t="s">
        <v>249</v>
      </c>
      <c r="C725">
        <v>1957</v>
      </c>
    </row>
    <row r="726" spans="1:3" x14ac:dyDescent="0.35">
      <c r="A726" t="s">
        <v>806</v>
      </c>
      <c r="B726" t="s">
        <v>249</v>
      </c>
      <c r="C726">
        <v>1958</v>
      </c>
    </row>
    <row r="727" spans="1:3" x14ac:dyDescent="0.35">
      <c r="A727" t="s">
        <v>806</v>
      </c>
      <c r="B727" t="s">
        <v>249</v>
      </c>
      <c r="C727">
        <v>1959</v>
      </c>
    </row>
    <row r="728" spans="1:3" x14ac:dyDescent="0.35">
      <c r="A728" t="s">
        <v>806</v>
      </c>
      <c r="B728" t="s">
        <v>249</v>
      </c>
      <c r="C728">
        <v>1960</v>
      </c>
    </row>
    <row r="729" spans="1:3" x14ac:dyDescent="0.35">
      <c r="A729" t="s">
        <v>806</v>
      </c>
      <c r="B729" t="s">
        <v>249</v>
      </c>
      <c r="C729">
        <v>1961</v>
      </c>
    </row>
    <row r="730" spans="1:3" x14ac:dyDescent="0.35">
      <c r="A730" t="s">
        <v>806</v>
      </c>
      <c r="B730" t="s">
        <v>249</v>
      </c>
      <c r="C730">
        <v>1962</v>
      </c>
    </row>
    <row r="731" spans="1:3" x14ac:dyDescent="0.35">
      <c r="A731" t="s">
        <v>806</v>
      </c>
      <c r="B731" t="s">
        <v>249</v>
      </c>
      <c r="C731">
        <v>1963</v>
      </c>
    </row>
    <row r="732" spans="1:3" x14ac:dyDescent="0.35">
      <c r="A732" t="s">
        <v>806</v>
      </c>
      <c r="B732" t="s">
        <v>249</v>
      </c>
      <c r="C732">
        <v>1964</v>
      </c>
    </row>
    <row r="733" spans="1:3" x14ac:dyDescent="0.35">
      <c r="A733" t="s">
        <v>806</v>
      </c>
      <c r="B733" t="s">
        <v>249</v>
      </c>
      <c r="C733">
        <v>1965</v>
      </c>
    </row>
    <row r="734" spans="1:3" x14ac:dyDescent="0.35">
      <c r="A734" t="s">
        <v>806</v>
      </c>
      <c r="B734" t="s">
        <v>249</v>
      </c>
      <c r="C734">
        <v>1966</v>
      </c>
    </row>
    <row r="735" spans="1:3" x14ac:dyDescent="0.35">
      <c r="A735" t="s">
        <v>806</v>
      </c>
      <c r="B735" t="s">
        <v>249</v>
      </c>
      <c r="C735">
        <v>1967</v>
      </c>
    </row>
    <row r="736" spans="1:3" x14ac:dyDescent="0.35">
      <c r="A736" t="s">
        <v>806</v>
      </c>
      <c r="B736" t="s">
        <v>249</v>
      </c>
      <c r="C736">
        <v>1968</v>
      </c>
    </row>
    <row r="737" spans="1:3" x14ac:dyDescent="0.35">
      <c r="A737" t="s">
        <v>806</v>
      </c>
      <c r="B737" t="s">
        <v>249</v>
      </c>
      <c r="C737">
        <v>1969</v>
      </c>
    </row>
    <row r="738" spans="1:3" x14ac:dyDescent="0.35">
      <c r="A738" t="s">
        <v>806</v>
      </c>
      <c r="B738" t="s">
        <v>249</v>
      </c>
      <c r="C738">
        <v>1970</v>
      </c>
    </row>
    <row r="739" spans="1:3" x14ac:dyDescent="0.35">
      <c r="A739" t="s">
        <v>806</v>
      </c>
      <c r="B739" t="s">
        <v>249</v>
      </c>
      <c r="C739">
        <v>1971</v>
      </c>
    </row>
    <row r="740" spans="1:3" x14ac:dyDescent="0.35">
      <c r="A740" t="s">
        <v>806</v>
      </c>
      <c r="B740" t="s">
        <v>249</v>
      </c>
      <c r="C740">
        <v>1972</v>
      </c>
    </row>
    <row r="741" spans="1:3" x14ac:dyDescent="0.35">
      <c r="A741" t="s">
        <v>806</v>
      </c>
      <c r="B741" t="s">
        <v>249</v>
      </c>
      <c r="C741">
        <v>1973</v>
      </c>
    </row>
    <row r="742" spans="1:3" x14ac:dyDescent="0.35">
      <c r="A742" t="s">
        <v>806</v>
      </c>
      <c r="B742" t="s">
        <v>249</v>
      </c>
      <c r="C742">
        <v>1974</v>
      </c>
    </row>
    <row r="743" spans="1:3" x14ac:dyDescent="0.35">
      <c r="A743" t="s">
        <v>806</v>
      </c>
      <c r="B743" t="s">
        <v>249</v>
      </c>
      <c r="C743">
        <v>1975</v>
      </c>
    </row>
    <row r="744" spans="1:3" x14ac:dyDescent="0.35">
      <c r="A744" t="s">
        <v>806</v>
      </c>
      <c r="B744" t="s">
        <v>249</v>
      </c>
      <c r="C744">
        <v>1976</v>
      </c>
    </row>
    <row r="745" spans="1:3" x14ac:dyDescent="0.35">
      <c r="A745" t="s">
        <v>806</v>
      </c>
      <c r="B745" t="s">
        <v>249</v>
      </c>
      <c r="C745">
        <v>1977</v>
      </c>
    </row>
    <row r="746" spans="1:3" x14ac:dyDescent="0.35">
      <c r="A746" t="s">
        <v>806</v>
      </c>
      <c r="B746" t="s">
        <v>249</v>
      </c>
      <c r="C746">
        <v>1978</v>
      </c>
    </row>
    <row r="747" spans="1:3" x14ac:dyDescent="0.35">
      <c r="A747" t="s">
        <v>806</v>
      </c>
      <c r="B747" t="s">
        <v>249</v>
      </c>
      <c r="C747">
        <v>1979</v>
      </c>
    </row>
    <row r="748" spans="1:3" x14ac:dyDescent="0.35">
      <c r="A748" t="s">
        <v>806</v>
      </c>
      <c r="B748" t="s">
        <v>249</v>
      </c>
      <c r="C748">
        <v>1980</v>
      </c>
    </row>
    <row r="749" spans="1:3" x14ac:dyDescent="0.35">
      <c r="A749" t="s">
        <v>806</v>
      </c>
      <c r="B749" t="s">
        <v>249</v>
      </c>
      <c r="C749">
        <v>1981</v>
      </c>
    </row>
    <row r="750" spans="1:3" x14ac:dyDescent="0.35">
      <c r="A750" t="s">
        <v>806</v>
      </c>
      <c r="B750" t="s">
        <v>249</v>
      </c>
      <c r="C750">
        <v>1982</v>
      </c>
    </row>
    <row r="751" spans="1:3" x14ac:dyDescent="0.35">
      <c r="A751" t="s">
        <v>806</v>
      </c>
      <c r="B751" t="s">
        <v>249</v>
      </c>
      <c r="C751">
        <v>1983</v>
      </c>
    </row>
    <row r="752" spans="1:3" x14ac:dyDescent="0.35">
      <c r="A752" t="s">
        <v>806</v>
      </c>
      <c r="B752" t="s">
        <v>249</v>
      </c>
      <c r="C752">
        <v>1984</v>
      </c>
    </row>
    <row r="753" spans="1:6" x14ac:dyDescent="0.35">
      <c r="A753" t="s">
        <v>806</v>
      </c>
      <c r="B753" t="s">
        <v>249</v>
      </c>
      <c r="C753">
        <v>1985</v>
      </c>
    </row>
    <row r="754" spans="1:6" x14ac:dyDescent="0.35">
      <c r="A754" t="s">
        <v>806</v>
      </c>
      <c r="B754" t="s">
        <v>249</v>
      </c>
      <c r="C754">
        <v>1986</v>
      </c>
    </row>
    <row r="755" spans="1:6" x14ac:dyDescent="0.35">
      <c r="A755" t="s">
        <v>806</v>
      </c>
      <c r="B755" t="s">
        <v>249</v>
      </c>
      <c r="C755">
        <v>1987</v>
      </c>
    </row>
    <row r="756" spans="1:6" x14ac:dyDescent="0.35">
      <c r="A756" t="s">
        <v>806</v>
      </c>
      <c r="B756" t="s">
        <v>249</v>
      </c>
      <c r="C756">
        <v>1988</v>
      </c>
    </row>
    <row r="757" spans="1:6" x14ac:dyDescent="0.35">
      <c r="A757" t="s">
        <v>806</v>
      </c>
      <c r="B757" t="s">
        <v>249</v>
      </c>
      <c r="C757">
        <v>1989</v>
      </c>
    </row>
    <row r="758" spans="1:6" x14ac:dyDescent="0.35">
      <c r="A758" t="s">
        <v>806</v>
      </c>
      <c r="B758" t="s">
        <v>249</v>
      </c>
      <c r="C758">
        <v>1990</v>
      </c>
    </row>
    <row r="759" spans="1:6" x14ac:dyDescent="0.35">
      <c r="A759" t="s">
        <v>806</v>
      </c>
      <c r="B759" t="s">
        <v>249</v>
      </c>
      <c r="C759">
        <v>1991</v>
      </c>
    </row>
    <row r="760" spans="1:6" x14ac:dyDescent="0.35">
      <c r="A760" t="s">
        <v>806</v>
      </c>
      <c r="B760" t="s">
        <v>249</v>
      </c>
      <c r="C760">
        <v>1992</v>
      </c>
    </row>
    <row r="761" spans="1:6" x14ac:dyDescent="0.35">
      <c r="A761" t="s">
        <v>806</v>
      </c>
      <c r="B761" t="s">
        <v>249</v>
      </c>
      <c r="C761">
        <v>1993</v>
      </c>
    </row>
    <row r="762" spans="1:6" x14ac:dyDescent="0.35">
      <c r="A762" t="s">
        <v>806</v>
      </c>
      <c r="B762" t="s">
        <v>249</v>
      </c>
      <c r="C762">
        <v>1994</v>
      </c>
    </row>
    <row r="763" spans="1:6" x14ac:dyDescent="0.35">
      <c r="A763" t="s">
        <v>806</v>
      </c>
      <c r="B763" t="s">
        <v>249</v>
      </c>
      <c r="C763">
        <v>1995</v>
      </c>
    </row>
    <row r="764" spans="1:6" x14ac:dyDescent="0.35">
      <c r="A764" t="s">
        <v>806</v>
      </c>
      <c r="B764" t="s">
        <v>249</v>
      </c>
      <c r="C764">
        <v>1996</v>
      </c>
    </row>
    <row r="765" spans="1:6" x14ac:dyDescent="0.35">
      <c r="A765" t="s">
        <v>806</v>
      </c>
      <c r="B765" t="s">
        <v>249</v>
      </c>
      <c r="C765">
        <v>1997</v>
      </c>
    </row>
    <row r="766" spans="1:6" x14ac:dyDescent="0.35">
      <c r="A766" t="s">
        <v>806</v>
      </c>
      <c r="B766" t="s">
        <v>249</v>
      </c>
      <c r="C766">
        <v>1998</v>
      </c>
      <c r="D766">
        <v>8776</v>
      </c>
      <c r="F766">
        <v>620846</v>
      </c>
    </row>
    <row r="767" spans="1:6" x14ac:dyDescent="0.35">
      <c r="A767" t="s">
        <v>806</v>
      </c>
      <c r="B767" t="s">
        <v>249</v>
      </c>
      <c r="C767">
        <v>1999</v>
      </c>
      <c r="D767">
        <v>8636</v>
      </c>
      <c r="F767">
        <v>607087</v>
      </c>
    </row>
    <row r="768" spans="1:6" x14ac:dyDescent="0.35">
      <c r="A768" t="s">
        <v>806</v>
      </c>
      <c r="B768" t="s">
        <v>249</v>
      </c>
      <c r="C768">
        <v>2000</v>
      </c>
      <c r="D768">
        <v>8526</v>
      </c>
      <c r="F768">
        <v>589788</v>
      </c>
    </row>
    <row r="769" spans="1:6" x14ac:dyDescent="0.35">
      <c r="A769" t="s">
        <v>806</v>
      </c>
      <c r="B769" t="s">
        <v>249</v>
      </c>
      <c r="C769">
        <v>2001</v>
      </c>
      <c r="D769">
        <v>8484</v>
      </c>
      <c r="F769">
        <v>580168</v>
      </c>
    </row>
    <row r="770" spans="1:6" x14ac:dyDescent="0.35">
      <c r="A770" t="s">
        <v>806</v>
      </c>
      <c r="B770" t="s">
        <v>249</v>
      </c>
      <c r="C770">
        <v>2002</v>
      </c>
      <c r="D770">
        <v>8685</v>
      </c>
      <c r="F770">
        <v>581592</v>
      </c>
    </row>
    <row r="771" spans="1:6" x14ac:dyDescent="0.35">
      <c r="A771" t="s">
        <v>806</v>
      </c>
      <c r="B771" t="s">
        <v>249</v>
      </c>
      <c r="C771">
        <v>2003</v>
      </c>
      <c r="D771">
        <v>9001</v>
      </c>
      <c r="F771">
        <v>606656</v>
      </c>
    </row>
    <row r="772" spans="1:6" x14ac:dyDescent="0.35">
      <c r="A772" t="s">
        <v>806</v>
      </c>
      <c r="B772" t="s">
        <v>249</v>
      </c>
      <c r="C772">
        <v>2004</v>
      </c>
      <c r="D772">
        <v>9368</v>
      </c>
      <c r="F772">
        <v>624207</v>
      </c>
    </row>
    <row r="773" spans="1:6" x14ac:dyDescent="0.35">
      <c r="A773" t="s">
        <v>806</v>
      </c>
      <c r="B773" t="s">
        <v>249</v>
      </c>
      <c r="C773">
        <v>2005</v>
      </c>
      <c r="D773">
        <v>9396</v>
      </c>
      <c r="F773">
        <v>630084</v>
      </c>
    </row>
    <row r="774" spans="1:6" x14ac:dyDescent="0.35">
      <c r="A774" t="s">
        <v>806</v>
      </c>
      <c r="B774" t="s">
        <v>249</v>
      </c>
      <c r="C774">
        <v>2006</v>
      </c>
      <c r="D774">
        <v>9992</v>
      </c>
      <c r="F774">
        <v>652778</v>
      </c>
    </row>
    <row r="775" spans="1:6" x14ac:dyDescent="0.35">
      <c r="A775" t="s">
        <v>806</v>
      </c>
      <c r="B775" t="s">
        <v>249</v>
      </c>
      <c r="C775">
        <v>2007</v>
      </c>
      <c r="D775">
        <v>10334</v>
      </c>
      <c r="F775">
        <v>672528</v>
      </c>
    </row>
    <row r="776" spans="1:6" x14ac:dyDescent="0.35">
      <c r="A776" t="s">
        <v>806</v>
      </c>
      <c r="B776" t="s">
        <v>249</v>
      </c>
      <c r="C776">
        <v>2008</v>
      </c>
      <c r="D776">
        <v>10680</v>
      </c>
      <c r="F776">
        <v>690442</v>
      </c>
    </row>
    <row r="777" spans="1:6" x14ac:dyDescent="0.35">
      <c r="A777" t="s">
        <v>806</v>
      </c>
      <c r="B777" t="s">
        <v>249</v>
      </c>
      <c r="C777">
        <v>2009</v>
      </c>
      <c r="D777">
        <v>11301</v>
      </c>
      <c r="F777">
        <v>686870</v>
      </c>
    </row>
    <row r="778" spans="1:6" x14ac:dyDescent="0.35">
      <c r="A778" t="s">
        <v>806</v>
      </c>
      <c r="B778" t="s">
        <v>249</v>
      </c>
      <c r="C778">
        <v>2010</v>
      </c>
      <c r="D778">
        <v>11053</v>
      </c>
      <c r="F778">
        <v>704239</v>
      </c>
    </row>
    <row r="779" spans="1:6" x14ac:dyDescent="0.35">
      <c r="A779" t="s">
        <v>806</v>
      </c>
      <c r="B779" t="s">
        <v>249</v>
      </c>
      <c r="C779">
        <v>2011</v>
      </c>
      <c r="D779">
        <v>11330</v>
      </c>
      <c r="F779">
        <v>704535</v>
      </c>
    </row>
    <row r="780" spans="1:6" x14ac:dyDescent="0.35">
      <c r="A780" t="s">
        <v>806</v>
      </c>
      <c r="B780" t="s">
        <v>249</v>
      </c>
      <c r="C780">
        <v>2012</v>
      </c>
      <c r="D780">
        <v>11228</v>
      </c>
      <c r="F780">
        <v>710133</v>
      </c>
    </row>
    <row r="781" spans="1:6" x14ac:dyDescent="0.35">
      <c r="A781" t="s">
        <v>806</v>
      </c>
      <c r="B781" t="s">
        <v>249</v>
      </c>
      <c r="C781">
        <v>2013</v>
      </c>
      <c r="D781">
        <v>10593</v>
      </c>
      <c r="F781">
        <v>680037</v>
      </c>
    </row>
    <row r="782" spans="1:6" x14ac:dyDescent="0.35">
      <c r="A782" t="s">
        <v>806</v>
      </c>
      <c r="B782" t="s">
        <v>249</v>
      </c>
      <c r="C782">
        <v>2014</v>
      </c>
      <c r="D782">
        <v>10839</v>
      </c>
      <c r="F782">
        <v>676357</v>
      </c>
    </row>
    <row r="783" spans="1:6" x14ac:dyDescent="0.35">
      <c r="A783" t="s">
        <v>806</v>
      </c>
      <c r="B783" t="s">
        <v>249</v>
      </c>
      <c r="C783">
        <v>2015</v>
      </c>
      <c r="D783">
        <v>10901</v>
      </c>
      <c r="F783">
        <v>678678</v>
      </c>
    </row>
    <row r="784" spans="1:6" x14ac:dyDescent="0.35">
      <c r="A784" t="s">
        <v>806</v>
      </c>
      <c r="B784" t="s">
        <v>249</v>
      </c>
      <c r="C784">
        <v>2016</v>
      </c>
      <c r="D784">
        <v>10786</v>
      </c>
      <c r="F784">
        <v>677311</v>
      </c>
    </row>
    <row r="785" spans="1:6" x14ac:dyDescent="0.35">
      <c r="A785" t="s">
        <v>806</v>
      </c>
      <c r="B785" t="s">
        <v>249</v>
      </c>
      <c r="C785">
        <v>2017</v>
      </c>
      <c r="D785">
        <v>10462</v>
      </c>
      <c r="F785">
        <v>660573</v>
      </c>
    </row>
    <row r="786" spans="1:6" x14ac:dyDescent="0.35">
      <c r="A786" t="s">
        <v>806</v>
      </c>
      <c r="B786" t="s">
        <v>249</v>
      </c>
      <c r="C786">
        <v>2018</v>
      </c>
      <c r="D786">
        <v>9873</v>
      </c>
      <c r="F786">
        <v>639619</v>
      </c>
    </row>
    <row r="787" spans="1:6" x14ac:dyDescent="0.35">
      <c r="A787" t="s">
        <v>806</v>
      </c>
      <c r="B787" t="s">
        <v>249</v>
      </c>
      <c r="C787">
        <v>2019</v>
      </c>
      <c r="D787">
        <v>9513</v>
      </c>
      <c r="F787">
        <v>623430</v>
      </c>
    </row>
    <row r="788" spans="1:6" x14ac:dyDescent="0.35">
      <c r="A788" t="s">
        <v>806</v>
      </c>
      <c r="B788" t="s">
        <v>249</v>
      </c>
      <c r="C788">
        <v>2020</v>
      </c>
      <c r="D788">
        <v>8614</v>
      </c>
      <c r="F788">
        <v>598743</v>
      </c>
    </row>
    <row r="789" spans="1:6" x14ac:dyDescent="0.35">
      <c r="A789" t="s">
        <v>19</v>
      </c>
      <c r="B789" t="s">
        <v>20</v>
      </c>
      <c r="C789">
        <v>1960</v>
      </c>
      <c r="E789">
        <v>4486</v>
      </c>
      <c r="F789">
        <v>256111</v>
      </c>
    </row>
    <row r="790" spans="1:6" x14ac:dyDescent="0.35">
      <c r="A790" t="s">
        <v>19</v>
      </c>
      <c r="B790" t="s">
        <v>20</v>
      </c>
      <c r="C790">
        <v>1961</v>
      </c>
      <c r="E790">
        <v>4763</v>
      </c>
      <c r="F790">
        <v>264446</v>
      </c>
    </row>
    <row r="791" spans="1:6" x14ac:dyDescent="0.35">
      <c r="A791" t="s">
        <v>19</v>
      </c>
      <c r="B791" t="s">
        <v>20</v>
      </c>
      <c r="C791">
        <v>1962</v>
      </c>
      <c r="E791">
        <v>5802</v>
      </c>
      <c r="F791">
        <v>268574</v>
      </c>
    </row>
    <row r="792" spans="1:6" x14ac:dyDescent="0.35">
      <c r="A792" t="s">
        <v>19</v>
      </c>
      <c r="B792" t="s">
        <v>20</v>
      </c>
      <c r="C792">
        <v>1963</v>
      </c>
      <c r="E792">
        <v>4690</v>
      </c>
      <c r="F792">
        <v>272408</v>
      </c>
    </row>
    <row r="793" spans="1:6" x14ac:dyDescent="0.35">
      <c r="A793" t="s">
        <v>19</v>
      </c>
      <c r="B793" t="s">
        <v>20</v>
      </c>
      <c r="C793">
        <v>1964</v>
      </c>
      <c r="E793">
        <v>4308</v>
      </c>
      <c r="F793">
        <v>270926</v>
      </c>
    </row>
    <row r="794" spans="1:6" x14ac:dyDescent="0.35">
      <c r="A794" t="s">
        <v>19</v>
      </c>
      <c r="B794" t="s">
        <v>20</v>
      </c>
      <c r="C794">
        <v>1965</v>
      </c>
      <c r="E794">
        <v>4679</v>
      </c>
      <c r="F794">
        <v>269837</v>
      </c>
    </row>
    <row r="795" spans="1:6" x14ac:dyDescent="0.35">
      <c r="A795" t="s">
        <v>19</v>
      </c>
      <c r="B795" t="s">
        <v>20</v>
      </c>
      <c r="C795">
        <v>1966</v>
      </c>
      <c r="E795">
        <v>4329</v>
      </c>
      <c r="F795">
        <v>263840</v>
      </c>
    </row>
    <row r="796" spans="1:6" x14ac:dyDescent="0.35">
      <c r="A796" t="s">
        <v>19</v>
      </c>
      <c r="B796" t="s">
        <v>21</v>
      </c>
      <c r="C796">
        <v>1967</v>
      </c>
      <c r="E796">
        <v>4288</v>
      </c>
      <c r="F796">
        <v>255373</v>
      </c>
    </row>
    <row r="797" spans="1:6" x14ac:dyDescent="0.35">
      <c r="A797" t="s">
        <v>19</v>
      </c>
      <c r="B797" t="s">
        <v>21</v>
      </c>
      <c r="C797">
        <v>1968</v>
      </c>
      <c r="E797">
        <v>4008</v>
      </c>
      <c r="F797">
        <v>244882</v>
      </c>
    </row>
    <row r="798" spans="1:6" x14ac:dyDescent="0.35">
      <c r="A798" t="s">
        <v>19</v>
      </c>
      <c r="B798" t="s">
        <v>21</v>
      </c>
      <c r="C798">
        <v>1969</v>
      </c>
    </row>
    <row r="799" spans="1:6" x14ac:dyDescent="0.35">
      <c r="A799" t="s">
        <v>19</v>
      </c>
      <c r="B799" t="s">
        <v>21</v>
      </c>
      <c r="C799">
        <v>1970</v>
      </c>
    </row>
    <row r="800" spans="1:6" x14ac:dyDescent="0.35">
      <c r="A800" t="s">
        <v>19</v>
      </c>
      <c r="B800" t="s">
        <v>21</v>
      </c>
      <c r="C800">
        <v>1971</v>
      </c>
      <c r="E800">
        <v>3628</v>
      </c>
      <c r="F800">
        <v>244277</v>
      </c>
    </row>
    <row r="801" spans="1:6" x14ac:dyDescent="0.35">
      <c r="A801" t="s">
        <v>19</v>
      </c>
      <c r="B801" t="s">
        <v>20</v>
      </c>
      <c r="C801">
        <v>1972</v>
      </c>
      <c r="E801">
        <v>3725</v>
      </c>
      <c r="F801">
        <v>252326</v>
      </c>
    </row>
    <row r="802" spans="1:6" x14ac:dyDescent="0.35">
      <c r="A802" t="s">
        <v>19</v>
      </c>
      <c r="B802" t="s">
        <v>20</v>
      </c>
      <c r="C802">
        <v>1973</v>
      </c>
      <c r="E802">
        <v>4020</v>
      </c>
      <c r="F802">
        <v>250961</v>
      </c>
    </row>
    <row r="803" spans="1:6" x14ac:dyDescent="0.35">
      <c r="A803" t="s">
        <v>19</v>
      </c>
      <c r="B803" t="s">
        <v>20</v>
      </c>
      <c r="C803">
        <v>1974</v>
      </c>
      <c r="E803">
        <v>3892</v>
      </c>
      <c r="F803">
        <v>246507</v>
      </c>
    </row>
    <row r="804" spans="1:6" x14ac:dyDescent="0.35">
      <c r="A804" t="s">
        <v>19</v>
      </c>
      <c r="B804" t="s">
        <v>20</v>
      </c>
      <c r="C804">
        <v>1975</v>
      </c>
      <c r="E804">
        <v>3638</v>
      </c>
      <c r="F804">
        <v>233820</v>
      </c>
    </row>
    <row r="805" spans="1:6" x14ac:dyDescent="0.35">
      <c r="A805" t="s">
        <v>19</v>
      </c>
      <c r="B805" t="s">
        <v>20</v>
      </c>
      <c r="C805">
        <v>1976</v>
      </c>
      <c r="E805">
        <v>3595</v>
      </c>
      <c r="F805">
        <v>225552</v>
      </c>
    </row>
    <row r="806" spans="1:6" x14ac:dyDescent="0.35">
      <c r="A806" t="s">
        <v>19</v>
      </c>
      <c r="B806" t="s">
        <v>20</v>
      </c>
      <c r="C806">
        <v>1977</v>
      </c>
      <c r="E806">
        <v>3135</v>
      </c>
      <c r="F806">
        <v>213636</v>
      </c>
    </row>
    <row r="807" spans="1:6" x14ac:dyDescent="0.35">
      <c r="A807" t="s">
        <v>19</v>
      </c>
      <c r="B807" t="s">
        <v>20</v>
      </c>
      <c r="C807">
        <v>1978</v>
      </c>
      <c r="E807">
        <v>2899</v>
      </c>
      <c r="F807">
        <v>215613</v>
      </c>
    </row>
    <row r="808" spans="1:6" x14ac:dyDescent="0.35">
      <c r="A808" t="s">
        <v>19</v>
      </c>
      <c r="B808" t="s">
        <v>20</v>
      </c>
      <c r="C808">
        <v>1979</v>
      </c>
      <c r="E808">
        <v>3114</v>
      </c>
      <c r="F808">
        <v>219916</v>
      </c>
    </row>
    <row r="809" spans="1:6" x14ac:dyDescent="0.35">
      <c r="A809" t="s">
        <v>19</v>
      </c>
      <c r="B809" t="s">
        <v>20</v>
      </c>
      <c r="C809">
        <v>1980</v>
      </c>
      <c r="E809">
        <v>3221</v>
      </c>
      <c r="F809">
        <v>231359</v>
      </c>
    </row>
    <row r="810" spans="1:6" x14ac:dyDescent="0.35">
      <c r="A810" t="s">
        <v>19</v>
      </c>
      <c r="B810" t="s">
        <v>20</v>
      </c>
      <c r="C810">
        <v>1981</v>
      </c>
      <c r="E810">
        <v>3869</v>
      </c>
      <c r="F810">
        <v>247614</v>
      </c>
    </row>
    <row r="811" spans="1:6" x14ac:dyDescent="0.35">
      <c r="A811" t="s">
        <v>19</v>
      </c>
      <c r="B811" t="s">
        <v>20</v>
      </c>
      <c r="C811">
        <v>1982</v>
      </c>
      <c r="E811">
        <v>6178</v>
      </c>
      <c r="F811">
        <v>250249</v>
      </c>
    </row>
    <row r="812" spans="1:6" x14ac:dyDescent="0.35">
      <c r="A812" t="s">
        <v>19</v>
      </c>
      <c r="B812" t="s">
        <v>20</v>
      </c>
      <c r="C812">
        <v>1983</v>
      </c>
      <c r="E812">
        <v>6823</v>
      </c>
      <c r="F812">
        <v>236818</v>
      </c>
    </row>
    <row r="813" spans="1:6" x14ac:dyDescent="0.35">
      <c r="A813" t="s">
        <v>19</v>
      </c>
      <c r="B813" t="s">
        <v>20</v>
      </c>
      <c r="C813">
        <v>1984</v>
      </c>
      <c r="E813">
        <v>3730</v>
      </c>
      <c r="F813">
        <v>247901</v>
      </c>
    </row>
    <row r="814" spans="1:6" x14ac:dyDescent="0.35">
      <c r="A814" t="s">
        <v>19</v>
      </c>
      <c r="B814" t="s">
        <v>20</v>
      </c>
      <c r="C814">
        <v>1985</v>
      </c>
      <c r="E814">
        <v>3754</v>
      </c>
      <c r="F814">
        <v>244817</v>
      </c>
    </row>
    <row r="815" spans="1:6" x14ac:dyDescent="0.35">
      <c r="A815" t="s">
        <v>19</v>
      </c>
      <c r="B815" t="s">
        <v>20</v>
      </c>
      <c r="C815">
        <v>1986</v>
      </c>
      <c r="E815">
        <v>3872</v>
      </c>
      <c r="F815">
        <v>255270</v>
      </c>
    </row>
    <row r="816" spans="1:6" x14ac:dyDescent="0.35">
      <c r="A816" t="s">
        <v>19</v>
      </c>
      <c r="B816" t="s">
        <v>20</v>
      </c>
      <c r="C816">
        <v>1987</v>
      </c>
      <c r="E816">
        <v>4198</v>
      </c>
      <c r="F816">
        <v>261022</v>
      </c>
    </row>
    <row r="817" spans="1:6" x14ac:dyDescent="0.35">
      <c r="A817" t="s">
        <v>19</v>
      </c>
      <c r="B817" t="s">
        <v>20</v>
      </c>
      <c r="C817">
        <v>1988</v>
      </c>
      <c r="E817">
        <v>4323</v>
      </c>
      <c r="F817">
        <v>276903</v>
      </c>
    </row>
    <row r="818" spans="1:6" x14ac:dyDescent="0.35">
      <c r="A818" t="s">
        <v>19</v>
      </c>
      <c r="B818" t="s">
        <v>20</v>
      </c>
      <c r="C818">
        <v>1989</v>
      </c>
      <c r="E818">
        <v>4541</v>
      </c>
      <c r="F818">
        <v>283121</v>
      </c>
    </row>
    <row r="819" spans="1:6" x14ac:dyDescent="0.35">
      <c r="A819" t="s">
        <v>19</v>
      </c>
      <c r="B819" t="s">
        <v>20</v>
      </c>
      <c r="C819">
        <v>1990</v>
      </c>
      <c r="E819">
        <v>4426</v>
      </c>
      <c r="F819">
        <v>286246</v>
      </c>
    </row>
    <row r="820" spans="1:6" x14ac:dyDescent="0.35">
      <c r="A820" t="s">
        <v>19</v>
      </c>
      <c r="B820" t="s">
        <v>20</v>
      </c>
      <c r="C820">
        <v>1991</v>
      </c>
      <c r="E820">
        <v>4638</v>
      </c>
      <c r="F820">
        <v>279274</v>
      </c>
    </row>
    <row r="821" spans="1:6" x14ac:dyDescent="0.35">
      <c r="A821" t="s">
        <v>19</v>
      </c>
      <c r="B821" t="s">
        <v>20</v>
      </c>
      <c r="C821">
        <v>1992</v>
      </c>
      <c r="E821">
        <v>4429</v>
      </c>
      <c r="F821">
        <v>274181</v>
      </c>
    </row>
    <row r="822" spans="1:6" x14ac:dyDescent="0.35">
      <c r="A822" t="s">
        <v>19</v>
      </c>
      <c r="B822" t="s">
        <v>20</v>
      </c>
      <c r="C822">
        <v>1993</v>
      </c>
      <c r="E822">
        <v>4396</v>
      </c>
      <c r="F822">
        <v>271101</v>
      </c>
    </row>
    <row r="823" spans="1:6" x14ac:dyDescent="0.35">
      <c r="A823" t="s">
        <v>19</v>
      </c>
      <c r="B823" t="s">
        <v>20</v>
      </c>
      <c r="C823">
        <v>1994</v>
      </c>
      <c r="E823">
        <v>4256</v>
      </c>
      <c r="F823">
        <v>269129</v>
      </c>
    </row>
    <row r="824" spans="1:6" x14ac:dyDescent="0.35">
      <c r="A824" t="s">
        <v>19</v>
      </c>
      <c r="B824" t="s">
        <v>20</v>
      </c>
      <c r="C824">
        <v>1995</v>
      </c>
      <c r="E824">
        <v>4372</v>
      </c>
      <c r="F824">
        <v>261027</v>
      </c>
    </row>
    <row r="825" spans="1:6" x14ac:dyDescent="0.35">
      <c r="A825" t="s">
        <v>19</v>
      </c>
      <c r="B825" t="s">
        <v>20</v>
      </c>
      <c r="C825">
        <v>1996</v>
      </c>
      <c r="E825">
        <v>4156</v>
      </c>
      <c r="F825">
        <v>260103</v>
      </c>
    </row>
    <row r="826" spans="1:6" x14ac:dyDescent="0.35">
      <c r="A826" t="s">
        <v>19</v>
      </c>
      <c r="B826" t="s">
        <v>20</v>
      </c>
      <c r="C826">
        <v>1997</v>
      </c>
      <c r="E826">
        <v>4149</v>
      </c>
      <c r="F826">
        <v>255311</v>
      </c>
    </row>
    <row r="827" spans="1:6" x14ac:dyDescent="0.35">
      <c r="A827" t="s">
        <v>19</v>
      </c>
      <c r="B827" t="s">
        <v>20</v>
      </c>
      <c r="C827">
        <v>1998</v>
      </c>
      <c r="E827">
        <v>4091</v>
      </c>
      <c r="F827">
        <v>252648</v>
      </c>
    </row>
    <row r="828" spans="1:6" x14ac:dyDescent="0.35">
      <c r="A828" t="s">
        <v>19</v>
      </c>
      <c r="B828" t="s">
        <v>20</v>
      </c>
      <c r="C828">
        <v>1999</v>
      </c>
      <c r="E828">
        <v>4205</v>
      </c>
      <c r="F828">
        <v>246139</v>
      </c>
    </row>
    <row r="829" spans="1:6" x14ac:dyDescent="0.35">
      <c r="A829" t="s">
        <v>19</v>
      </c>
      <c r="B829" t="s">
        <v>20</v>
      </c>
      <c r="C829">
        <v>2000</v>
      </c>
      <c r="E829">
        <v>4123</v>
      </c>
      <c r="F829">
        <v>244549</v>
      </c>
    </row>
    <row r="830" spans="1:6" x14ac:dyDescent="0.35">
      <c r="A830" t="s">
        <v>19</v>
      </c>
      <c r="B830" t="s">
        <v>20</v>
      </c>
      <c r="C830">
        <v>2001</v>
      </c>
      <c r="E830">
        <v>4366</v>
      </c>
      <c r="F830">
        <v>241538</v>
      </c>
    </row>
    <row r="831" spans="1:6" x14ac:dyDescent="0.35">
      <c r="A831" t="s">
        <v>19</v>
      </c>
      <c r="B831" t="s">
        <v>20</v>
      </c>
      <c r="C831">
        <v>2002</v>
      </c>
      <c r="E831">
        <v>4241</v>
      </c>
      <c r="F831">
        <v>234480</v>
      </c>
    </row>
    <row r="832" spans="1:6" x14ac:dyDescent="0.35">
      <c r="A832" t="s">
        <v>19</v>
      </c>
      <c r="B832" t="s">
        <v>20</v>
      </c>
      <c r="C832">
        <v>2003</v>
      </c>
      <c r="E832">
        <v>4144</v>
      </c>
      <c r="F832">
        <v>229915</v>
      </c>
    </row>
    <row r="833" spans="1:6" x14ac:dyDescent="0.35">
      <c r="A833" t="s">
        <v>19</v>
      </c>
      <c r="B833" t="s">
        <v>20</v>
      </c>
      <c r="C833">
        <v>2004</v>
      </c>
      <c r="E833">
        <v>4005</v>
      </c>
      <c r="F833">
        <v>225800</v>
      </c>
    </row>
    <row r="834" spans="1:6" x14ac:dyDescent="0.35">
      <c r="A834" t="s">
        <v>19</v>
      </c>
      <c r="B834" t="s">
        <v>20</v>
      </c>
      <c r="C834">
        <v>2005</v>
      </c>
      <c r="E834">
        <v>4038</v>
      </c>
      <c r="F834">
        <v>226313</v>
      </c>
    </row>
    <row r="835" spans="1:6" x14ac:dyDescent="0.35">
      <c r="A835" t="s">
        <v>19</v>
      </c>
      <c r="B835" t="s">
        <v>20</v>
      </c>
      <c r="C835">
        <v>2006</v>
      </c>
      <c r="E835">
        <v>4115</v>
      </c>
      <c r="F835">
        <v>226661</v>
      </c>
    </row>
    <row r="836" spans="1:6" x14ac:dyDescent="0.35">
      <c r="A836" t="s">
        <v>19</v>
      </c>
      <c r="B836" t="s">
        <v>20</v>
      </c>
      <c r="C836">
        <v>2007</v>
      </c>
      <c r="E836">
        <v>4355</v>
      </c>
      <c r="F836">
        <v>235591</v>
      </c>
    </row>
    <row r="837" spans="1:6" x14ac:dyDescent="0.35">
      <c r="A837" t="s">
        <v>19</v>
      </c>
      <c r="B837" t="s">
        <v>20</v>
      </c>
      <c r="C837">
        <v>2008</v>
      </c>
      <c r="E837">
        <v>4595</v>
      </c>
      <c r="F837">
        <v>241684</v>
      </c>
    </row>
    <row r="838" spans="1:6" x14ac:dyDescent="0.35">
      <c r="A838" t="s">
        <v>19</v>
      </c>
      <c r="B838" t="s">
        <v>20</v>
      </c>
      <c r="C838">
        <v>2009</v>
      </c>
      <c r="E838">
        <v>4640</v>
      </c>
      <c r="F838">
        <v>246988</v>
      </c>
    </row>
    <row r="839" spans="1:6" x14ac:dyDescent="0.35">
      <c r="A839" t="s">
        <v>19</v>
      </c>
      <c r="B839" t="s">
        <v>20</v>
      </c>
      <c r="C839">
        <v>2010</v>
      </c>
      <c r="E839">
        <v>4767</v>
      </c>
      <c r="F839">
        <v>245381</v>
      </c>
    </row>
    <row r="840" spans="1:6" x14ac:dyDescent="0.35">
      <c r="A840" t="s">
        <v>19</v>
      </c>
      <c r="B840" t="s">
        <v>20</v>
      </c>
      <c r="C840">
        <v>2011</v>
      </c>
      <c r="E840">
        <v>4617</v>
      </c>
      <c r="F840">
        <v>242397</v>
      </c>
    </row>
    <row r="841" spans="1:6" x14ac:dyDescent="0.35">
      <c r="A841" t="s">
        <v>19</v>
      </c>
      <c r="B841" t="s">
        <v>20</v>
      </c>
      <c r="C841">
        <v>2012</v>
      </c>
      <c r="E841">
        <v>4722</v>
      </c>
      <c r="F841">
        <v>238383</v>
      </c>
    </row>
    <row r="842" spans="1:6" x14ac:dyDescent="0.35">
      <c r="A842" t="s">
        <v>19</v>
      </c>
      <c r="B842" t="s">
        <v>20</v>
      </c>
      <c r="C842">
        <v>2013</v>
      </c>
      <c r="E842">
        <v>4753</v>
      </c>
      <c r="F842">
        <v>236750</v>
      </c>
    </row>
    <row r="843" spans="1:6" x14ac:dyDescent="0.35">
      <c r="A843" t="s">
        <v>19</v>
      </c>
      <c r="B843" t="s">
        <v>20</v>
      </c>
      <c r="C843">
        <v>2014</v>
      </c>
      <c r="E843">
        <v>5061</v>
      </c>
      <c r="F843">
        <v>245334</v>
      </c>
    </row>
    <row r="844" spans="1:6" x14ac:dyDescent="0.35">
      <c r="A844" t="s">
        <v>19</v>
      </c>
      <c r="B844" t="s">
        <v>20</v>
      </c>
      <c r="C844">
        <v>2015</v>
      </c>
      <c r="D844">
        <v>2608</v>
      </c>
      <c r="E844">
        <v>5113</v>
      </c>
      <c r="F844">
        <v>238988</v>
      </c>
    </row>
    <row r="845" spans="1:6" x14ac:dyDescent="0.35">
      <c r="A845" t="s">
        <v>19</v>
      </c>
      <c r="B845" t="s">
        <v>20</v>
      </c>
      <c r="C845">
        <v>2016</v>
      </c>
      <c r="D845">
        <v>2525</v>
      </c>
      <c r="E845">
        <v>4951</v>
      </c>
      <c r="F845">
        <v>226176</v>
      </c>
    </row>
    <row r="846" spans="1:6" x14ac:dyDescent="0.35">
      <c r="A846" t="s">
        <v>19</v>
      </c>
      <c r="B846" t="s">
        <v>20</v>
      </c>
      <c r="C846">
        <v>2017</v>
      </c>
      <c r="D846">
        <v>2596</v>
      </c>
      <c r="E846">
        <v>5124</v>
      </c>
      <c r="F846">
        <v>213579</v>
      </c>
    </row>
    <row r="847" spans="1:6" x14ac:dyDescent="0.35">
      <c r="A847" t="s">
        <v>19</v>
      </c>
      <c r="B847" t="s">
        <v>20</v>
      </c>
      <c r="C847">
        <v>2018</v>
      </c>
      <c r="D847">
        <v>2546</v>
      </c>
      <c r="E847">
        <v>5124</v>
      </c>
      <c r="F847">
        <v>216269</v>
      </c>
    </row>
    <row r="848" spans="1:6" x14ac:dyDescent="0.35">
      <c r="A848" t="s">
        <v>19</v>
      </c>
      <c r="B848" t="s">
        <v>20</v>
      </c>
      <c r="C848">
        <v>2019</v>
      </c>
      <c r="D848">
        <v>2209</v>
      </c>
      <c r="E848">
        <v>4408</v>
      </c>
      <c r="F848">
        <v>205509</v>
      </c>
    </row>
    <row r="849" spans="1:4" x14ac:dyDescent="0.35">
      <c r="A849" t="s">
        <v>398</v>
      </c>
      <c r="B849" t="s">
        <v>23</v>
      </c>
      <c r="C849">
        <v>1919</v>
      </c>
      <c r="D849">
        <v>5434</v>
      </c>
    </row>
    <row r="850" spans="1:4" x14ac:dyDescent="0.35">
      <c r="A850" t="s">
        <v>398</v>
      </c>
      <c r="B850" t="s">
        <v>23</v>
      </c>
      <c r="C850">
        <v>1920</v>
      </c>
      <c r="D850">
        <v>3478</v>
      </c>
    </row>
    <row r="851" spans="1:4" x14ac:dyDescent="0.35">
      <c r="A851" t="s">
        <v>398</v>
      </c>
      <c r="B851" t="s">
        <v>23</v>
      </c>
      <c r="C851">
        <v>1921</v>
      </c>
      <c r="D851">
        <v>3326</v>
      </c>
    </row>
    <row r="852" spans="1:4" x14ac:dyDescent="0.35">
      <c r="A852" t="s">
        <v>398</v>
      </c>
      <c r="B852" t="s">
        <v>23</v>
      </c>
      <c r="C852">
        <v>1922</v>
      </c>
      <c r="D852">
        <v>3068</v>
      </c>
    </row>
    <row r="853" spans="1:4" x14ac:dyDescent="0.35">
      <c r="A853" t="s">
        <v>398</v>
      </c>
      <c r="B853" t="s">
        <v>23</v>
      </c>
      <c r="C853">
        <v>1923</v>
      </c>
      <c r="D853">
        <v>3257</v>
      </c>
    </row>
    <row r="854" spans="1:4" x14ac:dyDescent="0.35">
      <c r="A854" t="s">
        <v>398</v>
      </c>
      <c r="B854" t="s">
        <v>23</v>
      </c>
      <c r="C854">
        <v>1924</v>
      </c>
      <c r="D854">
        <v>2866</v>
      </c>
    </row>
    <row r="855" spans="1:4" x14ac:dyDescent="0.35">
      <c r="A855" t="s">
        <v>398</v>
      </c>
      <c r="B855" t="s">
        <v>23</v>
      </c>
      <c r="C855">
        <v>1925</v>
      </c>
      <c r="D855">
        <v>2891</v>
      </c>
    </row>
    <row r="856" spans="1:4" x14ac:dyDescent="0.35">
      <c r="A856" t="s">
        <v>398</v>
      </c>
      <c r="B856" t="s">
        <v>23</v>
      </c>
      <c r="C856">
        <v>1926</v>
      </c>
      <c r="D856">
        <v>2807</v>
      </c>
    </row>
    <row r="857" spans="1:4" x14ac:dyDescent="0.35">
      <c r="A857" t="s">
        <v>398</v>
      </c>
      <c r="B857" t="s">
        <v>23</v>
      </c>
      <c r="C857">
        <v>1927</v>
      </c>
      <c r="D857">
        <v>2794</v>
      </c>
    </row>
    <row r="858" spans="1:4" x14ac:dyDescent="0.35">
      <c r="A858" t="s">
        <v>398</v>
      </c>
      <c r="B858" t="s">
        <v>23</v>
      </c>
      <c r="C858">
        <v>1928</v>
      </c>
      <c r="D858">
        <v>2622</v>
      </c>
    </row>
    <row r="859" spans="1:4" x14ac:dyDescent="0.35">
      <c r="A859" t="s">
        <v>398</v>
      </c>
      <c r="B859" t="s">
        <v>23</v>
      </c>
      <c r="C859">
        <v>1929</v>
      </c>
      <c r="D859">
        <v>2628</v>
      </c>
    </row>
    <row r="860" spans="1:4" x14ac:dyDescent="0.35">
      <c r="A860" t="s">
        <v>398</v>
      </c>
      <c r="B860" t="s">
        <v>23</v>
      </c>
      <c r="C860">
        <v>1930</v>
      </c>
      <c r="D860">
        <v>2754</v>
      </c>
    </row>
    <row r="861" spans="1:4" x14ac:dyDescent="0.35">
      <c r="A861" t="s">
        <v>398</v>
      </c>
      <c r="B861" t="s">
        <v>23</v>
      </c>
      <c r="C861">
        <v>1931</v>
      </c>
      <c r="D861">
        <v>2613</v>
      </c>
    </row>
    <row r="862" spans="1:4" x14ac:dyDescent="0.35">
      <c r="A862" t="s">
        <v>398</v>
      </c>
      <c r="B862" t="s">
        <v>23</v>
      </c>
      <c r="C862">
        <v>1932</v>
      </c>
      <c r="D862">
        <v>2475</v>
      </c>
    </row>
    <row r="863" spans="1:4" x14ac:dyDescent="0.35">
      <c r="A863" t="s">
        <v>398</v>
      </c>
      <c r="B863" t="s">
        <v>23</v>
      </c>
      <c r="C863">
        <v>1933</v>
      </c>
      <c r="D863">
        <v>2271</v>
      </c>
    </row>
    <row r="864" spans="1:4" x14ac:dyDescent="0.35">
      <c r="A864" t="s">
        <v>398</v>
      </c>
      <c r="B864" t="s">
        <v>23</v>
      </c>
      <c r="C864">
        <v>1934</v>
      </c>
      <c r="D864">
        <v>2266</v>
      </c>
    </row>
    <row r="865" spans="1:6" x14ac:dyDescent="0.35">
      <c r="A865" t="s">
        <v>398</v>
      </c>
      <c r="B865" t="s">
        <v>23</v>
      </c>
      <c r="C865">
        <v>1935</v>
      </c>
      <c r="D865">
        <v>2130</v>
      </c>
    </row>
    <row r="866" spans="1:6" x14ac:dyDescent="0.35">
      <c r="A866" t="s">
        <v>398</v>
      </c>
      <c r="B866" t="s">
        <v>23</v>
      </c>
      <c r="C866">
        <v>1936</v>
      </c>
      <c r="D866">
        <v>2052</v>
      </c>
    </row>
    <row r="867" spans="1:6" x14ac:dyDescent="0.35">
      <c r="A867" t="s">
        <v>398</v>
      </c>
      <c r="B867" t="s">
        <v>23</v>
      </c>
      <c r="C867">
        <v>1937</v>
      </c>
      <c r="D867">
        <v>2118</v>
      </c>
    </row>
    <row r="868" spans="1:6" x14ac:dyDescent="0.35">
      <c r="A868" t="s">
        <v>398</v>
      </c>
      <c r="B868" t="s">
        <v>23</v>
      </c>
      <c r="C868">
        <v>1938</v>
      </c>
      <c r="D868">
        <v>1390</v>
      </c>
      <c r="F868">
        <v>103097</v>
      </c>
    </row>
    <row r="869" spans="1:6" x14ac:dyDescent="0.35">
      <c r="A869" t="s">
        <v>398</v>
      </c>
      <c r="B869" t="s">
        <v>23</v>
      </c>
      <c r="C869">
        <v>1939</v>
      </c>
      <c r="D869">
        <v>1441</v>
      </c>
      <c r="F869">
        <v>106551</v>
      </c>
    </row>
    <row r="870" spans="1:6" x14ac:dyDescent="0.35">
      <c r="A870" t="s">
        <v>398</v>
      </c>
      <c r="B870" t="s">
        <v>23</v>
      </c>
      <c r="C870">
        <v>1940</v>
      </c>
      <c r="D870">
        <v>1506</v>
      </c>
      <c r="F870">
        <v>119513</v>
      </c>
    </row>
    <row r="871" spans="1:6" x14ac:dyDescent="0.35">
      <c r="A871" t="s">
        <v>398</v>
      </c>
      <c r="B871" t="s">
        <v>23</v>
      </c>
      <c r="C871">
        <v>1941</v>
      </c>
      <c r="D871">
        <v>1505</v>
      </c>
      <c r="F871">
        <v>121950</v>
      </c>
    </row>
    <row r="872" spans="1:6" x14ac:dyDescent="0.35">
      <c r="A872" t="s">
        <v>398</v>
      </c>
      <c r="B872" t="s">
        <v>23</v>
      </c>
      <c r="C872">
        <v>1942</v>
      </c>
      <c r="D872">
        <v>1627</v>
      </c>
      <c r="F872">
        <v>129550</v>
      </c>
    </row>
    <row r="873" spans="1:6" x14ac:dyDescent="0.35">
      <c r="A873" t="s">
        <v>398</v>
      </c>
      <c r="B873" t="s">
        <v>23</v>
      </c>
      <c r="C873">
        <v>1943</v>
      </c>
      <c r="D873">
        <v>1717</v>
      </c>
      <c r="F873">
        <v>149157</v>
      </c>
    </row>
    <row r="874" spans="1:6" x14ac:dyDescent="0.35">
      <c r="A874" t="s">
        <v>398</v>
      </c>
      <c r="B874" t="s">
        <v>23</v>
      </c>
      <c r="C874">
        <v>1944</v>
      </c>
      <c r="D874">
        <v>1753</v>
      </c>
      <c r="F874">
        <v>150414</v>
      </c>
    </row>
    <row r="875" spans="1:6" x14ac:dyDescent="0.35">
      <c r="A875" t="s">
        <v>398</v>
      </c>
      <c r="B875" t="s">
        <v>23</v>
      </c>
      <c r="C875">
        <v>1945</v>
      </c>
      <c r="D875">
        <v>1864</v>
      </c>
      <c r="F875">
        <v>158017</v>
      </c>
    </row>
    <row r="876" spans="1:6" x14ac:dyDescent="0.35">
      <c r="A876" t="s">
        <v>398</v>
      </c>
      <c r="B876" t="s">
        <v>23</v>
      </c>
      <c r="C876">
        <v>1946</v>
      </c>
      <c r="D876">
        <v>2367</v>
      </c>
      <c r="F876">
        <v>197223</v>
      </c>
    </row>
    <row r="877" spans="1:6" x14ac:dyDescent="0.35">
      <c r="A877" t="s">
        <v>398</v>
      </c>
      <c r="B877" t="s">
        <v>23</v>
      </c>
      <c r="C877">
        <v>1947</v>
      </c>
      <c r="D877">
        <v>2624</v>
      </c>
      <c r="F877">
        <v>204787</v>
      </c>
    </row>
    <row r="878" spans="1:6" x14ac:dyDescent="0.35">
      <c r="A878" t="s">
        <v>398</v>
      </c>
      <c r="B878" t="s">
        <v>23</v>
      </c>
      <c r="C878">
        <v>1948</v>
      </c>
      <c r="D878">
        <v>2436</v>
      </c>
      <c r="F878">
        <v>195874</v>
      </c>
    </row>
    <row r="879" spans="1:6" x14ac:dyDescent="0.35">
      <c r="A879" t="s">
        <v>398</v>
      </c>
      <c r="B879" t="s">
        <v>23</v>
      </c>
      <c r="C879">
        <v>1949</v>
      </c>
      <c r="D879">
        <v>2150</v>
      </c>
      <c r="F879">
        <v>183862</v>
      </c>
    </row>
    <row r="880" spans="1:6" x14ac:dyDescent="0.35">
      <c r="A880" t="s">
        <v>398</v>
      </c>
      <c r="B880" t="s">
        <v>23</v>
      </c>
      <c r="C880">
        <v>1950</v>
      </c>
      <c r="D880">
        <v>2222</v>
      </c>
    </row>
    <row r="881" spans="1:4" x14ac:dyDescent="0.35">
      <c r="A881" t="s">
        <v>398</v>
      </c>
      <c r="B881" t="s">
        <v>23</v>
      </c>
      <c r="C881">
        <v>1951</v>
      </c>
      <c r="D881">
        <v>2128</v>
      </c>
    </row>
    <row r="882" spans="1:4" x14ac:dyDescent="0.35">
      <c r="A882" t="s">
        <v>398</v>
      </c>
      <c r="B882" t="s">
        <v>23</v>
      </c>
      <c r="C882">
        <v>1952</v>
      </c>
      <c r="D882">
        <v>2065</v>
      </c>
    </row>
    <row r="883" spans="1:4" x14ac:dyDescent="0.35">
      <c r="A883" t="s">
        <v>398</v>
      </c>
      <c r="B883" t="s">
        <v>23</v>
      </c>
      <c r="C883">
        <v>1953</v>
      </c>
      <c r="D883">
        <v>1878</v>
      </c>
    </row>
    <row r="884" spans="1:4" x14ac:dyDescent="0.35">
      <c r="A884" t="s">
        <v>398</v>
      </c>
      <c r="B884" t="s">
        <v>23</v>
      </c>
      <c r="C884">
        <v>1954</v>
      </c>
      <c r="D884">
        <v>1924</v>
      </c>
    </row>
    <row r="885" spans="1:4" x14ac:dyDescent="0.35">
      <c r="A885" t="s">
        <v>398</v>
      </c>
      <c r="B885" t="s">
        <v>23</v>
      </c>
      <c r="C885">
        <v>1955</v>
      </c>
      <c r="D885">
        <v>1829</v>
      </c>
    </row>
    <row r="886" spans="1:4" x14ac:dyDescent="0.35">
      <c r="A886" t="s">
        <v>398</v>
      </c>
      <c r="B886" t="s">
        <v>23</v>
      </c>
      <c r="C886">
        <v>1956</v>
      </c>
      <c r="D886">
        <v>1806</v>
      </c>
    </row>
    <row r="887" spans="1:4" x14ac:dyDescent="0.35">
      <c r="A887" t="s">
        <v>398</v>
      </c>
      <c r="B887" t="s">
        <v>23</v>
      </c>
      <c r="C887">
        <v>1957</v>
      </c>
      <c r="D887">
        <v>1693</v>
      </c>
    </row>
    <row r="888" spans="1:4" x14ac:dyDescent="0.35">
      <c r="A888" t="s">
        <v>398</v>
      </c>
      <c r="B888" t="s">
        <v>23</v>
      </c>
      <c r="C888">
        <v>1958</v>
      </c>
      <c r="D888">
        <v>1552</v>
      </c>
    </row>
    <row r="889" spans="1:4" x14ac:dyDescent="0.35">
      <c r="A889" t="s">
        <v>398</v>
      </c>
      <c r="B889" t="s">
        <v>23</v>
      </c>
      <c r="C889">
        <v>1959</v>
      </c>
      <c r="D889">
        <v>1317</v>
      </c>
    </row>
    <row r="890" spans="1:4" x14ac:dyDescent="0.35">
      <c r="A890" t="s">
        <v>398</v>
      </c>
      <c r="B890" t="s">
        <v>23</v>
      </c>
      <c r="C890">
        <v>1960</v>
      </c>
      <c r="D890">
        <v>1287</v>
      </c>
    </row>
    <row r="891" spans="1:4" x14ac:dyDescent="0.35">
      <c r="A891" t="s">
        <v>398</v>
      </c>
      <c r="B891" t="s">
        <v>23</v>
      </c>
      <c r="C891">
        <v>1961</v>
      </c>
      <c r="D891">
        <v>1282</v>
      </c>
    </row>
    <row r="892" spans="1:4" x14ac:dyDescent="0.35">
      <c r="A892" t="s">
        <v>398</v>
      </c>
      <c r="B892" t="s">
        <v>23</v>
      </c>
      <c r="C892">
        <v>1962</v>
      </c>
      <c r="D892">
        <v>1257</v>
      </c>
    </row>
    <row r="893" spans="1:4" x14ac:dyDescent="0.35">
      <c r="A893" t="s">
        <v>398</v>
      </c>
      <c r="B893" t="s">
        <v>23</v>
      </c>
      <c r="C893">
        <v>1963</v>
      </c>
      <c r="D893">
        <v>1412</v>
      </c>
    </row>
    <row r="894" spans="1:4" x14ac:dyDescent="0.35">
      <c r="A894" t="s">
        <v>398</v>
      </c>
      <c r="B894" t="s">
        <v>23</v>
      </c>
      <c r="C894">
        <v>1964</v>
      </c>
      <c r="D894">
        <v>1359</v>
      </c>
    </row>
    <row r="895" spans="1:4" x14ac:dyDescent="0.35">
      <c r="A895" t="s">
        <v>398</v>
      </c>
      <c r="B895" t="s">
        <v>23</v>
      </c>
      <c r="C895">
        <v>1965</v>
      </c>
      <c r="D895">
        <v>1439</v>
      </c>
    </row>
    <row r="896" spans="1:4" x14ac:dyDescent="0.35">
      <c r="A896" t="s">
        <v>398</v>
      </c>
      <c r="B896" t="s">
        <v>23</v>
      </c>
      <c r="C896">
        <v>1966</v>
      </c>
      <c r="D896">
        <v>1313</v>
      </c>
    </row>
    <row r="897" spans="1:4" x14ac:dyDescent="0.35">
      <c r="A897" t="s">
        <v>398</v>
      </c>
      <c r="B897" t="s">
        <v>23</v>
      </c>
      <c r="C897">
        <v>1967</v>
      </c>
      <c r="D897">
        <v>1237</v>
      </c>
    </row>
    <row r="898" spans="1:4" x14ac:dyDescent="0.35">
      <c r="A898" t="s">
        <v>398</v>
      </c>
      <c r="B898" t="s">
        <v>23</v>
      </c>
      <c r="C898">
        <v>1968</v>
      </c>
      <c r="D898">
        <v>1221</v>
      </c>
    </row>
    <row r="899" spans="1:4" x14ac:dyDescent="0.35">
      <c r="A899" t="s">
        <v>398</v>
      </c>
      <c r="B899" t="s">
        <v>23</v>
      </c>
      <c r="C899">
        <v>1969</v>
      </c>
      <c r="D899">
        <v>1299</v>
      </c>
    </row>
    <row r="900" spans="1:4" x14ac:dyDescent="0.35">
      <c r="A900" t="s">
        <v>398</v>
      </c>
      <c r="B900" t="s">
        <v>23</v>
      </c>
      <c r="C900">
        <v>1970</v>
      </c>
      <c r="D900">
        <v>1410</v>
      </c>
    </row>
    <row r="901" spans="1:4" x14ac:dyDescent="0.35">
      <c r="A901" t="s">
        <v>398</v>
      </c>
      <c r="B901" t="s">
        <v>23</v>
      </c>
      <c r="C901">
        <v>1971</v>
      </c>
      <c r="D901">
        <v>1393</v>
      </c>
    </row>
    <row r="902" spans="1:4" x14ac:dyDescent="0.35">
      <c r="A902" t="s">
        <v>398</v>
      </c>
      <c r="B902" t="s">
        <v>23</v>
      </c>
      <c r="C902">
        <v>1972</v>
      </c>
      <c r="D902">
        <v>1525</v>
      </c>
    </row>
    <row r="903" spans="1:4" x14ac:dyDescent="0.35">
      <c r="A903" t="s">
        <v>398</v>
      </c>
      <c r="B903" t="s">
        <v>23</v>
      </c>
      <c r="C903">
        <v>1973</v>
      </c>
      <c r="D903">
        <v>1723</v>
      </c>
    </row>
    <row r="904" spans="1:4" x14ac:dyDescent="0.35">
      <c r="A904" t="s">
        <v>398</v>
      </c>
      <c r="B904" t="s">
        <v>23</v>
      </c>
      <c r="C904">
        <v>1974</v>
      </c>
      <c r="D904">
        <v>1867</v>
      </c>
    </row>
    <row r="905" spans="1:4" x14ac:dyDescent="0.35">
      <c r="A905" t="s">
        <v>398</v>
      </c>
      <c r="B905" t="s">
        <v>23</v>
      </c>
      <c r="C905">
        <v>1975</v>
      </c>
      <c r="D905">
        <v>1774</v>
      </c>
    </row>
    <row r="906" spans="1:4" x14ac:dyDescent="0.35">
      <c r="A906" t="s">
        <v>398</v>
      </c>
      <c r="B906" t="s">
        <v>23</v>
      </c>
      <c r="C906">
        <v>1976</v>
      </c>
      <c r="D906">
        <v>1726</v>
      </c>
    </row>
    <row r="907" spans="1:4" x14ac:dyDescent="0.35">
      <c r="A907" t="s">
        <v>398</v>
      </c>
      <c r="B907" t="s">
        <v>23</v>
      </c>
      <c r="C907">
        <v>1977</v>
      </c>
      <c r="D907">
        <v>1677</v>
      </c>
    </row>
    <row r="908" spans="1:4" x14ac:dyDescent="0.35">
      <c r="A908" t="s">
        <v>398</v>
      </c>
      <c r="B908" t="s">
        <v>23</v>
      </c>
      <c r="C908">
        <v>1978</v>
      </c>
      <c r="D908">
        <v>1660</v>
      </c>
    </row>
    <row r="909" spans="1:4" x14ac:dyDescent="0.35">
      <c r="A909" t="s">
        <v>398</v>
      </c>
      <c r="B909" t="s">
        <v>23</v>
      </c>
      <c r="C909">
        <v>1979</v>
      </c>
      <c r="D909">
        <v>1512</v>
      </c>
    </row>
    <row r="910" spans="1:4" x14ac:dyDescent="0.35">
      <c r="A910" t="s">
        <v>398</v>
      </c>
      <c r="B910" t="s">
        <v>23</v>
      </c>
      <c r="C910">
        <v>1980</v>
      </c>
      <c r="D910">
        <v>1441</v>
      </c>
    </row>
    <row r="911" spans="1:4" x14ac:dyDescent="0.35">
      <c r="A911" t="s">
        <v>398</v>
      </c>
      <c r="B911" t="s">
        <v>23</v>
      </c>
      <c r="C911">
        <v>1981</v>
      </c>
      <c r="D911">
        <v>1289</v>
      </c>
    </row>
    <row r="912" spans="1:4" x14ac:dyDescent="0.35">
      <c r="A912" t="s">
        <v>398</v>
      </c>
      <c r="B912" t="s">
        <v>23</v>
      </c>
      <c r="C912">
        <v>1982</v>
      </c>
      <c r="D912">
        <v>1308</v>
      </c>
    </row>
    <row r="913" spans="1:4" x14ac:dyDescent="0.35">
      <c r="A913" t="s">
        <v>398</v>
      </c>
      <c r="B913" t="s">
        <v>23</v>
      </c>
      <c r="C913">
        <v>1983</v>
      </c>
      <c r="D913">
        <v>1321</v>
      </c>
    </row>
    <row r="914" spans="1:4" x14ac:dyDescent="0.35">
      <c r="A914" t="s">
        <v>398</v>
      </c>
      <c r="B914" t="s">
        <v>23</v>
      </c>
      <c r="C914">
        <v>1984</v>
      </c>
      <c r="D914">
        <v>1220</v>
      </c>
    </row>
    <row r="915" spans="1:4" x14ac:dyDescent="0.35">
      <c r="A915" t="s">
        <v>398</v>
      </c>
      <c r="B915" t="s">
        <v>23</v>
      </c>
      <c r="C915">
        <v>1985</v>
      </c>
      <c r="D915">
        <v>1280</v>
      </c>
    </row>
    <row r="916" spans="1:4" x14ac:dyDescent="0.35">
      <c r="A916" t="s">
        <v>398</v>
      </c>
      <c r="B916" t="s">
        <v>23</v>
      </c>
      <c r="C916">
        <v>1986</v>
      </c>
      <c r="D916">
        <v>1174</v>
      </c>
    </row>
    <row r="917" spans="1:4" x14ac:dyDescent="0.35">
      <c r="A917" t="s">
        <v>398</v>
      </c>
      <c r="B917" t="s">
        <v>23</v>
      </c>
      <c r="C917">
        <v>1987</v>
      </c>
      <c r="D917">
        <v>1255</v>
      </c>
    </row>
    <row r="918" spans="1:4" x14ac:dyDescent="0.35">
      <c r="A918" t="s">
        <v>398</v>
      </c>
      <c r="B918" t="s">
        <v>23</v>
      </c>
      <c r="C918">
        <v>1988</v>
      </c>
      <c r="D918">
        <v>1187</v>
      </c>
    </row>
    <row r="919" spans="1:4" x14ac:dyDescent="0.35">
      <c r="A919" t="s">
        <v>398</v>
      </c>
      <c r="B919" t="s">
        <v>23</v>
      </c>
      <c r="C919">
        <v>1989</v>
      </c>
      <c r="D919">
        <v>1116</v>
      </c>
    </row>
    <row r="920" spans="1:4" x14ac:dyDescent="0.35">
      <c r="A920" t="s">
        <v>398</v>
      </c>
      <c r="B920" t="s">
        <v>23</v>
      </c>
      <c r="C920">
        <v>1990</v>
      </c>
      <c r="D920">
        <v>1152</v>
      </c>
    </row>
    <row r="921" spans="1:4" x14ac:dyDescent="0.35">
      <c r="A921" t="s">
        <v>398</v>
      </c>
      <c r="B921" t="s">
        <v>23</v>
      </c>
      <c r="C921">
        <v>1991</v>
      </c>
      <c r="D921">
        <v>1157</v>
      </c>
    </row>
    <row r="922" spans="1:4" x14ac:dyDescent="0.35">
      <c r="A922" t="s">
        <v>398</v>
      </c>
      <c r="B922" t="s">
        <v>23</v>
      </c>
      <c r="C922">
        <v>1992</v>
      </c>
      <c r="D922">
        <v>1151</v>
      </c>
    </row>
    <row r="923" spans="1:4" x14ac:dyDescent="0.35">
      <c r="A923" t="s">
        <v>398</v>
      </c>
      <c r="B923" t="s">
        <v>23</v>
      </c>
      <c r="C923">
        <v>1993</v>
      </c>
      <c r="D923">
        <v>1080</v>
      </c>
    </row>
    <row r="924" spans="1:4" x14ac:dyDescent="0.35">
      <c r="A924" t="s">
        <v>398</v>
      </c>
      <c r="B924" t="s">
        <v>23</v>
      </c>
      <c r="C924">
        <v>1994</v>
      </c>
      <c r="D924">
        <v>998</v>
      </c>
    </row>
    <row r="925" spans="1:4" x14ac:dyDescent="0.35">
      <c r="A925" t="s">
        <v>398</v>
      </c>
      <c r="B925" t="s">
        <v>23</v>
      </c>
      <c r="C925">
        <v>1995</v>
      </c>
      <c r="D925">
        <v>1010</v>
      </c>
    </row>
    <row r="926" spans="1:4" x14ac:dyDescent="0.35">
      <c r="A926" t="s">
        <v>398</v>
      </c>
      <c r="B926" t="s">
        <v>23</v>
      </c>
      <c r="C926">
        <v>1996</v>
      </c>
      <c r="D926">
        <v>1034</v>
      </c>
    </row>
    <row r="927" spans="1:4" x14ac:dyDescent="0.35">
      <c r="A927" t="s">
        <v>398</v>
      </c>
      <c r="B927" t="s">
        <v>23</v>
      </c>
      <c r="C927">
        <v>1997</v>
      </c>
      <c r="D927">
        <v>1170</v>
      </c>
    </row>
    <row r="928" spans="1:4" x14ac:dyDescent="0.35">
      <c r="A928" t="s">
        <v>398</v>
      </c>
      <c r="B928" t="s">
        <v>23</v>
      </c>
      <c r="C928">
        <v>1998</v>
      </c>
      <c r="D928">
        <v>1447</v>
      </c>
    </row>
    <row r="929" spans="1:4" x14ac:dyDescent="0.35">
      <c r="A929" t="s">
        <v>398</v>
      </c>
      <c r="B929" t="s">
        <v>23</v>
      </c>
      <c r="C929">
        <v>1999</v>
      </c>
      <c r="D929">
        <v>1427</v>
      </c>
    </row>
    <row r="930" spans="1:4" x14ac:dyDescent="0.35">
      <c r="A930" t="s">
        <v>398</v>
      </c>
      <c r="B930" t="s">
        <v>23</v>
      </c>
      <c r="C930">
        <v>2000</v>
      </c>
      <c r="D930">
        <v>1368</v>
      </c>
    </row>
    <row r="931" spans="1:4" x14ac:dyDescent="0.35">
      <c r="A931" t="s">
        <v>398</v>
      </c>
      <c r="B931" t="s">
        <v>23</v>
      </c>
      <c r="C931">
        <v>2001</v>
      </c>
      <c r="D931">
        <v>1525</v>
      </c>
    </row>
    <row r="932" spans="1:4" x14ac:dyDescent="0.35">
      <c r="A932" t="s">
        <v>398</v>
      </c>
      <c r="B932" t="s">
        <v>23</v>
      </c>
      <c r="C932">
        <v>2002</v>
      </c>
      <c r="D932">
        <v>1502</v>
      </c>
    </row>
    <row r="933" spans="1:4" x14ac:dyDescent="0.35">
      <c r="A933" t="s">
        <v>398</v>
      </c>
      <c r="B933" t="s">
        <v>23</v>
      </c>
      <c r="C933">
        <v>2003</v>
      </c>
      <c r="D933">
        <v>1591</v>
      </c>
    </row>
    <row r="934" spans="1:4" x14ac:dyDescent="0.35">
      <c r="A934" t="s">
        <v>398</v>
      </c>
      <c r="B934" t="s">
        <v>23</v>
      </c>
      <c r="C934">
        <v>2004</v>
      </c>
      <c r="D934">
        <v>1813</v>
      </c>
    </row>
    <row r="935" spans="1:4" x14ac:dyDescent="0.35">
      <c r="A935" t="s">
        <v>398</v>
      </c>
      <c r="B935" t="s">
        <v>23</v>
      </c>
      <c r="C935">
        <v>2005</v>
      </c>
      <c r="D935">
        <v>1926</v>
      </c>
    </row>
    <row r="936" spans="1:4" x14ac:dyDescent="0.35">
      <c r="A936" t="s">
        <v>398</v>
      </c>
      <c r="B936" t="s">
        <v>23</v>
      </c>
      <c r="C936">
        <v>2006</v>
      </c>
      <c r="D936">
        <v>2115</v>
      </c>
    </row>
    <row r="937" spans="1:4" x14ac:dyDescent="0.35">
      <c r="A937" t="s">
        <v>398</v>
      </c>
      <c r="B937" t="s">
        <v>23</v>
      </c>
      <c r="C937">
        <v>2007</v>
      </c>
      <c r="D937">
        <v>2298</v>
      </c>
    </row>
    <row r="938" spans="1:4" x14ac:dyDescent="0.35">
      <c r="A938" t="s">
        <v>398</v>
      </c>
      <c r="B938" t="s">
        <v>23</v>
      </c>
      <c r="C938">
        <v>2008</v>
      </c>
      <c r="D938">
        <v>2381</v>
      </c>
    </row>
    <row r="939" spans="1:4" x14ac:dyDescent="0.35">
      <c r="A939" t="s">
        <v>398</v>
      </c>
      <c r="B939" t="s">
        <v>23</v>
      </c>
      <c r="C939">
        <v>2009</v>
      </c>
      <c r="D939">
        <v>2378</v>
      </c>
    </row>
    <row r="940" spans="1:4" x14ac:dyDescent="0.35">
      <c r="A940" t="s">
        <v>398</v>
      </c>
      <c r="B940" t="s">
        <v>23</v>
      </c>
      <c r="C940">
        <v>2010</v>
      </c>
      <c r="D940">
        <v>2446</v>
      </c>
    </row>
    <row r="941" spans="1:4" x14ac:dyDescent="0.35">
      <c r="A941" t="s">
        <v>398</v>
      </c>
      <c r="B941" t="s">
        <v>23</v>
      </c>
      <c r="C941">
        <v>2011</v>
      </c>
      <c r="D941">
        <v>2049</v>
      </c>
    </row>
    <row r="942" spans="1:4" x14ac:dyDescent="0.35">
      <c r="A942" t="s">
        <v>398</v>
      </c>
      <c r="B942" t="s">
        <v>23</v>
      </c>
      <c r="C942">
        <v>2012</v>
      </c>
      <c r="D942">
        <v>1987</v>
      </c>
    </row>
    <row r="943" spans="1:4" x14ac:dyDescent="0.35">
      <c r="A943" t="s">
        <v>398</v>
      </c>
      <c r="B943" t="s">
        <v>23</v>
      </c>
      <c r="C943">
        <v>2013</v>
      </c>
      <c r="D943">
        <v>1779</v>
      </c>
    </row>
    <row r="944" spans="1:4" x14ac:dyDescent="0.35">
      <c r="A944" t="s">
        <v>398</v>
      </c>
      <c r="B944" t="s">
        <v>23</v>
      </c>
      <c r="C944">
        <v>2014</v>
      </c>
      <c r="D944">
        <v>1683</v>
      </c>
    </row>
    <row r="945" spans="1:6" x14ac:dyDescent="0.35">
      <c r="A945" t="s">
        <v>398</v>
      </c>
      <c r="B945" t="s">
        <v>23</v>
      </c>
      <c r="C945">
        <v>2015</v>
      </c>
      <c r="D945">
        <v>1617</v>
      </c>
    </row>
    <row r="946" spans="1:6" x14ac:dyDescent="0.35">
      <c r="A946" t="s">
        <v>398</v>
      </c>
      <c r="B946" t="s">
        <v>23</v>
      </c>
      <c r="C946">
        <v>2016</v>
      </c>
      <c r="D946">
        <v>1667</v>
      </c>
    </row>
    <row r="947" spans="1:6" x14ac:dyDescent="0.35">
      <c r="A947" t="s">
        <v>398</v>
      </c>
      <c r="B947" t="s">
        <v>23</v>
      </c>
      <c r="C947">
        <v>2017</v>
      </c>
      <c r="D947">
        <v>1584</v>
      </c>
    </row>
    <row r="948" spans="1:6" x14ac:dyDescent="0.35">
      <c r="A948" t="s">
        <v>398</v>
      </c>
      <c r="B948" t="s">
        <v>23</v>
      </c>
      <c r="C948">
        <v>2018</v>
      </c>
      <c r="D948">
        <v>1495</v>
      </c>
    </row>
    <row r="949" spans="1:6" x14ac:dyDescent="0.35">
      <c r="A949" t="s">
        <v>398</v>
      </c>
      <c r="B949" t="s">
        <v>23</v>
      </c>
      <c r="C949">
        <v>2019</v>
      </c>
      <c r="D949">
        <v>1455</v>
      </c>
    </row>
    <row r="950" spans="1:6" x14ac:dyDescent="0.35">
      <c r="A950" t="s">
        <v>398</v>
      </c>
      <c r="B950" t="s">
        <v>23</v>
      </c>
      <c r="C950">
        <v>2020</v>
      </c>
      <c r="D950">
        <v>1460</v>
      </c>
    </row>
    <row r="951" spans="1:6" x14ac:dyDescent="0.35">
      <c r="A951" t="s">
        <v>176</v>
      </c>
      <c r="B951" t="s">
        <v>177</v>
      </c>
      <c r="C951">
        <v>1850</v>
      </c>
      <c r="D951">
        <v>625</v>
      </c>
      <c r="F951">
        <v>45598</v>
      </c>
    </row>
    <row r="952" spans="1:6" x14ac:dyDescent="0.35">
      <c r="A952" t="s">
        <v>176</v>
      </c>
      <c r="B952" t="s">
        <v>177</v>
      </c>
      <c r="C952">
        <v>1851</v>
      </c>
      <c r="D952">
        <v>585</v>
      </c>
      <c r="F952">
        <v>44161</v>
      </c>
    </row>
    <row r="953" spans="1:6" x14ac:dyDescent="0.35">
      <c r="A953" t="s">
        <v>176</v>
      </c>
      <c r="B953" t="s">
        <v>177</v>
      </c>
      <c r="C953">
        <v>1852</v>
      </c>
      <c r="D953">
        <v>754</v>
      </c>
      <c r="F953">
        <v>49108</v>
      </c>
    </row>
    <row r="954" spans="1:6" x14ac:dyDescent="0.35">
      <c r="A954" t="s">
        <v>176</v>
      </c>
      <c r="B954" t="s">
        <v>177</v>
      </c>
      <c r="C954">
        <v>1853</v>
      </c>
      <c r="D954">
        <v>682</v>
      </c>
      <c r="F954">
        <v>47442</v>
      </c>
    </row>
    <row r="955" spans="1:6" x14ac:dyDescent="0.35">
      <c r="A955" t="s">
        <v>176</v>
      </c>
      <c r="B955" t="s">
        <v>177</v>
      </c>
      <c r="C955">
        <v>1854</v>
      </c>
      <c r="D955">
        <v>724</v>
      </c>
      <c r="F955">
        <v>49541</v>
      </c>
    </row>
    <row r="956" spans="1:6" x14ac:dyDescent="0.35">
      <c r="A956" t="s">
        <v>176</v>
      </c>
      <c r="B956" t="s">
        <v>177</v>
      </c>
      <c r="C956">
        <v>1855</v>
      </c>
      <c r="D956">
        <v>736</v>
      </c>
      <c r="F956">
        <v>48981</v>
      </c>
    </row>
    <row r="957" spans="1:6" x14ac:dyDescent="0.35">
      <c r="A957" t="s">
        <v>176</v>
      </c>
      <c r="B957" t="s">
        <v>177</v>
      </c>
      <c r="C957">
        <v>1856</v>
      </c>
      <c r="D957">
        <v>785</v>
      </c>
      <c r="F957">
        <v>50255</v>
      </c>
    </row>
    <row r="958" spans="1:6" x14ac:dyDescent="0.35">
      <c r="A958" t="s">
        <v>176</v>
      </c>
      <c r="B958" t="s">
        <v>177</v>
      </c>
      <c r="C958">
        <v>1857</v>
      </c>
      <c r="D958">
        <v>766</v>
      </c>
      <c r="F958">
        <v>51818</v>
      </c>
    </row>
    <row r="959" spans="1:6" x14ac:dyDescent="0.35">
      <c r="A959" t="s">
        <v>176</v>
      </c>
      <c r="B959" t="s">
        <v>177</v>
      </c>
      <c r="C959">
        <v>1858</v>
      </c>
      <c r="D959">
        <v>784</v>
      </c>
      <c r="F959">
        <v>52835</v>
      </c>
    </row>
    <row r="960" spans="1:6" x14ac:dyDescent="0.35">
      <c r="A960" t="s">
        <v>176</v>
      </c>
      <c r="B960" t="s">
        <v>177</v>
      </c>
      <c r="C960">
        <v>1859</v>
      </c>
      <c r="D960">
        <v>779</v>
      </c>
      <c r="F960">
        <v>54189</v>
      </c>
    </row>
    <row r="961" spans="1:6" x14ac:dyDescent="0.35">
      <c r="A961" t="s">
        <v>176</v>
      </c>
      <c r="B961" t="s">
        <v>177</v>
      </c>
      <c r="C961">
        <v>1860</v>
      </c>
      <c r="D961">
        <v>754</v>
      </c>
      <c r="F961">
        <v>53265</v>
      </c>
    </row>
    <row r="962" spans="1:6" x14ac:dyDescent="0.35">
      <c r="A962" t="s">
        <v>176</v>
      </c>
      <c r="B962" t="s">
        <v>177</v>
      </c>
      <c r="C962">
        <v>1861</v>
      </c>
      <c r="D962">
        <v>742</v>
      </c>
      <c r="F962">
        <v>52233</v>
      </c>
    </row>
    <row r="963" spans="1:6" x14ac:dyDescent="0.35">
      <c r="A963" t="s">
        <v>176</v>
      </c>
      <c r="B963" t="s">
        <v>177</v>
      </c>
      <c r="C963">
        <v>1862</v>
      </c>
      <c r="D963">
        <v>724</v>
      </c>
      <c r="F963">
        <v>51539</v>
      </c>
    </row>
    <row r="964" spans="1:6" x14ac:dyDescent="0.35">
      <c r="A964" t="s">
        <v>176</v>
      </c>
      <c r="B964" t="s">
        <v>177</v>
      </c>
      <c r="C964">
        <v>1863</v>
      </c>
      <c r="D964">
        <v>827</v>
      </c>
      <c r="F964">
        <v>52249</v>
      </c>
    </row>
    <row r="965" spans="1:6" x14ac:dyDescent="0.35">
      <c r="A965" t="s">
        <v>176</v>
      </c>
      <c r="B965" t="s">
        <v>177</v>
      </c>
      <c r="C965">
        <v>1864</v>
      </c>
      <c r="D965">
        <v>754</v>
      </c>
      <c r="F965">
        <v>51349</v>
      </c>
    </row>
    <row r="966" spans="1:6" x14ac:dyDescent="0.35">
      <c r="A966" t="s">
        <v>176</v>
      </c>
      <c r="B966" t="s">
        <v>177</v>
      </c>
      <c r="C966">
        <v>1865</v>
      </c>
      <c r="D966">
        <v>840</v>
      </c>
      <c r="F966">
        <v>53736</v>
      </c>
    </row>
    <row r="967" spans="1:6" x14ac:dyDescent="0.35">
      <c r="A967" t="s">
        <v>176</v>
      </c>
      <c r="B967" t="s">
        <v>177</v>
      </c>
      <c r="C967">
        <v>1866</v>
      </c>
      <c r="D967">
        <v>793</v>
      </c>
      <c r="F967">
        <v>55727</v>
      </c>
    </row>
    <row r="968" spans="1:6" x14ac:dyDescent="0.35">
      <c r="A968" t="s">
        <v>176</v>
      </c>
      <c r="B968" t="s">
        <v>177</v>
      </c>
      <c r="C968">
        <v>1867</v>
      </c>
      <c r="D968">
        <v>748</v>
      </c>
      <c r="F968">
        <v>53246</v>
      </c>
    </row>
    <row r="969" spans="1:6" x14ac:dyDescent="0.35">
      <c r="A969" t="s">
        <v>176</v>
      </c>
      <c r="B969" t="s">
        <v>177</v>
      </c>
      <c r="C969">
        <v>1868</v>
      </c>
      <c r="D969">
        <v>743</v>
      </c>
      <c r="F969">
        <v>55036</v>
      </c>
    </row>
    <row r="970" spans="1:6" x14ac:dyDescent="0.35">
      <c r="A970" t="s">
        <v>176</v>
      </c>
      <c r="B970" t="s">
        <v>177</v>
      </c>
      <c r="C970">
        <v>1869</v>
      </c>
      <c r="D970">
        <v>723</v>
      </c>
      <c r="F970">
        <v>52595</v>
      </c>
    </row>
    <row r="971" spans="1:6" x14ac:dyDescent="0.35">
      <c r="A971" t="s">
        <v>176</v>
      </c>
      <c r="B971" t="s">
        <v>177</v>
      </c>
      <c r="C971">
        <v>1870</v>
      </c>
      <c r="D971">
        <v>770</v>
      </c>
      <c r="F971">
        <v>54914</v>
      </c>
    </row>
    <row r="972" spans="1:6" x14ac:dyDescent="0.35">
      <c r="A972" t="s">
        <v>176</v>
      </c>
      <c r="B972" t="s">
        <v>177</v>
      </c>
      <c r="C972">
        <v>1871</v>
      </c>
      <c r="D972">
        <v>736</v>
      </c>
      <c r="F972">
        <v>54908</v>
      </c>
    </row>
    <row r="973" spans="1:6" x14ac:dyDescent="0.35">
      <c r="A973" t="s">
        <v>176</v>
      </c>
      <c r="B973" t="s">
        <v>177</v>
      </c>
      <c r="C973">
        <v>1872</v>
      </c>
      <c r="D973">
        <v>772</v>
      </c>
      <c r="F973">
        <v>55724</v>
      </c>
    </row>
    <row r="974" spans="1:6" x14ac:dyDescent="0.35">
      <c r="A974" t="s">
        <v>176</v>
      </c>
      <c r="B974" t="s">
        <v>177</v>
      </c>
      <c r="C974">
        <v>1873</v>
      </c>
      <c r="D974">
        <v>829</v>
      </c>
      <c r="F974">
        <v>56925</v>
      </c>
    </row>
    <row r="975" spans="1:6" x14ac:dyDescent="0.35">
      <c r="A975" t="s">
        <v>176</v>
      </c>
      <c r="B975" t="s">
        <v>177</v>
      </c>
      <c r="C975">
        <v>1874</v>
      </c>
      <c r="D975">
        <v>761</v>
      </c>
      <c r="F975">
        <v>57757</v>
      </c>
    </row>
    <row r="976" spans="1:6" x14ac:dyDescent="0.35">
      <c r="A976" t="s">
        <v>176</v>
      </c>
      <c r="B976" t="s">
        <v>177</v>
      </c>
      <c r="C976">
        <v>1875</v>
      </c>
      <c r="D976">
        <v>804</v>
      </c>
      <c r="F976">
        <v>60144</v>
      </c>
    </row>
    <row r="977" spans="1:6" x14ac:dyDescent="0.35">
      <c r="A977" t="s">
        <v>176</v>
      </c>
      <c r="B977" t="s">
        <v>177</v>
      </c>
      <c r="C977">
        <v>1876</v>
      </c>
      <c r="D977">
        <v>814</v>
      </c>
      <c r="F977">
        <v>62318</v>
      </c>
    </row>
    <row r="978" spans="1:6" x14ac:dyDescent="0.35">
      <c r="A978" t="s">
        <v>176</v>
      </c>
      <c r="B978" t="s">
        <v>177</v>
      </c>
      <c r="C978">
        <v>1877</v>
      </c>
      <c r="D978">
        <v>787</v>
      </c>
      <c r="F978">
        <v>62161</v>
      </c>
    </row>
    <row r="979" spans="1:6" x14ac:dyDescent="0.35">
      <c r="A979" t="s">
        <v>176</v>
      </c>
      <c r="B979" t="s">
        <v>177</v>
      </c>
      <c r="C979">
        <v>1878</v>
      </c>
      <c r="D979">
        <v>783</v>
      </c>
      <c r="F979">
        <v>61536</v>
      </c>
    </row>
    <row r="980" spans="1:6" x14ac:dyDescent="0.35">
      <c r="A980" t="s">
        <v>176</v>
      </c>
      <c r="B980" t="s">
        <v>177</v>
      </c>
      <c r="C980">
        <v>1879</v>
      </c>
      <c r="D980">
        <v>837</v>
      </c>
      <c r="F980">
        <v>62659</v>
      </c>
    </row>
    <row r="981" spans="1:6" x14ac:dyDescent="0.35">
      <c r="A981" t="s">
        <v>176</v>
      </c>
      <c r="B981" t="s">
        <v>177</v>
      </c>
      <c r="C981">
        <v>1880</v>
      </c>
      <c r="D981">
        <v>876</v>
      </c>
      <c r="F981">
        <v>62748</v>
      </c>
    </row>
    <row r="982" spans="1:6" x14ac:dyDescent="0.35">
      <c r="A982" t="s">
        <v>176</v>
      </c>
      <c r="B982" t="s">
        <v>177</v>
      </c>
      <c r="C982">
        <v>1881</v>
      </c>
      <c r="D982">
        <v>831</v>
      </c>
      <c r="F982">
        <v>64436</v>
      </c>
    </row>
    <row r="983" spans="1:6" x14ac:dyDescent="0.35">
      <c r="A983" t="s">
        <v>176</v>
      </c>
      <c r="B983" t="s">
        <v>177</v>
      </c>
      <c r="C983">
        <v>1882</v>
      </c>
      <c r="D983">
        <v>834</v>
      </c>
      <c r="F983">
        <v>65292</v>
      </c>
    </row>
    <row r="984" spans="1:6" x14ac:dyDescent="0.35">
      <c r="A984" t="s">
        <v>176</v>
      </c>
      <c r="B984" t="s">
        <v>177</v>
      </c>
      <c r="C984">
        <v>1883</v>
      </c>
      <c r="D984">
        <v>937</v>
      </c>
      <c r="F984">
        <v>64495</v>
      </c>
    </row>
    <row r="985" spans="1:6" x14ac:dyDescent="0.35">
      <c r="A985" t="s">
        <v>176</v>
      </c>
      <c r="B985" t="s">
        <v>177</v>
      </c>
      <c r="C985">
        <v>1884</v>
      </c>
      <c r="D985">
        <v>948</v>
      </c>
      <c r="F985">
        <v>68349</v>
      </c>
    </row>
    <row r="986" spans="1:6" x14ac:dyDescent="0.35">
      <c r="A986" t="s">
        <v>176</v>
      </c>
      <c r="B986" t="s">
        <v>177</v>
      </c>
      <c r="C986">
        <v>1885</v>
      </c>
      <c r="D986">
        <v>880</v>
      </c>
      <c r="F986">
        <v>67715</v>
      </c>
    </row>
    <row r="987" spans="1:6" x14ac:dyDescent="0.35">
      <c r="A987" t="s">
        <v>176</v>
      </c>
      <c r="B987" t="s">
        <v>177</v>
      </c>
      <c r="C987">
        <v>1886</v>
      </c>
      <c r="D987">
        <v>951</v>
      </c>
      <c r="F987">
        <v>68107</v>
      </c>
    </row>
    <row r="988" spans="1:6" x14ac:dyDescent="0.35">
      <c r="A988" t="s">
        <v>176</v>
      </c>
      <c r="B988" t="s">
        <v>177</v>
      </c>
      <c r="C988">
        <v>1887</v>
      </c>
      <c r="D988">
        <v>864</v>
      </c>
      <c r="F988">
        <v>67659</v>
      </c>
    </row>
    <row r="989" spans="1:6" x14ac:dyDescent="0.35">
      <c r="A989" t="s">
        <v>176</v>
      </c>
      <c r="B989" t="s">
        <v>177</v>
      </c>
      <c r="C989">
        <v>1888</v>
      </c>
      <c r="D989">
        <v>955</v>
      </c>
      <c r="F989">
        <v>67277</v>
      </c>
    </row>
    <row r="990" spans="1:6" x14ac:dyDescent="0.35">
      <c r="A990" t="s">
        <v>176</v>
      </c>
      <c r="B990" t="s">
        <v>177</v>
      </c>
      <c r="C990">
        <v>1889</v>
      </c>
      <c r="D990">
        <v>906</v>
      </c>
      <c r="F990">
        <v>67394</v>
      </c>
    </row>
    <row r="991" spans="1:6" x14ac:dyDescent="0.35">
      <c r="A991" t="s">
        <v>176</v>
      </c>
      <c r="B991" t="s">
        <v>177</v>
      </c>
      <c r="C991">
        <v>1890</v>
      </c>
      <c r="D991">
        <v>932</v>
      </c>
      <c r="F991">
        <v>66214</v>
      </c>
    </row>
    <row r="992" spans="1:6" x14ac:dyDescent="0.35">
      <c r="A992" t="s">
        <v>176</v>
      </c>
      <c r="B992" t="s">
        <v>177</v>
      </c>
      <c r="C992">
        <v>1891</v>
      </c>
      <c r="D992">
        <v>969</v>
      </c>
      <c r="F992">
        <v>67690</v>
      </c>
    </row>
    <row r="993" spans="1:6" x14ac:dyDescent="0.35">
      <c r="A993" t="s">
        <v>176</v>
      </c>
      <c r="B993" t="s">
        <v>177</v>
      </c>
      <c r="C993">
        <v>1892</v>
      </c>
      <c r="D993">
        <v>934</v>
      </c>
      <c r="F993">
        <v>65243</v>
      </c>
    </row>
    <row r="994" spans="1:6" x14ac:dyDescent="0.35">
      <c r="A994" t="s">
        <v>176</v>
      </c>
      <c r="B994" t="s">
        <v>177</v>
      </c>
      <c r="C994">
        <v>1893</v>
      </c>
      <c r="D994">
        <v>980</v>
      </c>
      <c r="F994">
        <v>68278</v>
      </c>
    </row>
    <row r="995" spans="1:6" x14ac:dyDescent="0.35">
      <c r="A995" t="s">
        <v>176</v>
      </c>
      <c r="B995" t="s">
        <v>177</v>
      </c>
      <c r="C995">
        <v>1894</v>
      </c>
      <c r="D995">
        <v>948</v>
      </c>
      <c r="F995">
        <v>68047</v>
      </c>
    </row>
    <row r="996" spans="1:6" x14ac:dyDescent="0.35">
      <c r="A996" t="s">
        <v>176</v>
      </c>
      <c r="B996" t="s">
        <v>177</v>
      </c>
      <c r="C996">
        <v>1895</v>
      </c>
      <c r="D996">
        <v>976</v>
      </c>
      <c r="F996">
        <v>68614</v>
      </c>
    </row>
    <row r="997" spans="1:6" x14ac:dyDescent="0.35">
      <c r="A997" t="s">
        <v>176</v>
      </c>
      <c r="B997" t="s">
        <v>177</v>
      </c>
      <c r="C997">
        <v>1896</v>
      </c>
      <c r="D997">
        <v>940</v>
      </c>
      <c r="F997">
        <v>70082</v>
      </c>
    </row>
    <row r="998" spans="1:6" x14ac:dyDescent="0.35">
      <c r="A998" t="s">
        <v>176</v>
      </c>
      <c r="B998" t="s">
        <v>177</v>
      </c>
      <c r="C998">
        <v>1897</v>
      </c>
      <c r="D998">
        <v>946</v>
      </c>
      <c r="F998">
        <v>69466</v>
      </c>
    </row>
    <row r="999" spans="1:6" x14ac:dyDescent="0.35">
      <c r="A999" t="s">
        <v>176</v>
      </c>
      <c r="B999" t="s">
        <v>177</v>
      </c>
      <c r="C999">
        <v>1898</v>
      </c>
      <c r="D999">
        <v>975</v>
      </c>
      <c r="F999">
        <v>71511</v>
      </c>
    </row>
    <row r="1000" spans="1:6" x14ac:dyDescent="0.35">
      <c r="A1000" t="s">
        <v>176</v>
      </c>
      <c r="B1000" t="s">
        <v>177</v>
      </c>
      <c r="C1000">
        <v>1899</v>
      </c>
      <c r="D1000">
        <v>920</v>
      </c>
      <c r="F1000">
        <v>71253</v>
      </c>
    </row>
    <row r="1001" spans="1:6" x14ac:dyDescent="0.35">
      <c r="A1001" t="s">
        <v>176</v>
      </c>
      <c r="B1001" t="s">
        <v>177</v>
      </c>
      <c r="C1001">
        <v>1900</v>
      </c>
      <c r="D1001">
        <v>1003</v>
      </c>
      <c r="F1001">
        <v>71841</v>
      </c>
    </row>
    <row r="1002" spans="1:6" x14ac:dyDescent="0.35">
      <c r="A1002" t="s">
        <v>176</v>
      </c>
      <c r="B1002" t="s">
        <v>177</v>
      </c>
      <c r="C1002">
        <v>1901</v>
      </c>
      <c r="D1002">
        <v>1006</v>
      </c>
      <c r="F1002">
        <v>72990</v>
      </c>
    </row>
    <row r="1003" spans="1:6" x14ac:dyDescent="0.35">
      <c r="A1003" t="s">
        <v>176</v>
      </c>
      <c r="B1003" t="s">
        <v>177</v>
      </c>
      <c r="C1003">
        <v>1902</v>
      </c>
      <c r="D1003">
        <v>933</v>
      </c>
      <c r="F1003">
        <v>72710</v>
      </c>
    </row>
    <row r="1004" spans="1:6" x14ac:dyDescent="0.35">
      <c r="A1004" t="s">
        <v>176</v>
      </c>
      <c r="B1004" t="s">
        <v>177</v>
      </c>
      <c r="C1004">
        <v>1903</v>
      </c>
      <c r="D1004">
        <v>991</v>
      </c>
      <c r="F1004">
        <v>72070</v>
      </c>
    </row>
    <row r="1005" spans="1:6" x14ac:dyDescent="0.35">
      <c r="A1005" t="s">
        <v>176</v>
      </c>
      <c r="B1005" t="s">
        <v>177</v>
      </c>
      <c r="C1005">
        <v>1904</v>
      </c>
      <c r="D1005">
        <v>1042</v>
      </c>
      <c r="F1005">
        <v>73350</v>
      </c>
    </row>
    <row r="1006" spans="1:6" x14ac:dyDescent="0.35">
      <c r="A1006" t="s">
        <v>176</v>
      </c>
      <c r="B1006" t="s">
        <v>177</v>
      </c>
      <c r="C1006">
        <v>1905</v>
      </c>
      <c r="D1006">
        <v>1030</v>
      </c>
      <c r="F1006">
        <v>72767</v>
      </c>
    </row>
    <row r="1007" spans="1:6" x14ac:dyDescent="0.35">
      <c r="A1007" t="s">
        <v>176</v>
      </c>
      <c r="B1007" t="s">
        <v>177</v>
      </c>
      <c r="C1007">
        <v>1906</v>
      </c>
      <c r="D1007">
        <v>1073</v>
      </c>
      <c r="F1007">
        <v>73747</v>
      </c>
    </row>
    <row r="1008" spans="1:6" x14ac:dyDescent="0.35">
      <c r="A1008" t="s">
        <v>176</v>
      </c>
      <c r="B1008" t="s">
        <v>177</v>
      </c>
      <c r="C1008">
        <v>1907</v>
      </c>
      <c r="D1008">
        <v>1101</v>
      </c>
      <c r="F1008">
        <v>73921</v>
      </c>
    </row>
    <row r="1009" spans="1:6" x14ac:dyDescent="0.35">
      <c r="A1009" t="s">
        <v>176</v>
      </c>
      <c r="B1009" t="s">
        <v>177</v>
      </c>
      <c r="C1009">
        <v>1908</v>
      </c>
      <c r="D1009">
        <v>1060</v>
      </c>
      <c r="F1009">
        <v>75931</v>
      </c>
    </row>
    <row r="1010" spans="1:6" x14ac:dyDescent="0.35">
      <c r="A1010" t="s">
        <v>176</v>
      </c>
      <c r="B1010" t="s">
        <v>177</v>
      </c>
      <c r="C1010">
        <v>1909</v>
      </c>
      <c r="D1010">
        <v>1152</v>
      </c>
      <c r="F1010">
        <v>75776</v>
      </c>
    </row>
    <row r="1011" spans="1:6" x14ac:dyDescent="0.35">
      <c r="A1011" t="s">
        <v>176</v>
      </c>
      <c r="B1011" t="s">
        <v>177</v>
      </c>
      <c r="C1011">
        <v>1910</v>
      </c>
      <c r="D1011">
        <v>1128</v>
      </c>
      <c r="F1011">
        <v>74810</v>
      </c>
    </row>
    <row r="1012" spans="1:6" x14ac:dyDescent="0.35">
      <c r="A1012" t="s">
        <v>176</v>
      </c>
      <c r="B1012" t="s">
        <v>177</v>
      </c>
      <c r="C1012">
        <v>1911</v>
      </c>
      <c r="D1012">
        <v>1131</v>
      </c>
      <c r="F1012">
        <v>73371</v>
      </c>
    </row>
    <row r="1013" spans="1:6" x14ac:dyDescent="0.35">
      <c r="A1013" t="s">
        <v>176</v>
      </c>
      <c r="B1013" t="s">
        <v>177</v>
      </c>
      <c r="C1013">
        <v>1912</v>
      </c>
      <c r="D1013">
        <v>1161</v>
      </c>
      <c r="F1013">
        <v>74073</v>
      </c>
    </row>
    <row r="1014" spans="1:6" x14ac:dyDescent="0.35">
      <c r="A1014" t="s">
        <v>176</v>
      </c>
      <c r="B1014" t="s">
        <v>177</v>
      </c>
      <c r="C1014">
        <v>1913</v>
      </c>
      <c r="D1014">
        <v>1177</v>
      </c>
      <c r="F1014">
        <v>71826</v>
      </c>
    </row>
    <row r="1015" spans="1:6" x14ac:dyDescent="0.35">
      <c r="A1015" t="s">
        <v>176</v>
      </c>
      <c r="B1015" t="s">
        <v>177</v>
      </c>
      <c r="C1015">
        <v>1914</v>
      </c>
      <c r="D1015">
        <v>1133</v>
      </c>
      <c r="F1015">
        <v>72736</v>
      </c>
    </row>
    <row r="1016" spans="1:6" x14ac:dyDescent="0.35">
      <c r="A1016" t="s">
        <v>176</v>
      </c>
      <c r="B1016" t="s">
        <v>177</v>
      </c>
      <c r="C1016">
        <v>1915</v>
      </c>
      <c r="D1016">
        <v>1094</v>
      </c>
      <c r="F1016">
        <v>69731</v>
      </c>
    </row>
    <row r="1017" spans="1:6" x14ac:dyDescent="0.35">
      <c r="A1017" t="s">
        <v>176</v>
      </c>
      <c r="B1017" t="s">
        <v>177</v>
      </c>
      <c r="C1017">
        <v>1916</v>
      </c>
      <c r="D1017">
        <v>1099</v>
      </c>
      <c r="F1017">
        <v>71131</v>
      </c>
    </row>
    <row r="1018" spans="1:6" x14ac:dyDescent="0.35">
      <c r="A1018" t="s">
        <v>176</v>
      </c>
      <c r="B1018" t="s">
        <v>177</v>
      </c>
      <c r="C1018">
        <v>1917</v>
      </c>
      <c r="D1018">
        <v>1109</v>
      </c>
      <c r="F1018">
        <v>69849</v>
      </c>
    </row>
    <row r="1019" spans="1:6" x14ac:dyDescent="0.35">
      <c r="A1019" t="s">
        <v>176</v>
      </c>
      <c r="B1019" t="s">
        <v>177</v>
      </c>
      <c r="C1019">
        <v>1918</v>
      </c>
      <c r="D1019">
        <v>1131</v>
      </c>
      <c r="F1019">
        <v>72093</v>
      </c>
    </row>
    <row r="1020" spans="1:6" x14ac:dyDescent="0.35">
      <c r="A1020" t="s">
        <v>176</v>
      </c>
      <c r="B1020" t="s">
        <v>177</v>
      </c>
      <c r="C1020">
        <v>1919</v>
      </c>
      <c r="D1020">
        <v>1045</v>
      </c>
      <c r="F1020">
        <v>68303</v>
      </c>
    </row>
    <row r="1021" spans="1:6" x14ac:dyDescent="0.35">
      <c r="A1021" t="s">
        <v>176</v>
      </c>
      <c r="B1021" t="s">
        <v>177</v>
      </c>
      <c r="C1021">
        <v>1920</v>
      </c>
      <c r="D1021">
        <v>1261</v>
      </c>
      <c r="F1021">
        <v>77666</v>
      </c>
    </row>
    <row r="1022" spans="1:6" x14ac:dyDescent="0.35">
      <c r="A1022" t="s">
        <v>176</v>
      </c>
      <c r="B1022" t="s">
        <v>177</v>
      </c>
      <c r="C1022">
        <v>1921</v>
      </c>
      <c r="D1022">
        <v>1309</v>
      </c>
      <c r="F1022">
        <v>78154</v>
      </c>
    </row>
    <row r="1023" spans="1:6" x14ac:dyDescent="0.35">
      <c r="A1023" t="s">
        <v>176</v>
      </c>
      <c r="B1023" t="s">
        <v>177</v>
      </c>
      <c r="C1023">
        <v>1922</v>
      </c>
      <c r="D1023">
        <v>1135</v>
      </c>
      <c r="F1023">
        <v>73392</v>
      </c>
    </row>
    <row r="1024" spans="1:6" x14ac:dyDescent="0.35">
      <c r="A1024" t="s">
        <v>176</v>
      </c>
      <c r="B1024" t="s">
        <v>177</v>
      </c>
      <c r="C1024">
        <v>1923</v>
      </c>
      <c r="D1024">
        <v>1196</v>
      </c>
      <c r="F1024">
        <v>74229</v>
      </c>
    </row>
    <row r="1025" spans="1:6" x14ac:dyDescent="0.35">
      <c r="A1025" t="s">
        <v>176</v>
      </c>
      <c r="B1025" t="s">
        <v>177</v>
      </c>
      <c r="C1025">
        <v>1924</v>
      </c>
      <c r="D1025">
        <v>1176</v>
      </c>
      <c r="F1025">
        <v>73239</v>
      </c>
    </row>
    <row r="1026" spans="1:6" x14ac:dyDescent="0.35">
      <c r="A1026" t="s">
        <v>176</v>
      </c>
      <c r="B1026" t="s">
        <v>177</v>
      </c>
      <c r="C1026">
        <v>1925</v>
      </c>
      <c r="D1026">
        <v>1051</v>
      </c>
      <c r="F1026">
        <v>71502</v>
      </c>
    </row>
    <row r="1027" spans="1:6" x14ac:dyDescent="0.35">
      <c r="A1027" t="s">
        <v>176</v>
      </c>
      <c r="B1027" t="s">
        <v>177</v>
      </c>
      <c r="C1027">
        <v>1926</v>
      </c>
      <c r="D1027">
        <v>1146</v>
      </c>
      <c r="F1027">
        <v>70043</v>
      </c>
    </row>
    <row r="1028" spans="1:6" x14ac:dyDescent="0.35">
      <c r="A1028" t="s">
        <v>176</v>
      </c>
      <c r="B1028" t="s">
        <v>177</v>
      </c>
      <c r="C1028">
        <v>1927</v>
      </c>
      <c r="D1028">
        <v>1099</v>
      </c>
      <c r="F1028">
        <v>67394</v>
      </c>
    </row>
    <row r="1029" spans="1:6" x14ac:dyDescent="0.35">
      <c r="A1029" t="s">
        <v>176</v>
      </c>
      <c r="B1029" t="s">
        <v>177</v>
      </c>
      <c r="C1029">
        <v>1928</v>
      </c>
      <c r="D1029">
        <v>1071</v>
      </c>
      <c r="F1029">
        <v>67980</v>
      </c>
    </row>
    <row r="1030" spans="1:6" x14ac:dyDescent="0.35">
      <c r="A1030" t="s">
        <v>176</v>
      </c>
      <c r="B1030" t="s">
        <v>177</v>
      </c>
      <c r="C1030">
        <v>1929</v>
      </c>
      <c r="D1030">
        <v>1093</v>
      </c>
      <c r="F1030">
        <v>64703</v>
      </c>
    </row>
    <row r="1031" spans="1:6" x14ac:dyDescent="0.35">
      <c r="A1031" t="s">
        <v>176</v>
      </c>
      <c r="B1031" t="s">
        <v>177</v>
      </c>
      <c r="C1031">
        <v>1930</v>
      </c>
      <c r="D1031">
        <v>1083</v>
      </c>
      <c r="F1031">
        <v>65701</v>
      </c>
    </row>
    <row r="1032" spans="1:6" x14ac:dyDescent="0.35">
      <c r="A1032" t="s">
        <v>176</v>
      </c>
      <c r="B1032" t="s">
        <v>177</v>
      </c>
      <c r="C1032">
        <v>1931</v>
      </c>
      <c r="D1032">
        <v>975</v>
      </c>
      <c r="F1032">
        <v>63854</v>
      </c>
    </row>
    <row r="1033" spans="1:6" x14ac:dyDescent="0.35">
      <c r="A1033" t="s">
        <v>176</v>
      </c>
      <c r="B1033" t="s">
        <v>177</v>
      </c>
      <c r="C1033">
        <v>1932</v>
      </c>
      <c r="D1033">
        <v>1022</v>
      </c>
      <c r="F1033">
        <v>64095</v>
      </c>
    </row>
    <row r="1034" spans="1:6" x14ac:dyDescent="0.35">
      <c r="A1034" t="s">
        <v>176</v>
      </c>
      <c r="B1034" t="s">
        <v>177</v>
      </c>
      <c r="C1034">
        <v>1933</v>
      </c>
      <c r="D1034">
        <v>951</v>
      </c>
      <c r="F1034">
        <v>62523</v>
      </c>
    </row>
    <row r="1035" spans="1:6" x14ac:dyDescent="0.35">
      <c r="A1035" t="s">
        <v>176</v>
      </c>
      <c r="B1035" t="s">
        <v>177</v>
      </c>
      <c r="C1035">
        <v>1934</v>
      </c>
      <c r="D1035">
        <v>1027</v>
      </c>
      <c r="F1035">
        <v>64734</v>
      </c>
    </row>
    <row r="1036" spans="1:6" x14ac:dyDescent="0.35">
      <c r="A1036" t="s">
        <v>176</v>
      </c>
      <c r="B1036" t="s">
        <v>177</v>
      </c>
      <c r="C1036">
        <v>1935</v>
      </c>
      <c r="D1036">
        <v>1058</v>
      </c>
      <c r="F1036">
        <v>64746</v>
      </c>
    </row>
    <row r="1037" spans="1:6" x14ac:dyDescent="0.35">
      <c r="A1037" t="s">
        <v>176</v>
      </c>
      <c r="B1037" t="s">
        <v>177</v>
      </c>
      <c r="C1037">
        <v>1936</v>
      </c>
      <c r="D1037">
        <v>976</v>
      </c>
      <c r="F1037">
        <v>66180</v>
      </c>
    </row>
    <row r="1038" spans="1:6" x14ac:dyDescent="0.35">
      <c r="A1038" t="s">
        <v>176</v>
      </c>
      <c r="B1038" t="s">
        <v>177</v>
      </c>
      <c r="C1038">
        <v>1937</v>
      </c>
      <c r="D1038">
        <v>1045</v>
      </c>
      <c r="F1038">
        <v>67070</v>
      </c>
    </row>
    <row r="1039" spans="1:6" x14ac:dyDescent="0.35">
      <c r="A1039" t="s">
        <v>176</v>
      </c>
      <c r="B1039" t="s">
        <v>177</v>
      </c>
      <c r="C1039">
        <v>1938</v>
      </c>
      <c r="D1039">
        <v>981</v>
      </c>
      <c r="F1039">
        <v>68225</v>
      </c>
    </row>
    <row r="1040" spans="1:6" x14ac:dyDescent="0.35">
      <c r="A1040" t="s">
        <v>176</v>
      </c>
      <c r="B1040" t="s">
        <v>177</v>
      </c>
      <c r="C1040">
        <v>1939</v>
      </c>
      <c r="D1040">
        <v>1002</v>
      </c>
      <c r="F1040">
        <v>67704</v>
      </c>
    </row>
    <row r="1041" spans="1:6" x14ac:dyDescent="0.35">
      <c r="A1041" t="s">
        <v>176</v>
      </c>
      <c r="B1041" t="s">
        <v>177</v>
      </c>
      <c r="C1041">
        <v>1940</v>
      </c>
      <c r="D1041">
        <v>1090</v>
      </c>
      <c r="F1041">
        <v>69725</v>
      </c>
    </row>
    <row r="1042" spans="1:6" x14ac:dyDescent="0.35">
      <c r="A1042" t="s">
        <v>176</v>
      </c>
      <c r="B1042" t="s">
        <v>177</v>
      </c>
      <c r="C1042">
        <v>1941</v>
      </c>
      <c r="D1042">
        <v>1025</v>
      </c>
      <c r="F1042">
        <v>70903</v>
      </c>
    </row>
    <row r="1043" spans="1:6" x14ac:dyDescent="0.35">
      <c r="A1043" t="s">
        <v>176</v>
      </c>
      <c r="B1043" t="s">
        <v>177</v>
      </c>
      <c r="C1043">
        <v>1942</v>
      </c>
      <c r="D1043">
        <v>1147</v>
      </c>
      <c r="F1043">
        <v>78913</v>
      </c>
    </row>
    <row r="1044" spans="1:6" x14ac:dyDescent="0.35">
      <c r="A1044" t="s">
        <v>176</v>
      </c>
      <c r="B1044" t="s">
        <v>177</v>
      </c>
      <c r="C1044">
        <v>1943</v>
      </c>
      <c r="D1044">
        <v>1300</v>
      </c>
      <c r="F1044">
        <v>83514</v>
      </c>
    </row>
    <row r="1045" spans="1:6" x14ac:dyDescent="0.35">
      <c r="A1045" t="s">
        <v>176</v>
      </c>
      <c r="B1045" t="s">
        <v>177</v>
      </c>
      <c r="C1045">
        <v>1944</v>
      </c>
      <c r="D1045">
        <v>1314</v>
      </c>
      <c r="F1045">
        <v>89776</v>
      </c>
    </row>
    <row r="1046" spans="1:6" x14ac:dyDescent="0.35">
      <c r="A1046" t="s">
        <v>176</v>
      </c>
      <c r="B1046" t="s">
        <v>177</v>
      </c>
      <c r="C1046">
        <v>1945</v>
      </c>
      <c r="D1046">
        <v>1439</v>
      </c>
      <c r="F1046">
        <v>94021</v>
      </c>
    </row>
    <row r="1047" spans="1:6" x14ac:dyDescent="0.35">
      <c r="A1047" t="s">
        <v>176</v>
      </c>
      <c r="B1047" t="s">
        <v>177</v>
      </c>
      <c r="C1047">
        <v>1946</v>
      </c>
      <c r="D1047">
        <v>1397</v>
      </c>
      <c r="F1047">
        <v>95099</v>
      </c>
    </row>
    <row r="1048" spans="1:6" x14ac:dyDescent="0.35">
      <c r="A1048" t="s">
        <v>176</v>
      </c>
      <c r="B1048" t="s">
        <v>177</v>
      </c>
      <c r="C1048">
        <v>1947</v>
      </c>
      <c r="D1048">
        <v>1353</v>
      </c>
      <c r="F1048">
        <v>90579</v>
      </c>
    </row>
    <row r="1049" spans="1:6" x14ac:dyDescent="0.35">
      <c r="A1049" t="s">
        <v>176</v>
      </c>
      <c r="B1049" t="s">
        <v>177</v>
      </c>
      <c r="C1049">
        <v>1948</v>
      </c>
      <c r="D1049">
        <v>1251</v>
      </c>
      <c r="F1049">
        <v>83954</v>
      </c>
    </row>
    <row r="1050" spans="1:6" x14ac:dyDescent="0.35">
      <c r="A1050" t="s">
        <v>176</v>
      </c>
      <c r="B1050" t="s">
        <v>177</v>
      </c>
      <c r="C1050">
        <v>1949</v>
      </c>
      <c r="D1050">
        <v>1099</v>
      </c>
      <c r="F1050">
        <v>79049</v>
      </c>
    </row>
    <row r="1051" spans="1:6" x14ac:dyDescent="0.35">
      <c r="A1051" t="s">
        <v>176</v>
      </c>
      <c r="B1051" t="s">
        <v>177</v>
      </c>
      <c r="C1051">
        <v>1950</v>
      </c>
      <c r="D1051">
        <v>1068</v>
      </c>
      <c r="F1051">
        <v>78885</v>
      </c>
    </row>
    <row r="1052" spans="1:6" x14ac:dyDescent="0.35">
      <c r="A1052" t="s">
        <v>176</v>
      </c>
      <c r="B1052" t="s">
        <v>177</v>
      </c>
      <c r="C1052">
        <v>1951</v>
      </c>
      <c r="D1052">
        <v>1008</v>
      </c>
      <c r="F1052">
        <v>75940</v>
      </c>
    </row>
    <row r="1053" spans="1:6" x14ac:dyDescent="0.35">
      <c r="A1053" t="s">
        <v>176</v>
      </c>
      <c r="B1053" t="s">
        <v>177</v>
      </c>
      <c r="C1053">
        <v>1952</v>
      </c>
      <c r="D1053">
        <v>1046</v>
      </c>
      <c r="F1053">
        <v>76196</v>
      </c>
    </row>
    <row r="1054" spans="1:6" x14ac:dyDescent="0.35">
      <c r="A1054" t="s">
        <v>176</v>
      </c>
      <c r="B1054" t="s">
        <v>177</v>
      </c>
      <c r="C1054">
        <v>1953</v>
      </c>
      <c r="D1054">
        <v>1061</v>
      </c>
      <c r="F1054">
        <v>77627</v>
      </c>
    </row>
    <row r="1055" spans="1:6" x14ac:dyDescent="0.35">
      <c r="A1055" t="s">
        <v>176</v>
      </c>
      <c r="B1055" t="s">
        <v>177</v>
      </c>
      <c r="C1055">
        <v>1954</v>
      </c>
      <c r="D1055">
        <v>1006</v>
      </c>
      <c r="F1055">
        <v>75837</v>
      </c>
    </row>
    <row r="1056" spans="1:6" x14ac:dyDescent="0.35">
      <c r="A1056" t="s">
        <v>176</v>
      </c>
      <c r="B1056" t="s">
        <v>177</v>
      </c>
      <c r="C1056">
        <v>1955</v>
      </c>
      <c r="D1056">
        <v>1031</v>
      </c>
      <c r="F1056">
        <v>76158</v>
      </c>
    </row>
    <row r="1057" spans="1:6" x14ac:dyDescent="0.35">
      <c r="A1057" t="s">
        <v>176</v>
      </c>
      <c r="B1057" t="s">
        <v>177</v>
      </c>
      <c r="C1057">
        <v>1956</v>
      </c>
      <c r="D1057">
        <v>953</v>
      </c>
      <c r="F1057">
        <v>76172</v>
      </c>
    </row>
    <row r="1058" spans="1:6" x14ac:dyDescent="0.35">
      <c r="A1058" t="s">
        <v>176</v>
      </c>
      <c r="B1058" t="s">
        <v>177</v>
      </c>
      <c r="C1058">
        <v>1957</v>
      </c>
      <c r="D1058">
        <v>945</v>
      </c>
      <c r="F1058">
        <v>74499</v>
      </c>
    </row>
    <row r="1059" spans="1:6" x14ac:dyDescent="0.35">
      <c r="A1059" t="s">
        <v>176</v>
      </c>
      <c r="B1059" t="s">
        <v>177</v>
      </c>
      <c r="C1059">
        <v>1958</v>
      </c>
      <c r="D1059">
        <v>958</v>
      </c>
      <c r="F1059">
        <v>73921</v>
      </c>
    </row>
    <row r="1060" spans="1:6" x14ac:dyDescent="0.35">
      <c r="A1060" t="s">
        <v>176</v>
      </c>
      <c r="B1060" t="s">
        <v>177</v>
      </c>
      <c r="C1060">
        <v>1959</v>
      </c>
      <c r="D1060">
        <v>922</v>
      </c>
      <c r="F1060">
        <v>73134</v>
      </c>
    </row>
    <row r="1061" spans="1:6" x14ac:dyDescent="0.35">
      <c r="A1061" t="s">
        <v>176</v>
      </c>
      <c r="B1061" t="s">
        <v>177</v>
      </c>
      <c r="C1061">
        <v>1960</v>
      </c>
      <c r="D1061">
        <v>901</v>
      </c>
      <c r="F1061">
        <v>75209</v>
      </c>
    </row>
    <row r="1062" spans="1:6" x14ac:dyDescent="0.35">
      <c r="A1062" t="s">
        <v>176</v>
      </c>
      <c r="B1062" t="s">
        <v>177</v>
      </c>
      <c r="C1062">
        <v>1961</v>
      </c>
      <c r="D1062">
        <v>931</v>
      </c>
      <c r="F1062">
        <v>75518</v>
      </c>
    </row>
    <row r="1063" spans="1:6" x14ac:dyDescent="0.35">
      <c r="A1063" t="s">
        <v>176</v>
      </c>
      <c r="B1063" t="s">
        <v>177</v>
      </c>
      <c r="C1063">
        <v>1962</v>
      </c>
      <c r="D1063">
        <v>937</v>
      </c>
      <c r="F1063">
        <v>76838</v>
      </c>
    </row>
    <row r="1064" spans="1:6" x14ac:dyDescent="0.35">
      <c r="A1064" t="s">
        <v>176</v>
      </c>
      <c r="B1064" t="s">
        <v>177</v>
      </c>
      <c r="C1064">
        <v>1963</v>
      </c>
      <c r="D1064">
        <v>909</v>
      </c>
      <c r="F1064">
        <v>81525</v>
      </c>
    </row>
    <row r="1065" spans="1:6" x14ac:dyDescent="0.35">
      <c r="A1065" t="s">
        <v>176</v>
      </c>
      <c r="B1065" t="s">
        <v>177</v>
      </c>
      <c r="C1065">
        <v>1964</v>
      </c>
      <c r="D1065">
        <v>997</v>
      </c>
      <c r="F1065">
        <v>82235</v>
      </c>
    </row>
    <row r="1066" spans="1:6" x14ac:dyDescent="0.35">
      <c r="A1066" t="s">
        <v>176</v>
      </c>
      <c r="B1066" t="s">
        <v>177</v>
      </c>
      <c r="C1066">
        <v>1965</v>
      </c>
      <c r="D1066">
        <v>970</v>
      </c>
      <c r="F1066">
        <v>84761</v>
      </c>
    </row>
    <row r="1067" spans="1:6" x14ac:dyDescent="0.35">
      <c r="A1067" t="s">
        <v>176</v>
      </c>
      <c r="B1067" t="s">
        <v>177</v>
      </c>
      <c r="C1067">
        <v>1966</v>
      </c>
      <c r="D1067">
        <v>947</v>
      </c>
      <c r="F1067">
        <v>87289</v>
      </c>
    </row>
    <row r="1068" spans="1:6" x14ac:dyDescent="0.35">
      <c r="A1068" t="s">
        <v>176</v>
      </c>
      <c r="B1068" t="s">
        <v>177</v>
      </c>
      <c r="C1068">
        <v>1967</v>
      </c>
      <c r="D1068">
        <v>864</v>
      </c>
      <c r="F1068">
        <v>80366</v>
      </c>
    </row>
    <row r="1069" spans="1:6" x14ac:dyDescent="0.35">
      <c r="A1069" t="s">
        <v>176</v>
      </c>
      <c r="B1069" t="s">
        <v>177</v>
      </c>
      <c r="C1069">
        <v>1968</v>
      </c>
      <c r="D1069">
        <v>812</v>
      </c>
      <c r="F1069">
        <v>73537</v>
      </c>
    </row>
    <row r="1070" spans="1:6" x14ac:dyDescent="0.35">
      <c r="A1070" t="s">
        <v>176</v>
      </c>
      <c r="B1070" t="s">
        <v>177</v>
      </c>
      <c r="C1070">
        <v>1969</v>
      </c>
      <c r="D1070">
        <v>740</v>
      </c>
      <c r="F1070">
        <v>70414</v>
      </c>
    </row>
    <row r="1071" spans="1:6" x14ac:dyDescent="0.35">
      <c r="A1071" t="s">
        <v>176</v>
      </c>
      <c r="B1071" t="s">
        <v>177</v>
      </c>
      <c r="C1071">
        <v>1970</v>
      </c>
      <c r="D1071">
        <v>666</v>
      </c>
      <c r="F1071">
        <v>70053</v>
      </c>
    </row>
    <row r="1072" spans="1:6" x14ac:dyDescent="0.35">
      <c r="A1072" t="s">
        <v>176</v>
      </c>
      <c r="B1072" t="s">
        <v>177</v>
      </c>
      <c r="C1072">
        <v>1971</v>
      </c>
      <c r="D1072">
        <v>764</v>
      </c>
      <c r="F1072">
        <v>74408</v>
      </c>
    </row>
    <row r="1073" spans="1:6" x14ac:dyDescent="0.35">
      <c r="A1073" t="s">
        <v>176</v>
      </c>
      <c r="B1073" t="s">
        <v>177</v>
      </c>
      <c r="C1073">
        <v>1972</v>
      </c>
      <c r="D1073">
        <v>684</v>
      </c>
      <c r="F1073">
        <v>74669</v>
      </c>
    </row>
    <row r="1074" spans="1:6" x14ac:dyDescent="0.35">
      <c r="A1074" t="s">
        <v>176</v>
      </c>
      <c r="B1074" t="s">
        <v>177</v>
      </c>
      <c r="C1074">
        <v>1973</v>
      </c>
      <c r="D1074">
        <v>702</v>
      </c>
      <c r="F1074">
        <v>70998</v>
      </c>
    </row>
    <row r="1075" spans="1:6" x14ac:dyDescent="0.35">
      <c r="A1075" t="s">
        <v>176</v>
      </c>
      <c r="B1075" t="s">
        <v>177</v>
      </c>
      <c r="C1075">
        <v>1974</v>
      </c>
      <c r="D1075">
        <v>700</v>
      </c>
      <c r="F1075">
        <v>70350</v>
      </c>
    </row>
    <row r="1076" spans="1:6" x14ac:dyDescent="0.35">
      <c r="A1076" t="s">
        <v>176</v>
      </c>
      <c r="B1076" t="s">
        <v>177</v>
      </c>
      <c r="C1076">
        <v>1975</v>
      </c>
      <c r="D1076">
        <v>691</v>
      </c>
      <c r="F1076">
        <v>71127</v>
      </c>
    </row>
    <row r="1077" spans="1:6" x14ac:dyDescent="0.35">
      <c r="A1077" t="s">
        <v>176</v>
      </c>
      <c r="B1077" t="s">
        <v>177</v>
      </c>
      <c r="C1077">
        <v>1976</v>
      </c>
      <c r="D1077">
        <v>623</v>
      </c>
      <c r="F1077">
        <v>64434</v>
      </c>
    </row>
    <row r="1078" spans="1:6" x14ac:dyDescent="0.35">
      <c r="A1078" t="s">
        <v>176</v>
      </c>
      <c r="B1078" t="s">
        <v>177</v>
      </c>
      <c r="C1078">
        <v>1977</v>
      </c>
      <c r="D1078">
        <v>593</v>
      </c>
      <c r="F1078">
        <v>61036</v>
      </c>
    </row>
    <row r="1079" spans="1:6" x14ac:dyDescent="0.35">
      <c r="A1079" t="s">
        <v>176</v>
      </c>
      <c r="B1079" t="s">
        <v>177</v>
      </c>
      <c r="C1079">
        <v>1978</v>
      </c>
      <c r="D1079">
        <v>622</v>
      </c>
      <c r="F1079">
        <v>61129</v>
      </c>
    </row>
    <row r="1080" spans="1:6" x14ac:dyDescent="0.35">
      <c r="A1080" t="s">
        <v>176</v>
      </c>
      <c r="B1080" t="s">
        <v>177</v>
      </c>
      <c r="C1080">
        <v>1979</v>
      </c>
      <c r="D1080">
        <v>626</v>
      </c>
      <c r="F1080">
        <v>58509</v>
      </c>
    </row>
    <row r="1081" spans="1:6" x14ac:dyDescent="0.35">
      <c r="A1081" t="s">
        <v>176</v>
      </c>
      <c r="B1081" t="s">
        <v>177</v>
      </c>
      <c r="C1081">
        <v>1980</v>
      </c>
      <c r="D1081">
        <v>582</v>
      </c>
      <c r="F1081">
        <v>56364</v>
      </c>
    </row>
    <row r="1082" spans="1:6" x14ac:dyDescent="0.35">
      <c r="A1082" t="s">
        <v>176</v>
      </c>
      <c r="B1082" t="s">
        <v>177</v>
      </c>
      <c r="C1082">
        <v>1981</v>
      </c>
      <c r="D1082">
        <v>519</v>
      </c>
      <c r="F1082">
        <v>52311</v>
      </c>
    </row>
    <row r="1083" spans="1:6" x14ac:dyDescent="0.35">
      <c r="A1083" t="s">
        <v>176</v>
      </c>
      <c r="B1083" t="s">
        <v>177</v>
      </c>
      <c r="C1083">
        <v>1982</v>
      </c>
      <c r="D1083">
        <v>532</v>
      </c>
      <c r="F1083">
        <v>51845</v>
      </c>
    </row>
    <row r="1084" spans="1:6" x14ac:dyDescent="0.35">
      <c r="A1084" t="s">
        <v>176</v>
      </c>
      <c r="B1084" t="s">
        <v>177</v>
      </c>
      <c r="C1084">
        <v>1983</v>
      </c>
      <c r="D1084">
        <v>518</v>
      </c>
      <c r="F1084">
        <v>50026</v>
      </c>
    </row>
    <row r="1085" spans="1:6" x14ac:dyDescent="0.35">
      <c r="A1085" t="s">
        <v>176</v>
      </c>
      <c r="B1085" t="s">
        <v>177</v>
      </c>
      <c r="C1085">
        <v>1984</v>
      </c>
      <c r="D1085">
        <v>567</v>
      </c>
      <c r="F1085">
        <v>50875</v>
      </c>
    </row>
    <row r="1086" spans="1:6" x14ac:dyDescent="0.35">
      <c r="A1086" t="s">
        <v>176</v>
      </c>
      <c r="B1086" t="s">
        <v>177</v>
      </c>
      <c r="C1086">
        <v>1985</v>
      </c>
      <c r="D1086">
        <v>587</v>
      </c>
      <c r="F1086">
        <v>52794</v>
      </c>
    </row>
    <row r="1087" spans="1:6" x14ac:dyDescent="0.35">
      <c r="A1087" t="s">
        <v>176</v>
      </c>
      <c r="B1087" t="s">
        <v>177</v>
      </c>
      <c r="C1087">
        <v>1986</v>
      </c>
      <c r="D1087">
        <v>577</v>
      </c>
      <c r="F1087">
        <v>54376</v>
      </c>
    </row>
    <row r="1088" spans="1:6" x14ac:dyDescent="0.35">
      <c r="A1088" t="s">
        <v>176</v>
      </c>
      <c r="B1088" t="s">
        <v>177</v>
      </c>
      <c r="C1088">
        <v>1987</v>
      </c>
      <c r="D1088">
        <v>617</v>
      </c>
      <c r="F1088">
        <v>55251</v>
      </c>
    </row>
    <row r="1089" spans="1:6" x14ac:dyDescent="0.35">
      <c r="A1089" t="s">
        <v>176</v>
      </c>
      <c r="B1089" t="s">
        <v>177</v>
      </c>
      <c r="C1089">
        <v>1988</v>
      </c>
      <c r="D1089">
        <v>662</v>
      </c>
      <c r="F1089">
        <v>57776</v>
      </c>
    </row>
    <row r="1090" spans="1:6" x14ac:dyDescent="0.35">
      <c r="A1090" t="s">
        <v>176</v>
      </c>
      <c r="B1090" t="s">
        <v>177</v>
      </c>
      <c r="C1090">
        <v>1989</v>
      </c>
      <c r="D1090">
        <v>690</v>
      </c>
      <c r="F1090">
        <v>60232</v>
      </c>
    </row>
    <row r="1091" spans="1:6" x14ac:dyDescent="0.35">
      <c r="A1091" t="s">
        <v>176</v>
      </c>
      <c r="B1091" t="s">
        <v>177</v>
      </c>
      <c r="C1091">
        <v>1990</v>
      </c>
      <c r="D1091">
        <v>712</v>
      </c>
      <c r="F1091">
        <v>62252</v>
      </c>
    </row>
    <row r="1092" spans="1:6" x14ac:dyDescent="0.35">
      <c r="A1092" t="s">
        <v>176</v>
      </c>
      <c r="B1092" t="s">
        <v>177</v>
      </c>
      <c r="C1092">
        <v>1991</v>
      </c>
      <c r="D1092">
        <v>840</v>
      </c>
      <c r="F1092">
        <v>62907</v>
      </c>
    </row>
    <row r="1093" spans="1:6" x14ac:dyDescent="0.35">
      <c r="A1093" t="s">
        <v>176</v>
      </c>
      <c r="B1093" t="s">
        <v>177</v>
      </c>
      <c r="C1093">
        <v>1992</v>
      </c>
      <c r="D1093">
        <v>923</v>
      </c>
      <c r="F1093">
        <v>66121</v>
      </c>
    </row>
    <row r="1094" spans="1:6" x14ac:dyDescent="0.35">
      <c r="A1094" t="s">
        <v>176</v>
      </c>
      <c r="B1094" t="s">
        <v>177</v>
      </c>
      <c r="C1094">
        <v>1993</v>
      </c>
      <c r="D1094">
        <v>1022</v>
      </c>
      <c r="F1094">
        <v>65544</v>
      </c>
    </row>
    <row r="1095" spans="1:6" x14ac:dyDescent="0.35">
      <c r="A1095" t="s">
        <v>176</v>
      </c>
      <c r="B1095" t="s">
        <v>177</v>
      </c>
      <c r="C1095">
        <v>1994</v>
      </c>
      <c r="D1095">
        <v>1137</v>
      </c>
      <c r="F1095">
        <v>67589</v>
      </c>
    </row>
    <row r="1096" spans="1:6" x14ac:dyDescent="0.35">
      <c r="A1096" t="s">
        <v>176</v>
      </c>
      <c r="B1096" t="s">
        <v>177</v>
      </c>
      <c r="C1096">
        <v>1995</v>
      </c>
      <c r="D1096">
        <v>1123</v>
      </c>
      <c r="F1096">
        <v>67726</v>
      </c>
    </row>
    <row r="1097" spans="1:6" x14ac:dyDescent="0.35">
      <c r="A1097" t="s">
        <v>176</v>
      </c>
      <c r="B1097" t="s">
        <v>177</v>
      </c>
      <c r="C1097">
        <v>1996</v>
      </c>
      <c r="D1097">
        <v>1207</v>
      </c>
      <c r="F1097">
        <v>65430</v>
      </c>
    </row>
    <row r="1098" spans="1:6" x14ac:dyDescent="0.35">
      <c r="A1098" t="s">
        <v>176</v>
      </c>
      <c r="B1098" t="s">
        <v>177</v>
      </c>
      <c r="C1098">
        <v>1997</v>
      </c>
      <c r="D1098">
        <v>1222</v>
      </c>
      <c r="F1098">
        <v>65443</v>
      </c>
    </row>
    <row r="1099" spans="1:6" x14ac:dyDescent="0.35">
      <c r="A1099" t="s">
        <v>176</v>
      </c>
      <c r="B1099" t="s">
        <v>177</v>
      </c>
      <c r="C1099">
        <v>1998</v>
      </c>
      <c r="D1099">
        <v>1252</v>
      </c>
      <c r="F1099">
        <v>63863</v>
      </c>
    </row>
    <row r="1100" spans="1:6" x14ac:dyDescent="0.35">
      <c r="A1100" t="s">
        <v>176</v>
      </c>
      <c r="B1100" t="s">
        <v>177</v>
      </c>
      <c r="C1100">
        <v>1999</v>
      </c>
      <c r="D1100">
        <v>1256</v>
      </c>
      <c r="F1100">
        <v>63943</v>
      </c>
    </row>
    <row r="1101" spans="1:6" x14ac:dyDescent="0.35">
      <c r="A1101" t="s">
        <v>176</v>
      </c>
      <c r="B1101" t="s">
        <v>177</v>
      </c>
      <c r="C1101">
        <v>2000</v>
      </c>
      <c r="D1101">
        <v>1286</v>
      </c>
      <c r="F1101">
        <v>64692</v>
      </c>
    </row>
    <row r="1102" spans="1:6" x14ac:dyDescent="0.35">
      <c r="A1102" t="s">
        <v>176</v>
      </c>
      <c r="B1102" t="s">
        <v>177</v>
      </c>
      <c r="C1102">
        <v>2001</v>
      </c>
      <c r="D1102">
        <v>1390</v>
      </c>
      <c r="F1102">
        <v>62751</v>
      </c>
    </row>
    <row r="1103" spans="1:6" x14ac:dyDescent="0.35">
      <c r="A1103" t="s">
        <v>176</v>
      </c>
      <c r="B1103" t="s">
        <v>177</v>
      </c>
      <c r="C1103">
        <v>2002</v>
      </c>
      <c r="D1103">
        <v>1356</v>
      </c>
      <c r="F1103">
        <v>61457</v>
      </c>
    </row>
    <row r="1104" spans="1:6" x14ac:dyDescent="0.35">
      <c r="A1104" t="s">
        <v>176</v>
      </c>
      <c r="B1104" t="s">
        <v>177</v>
      </c>
      <c r="C1104">
        <v>2003</v>
      </c>
      <c r="D1104">
        <v>1368</v>
      </c>
      <c r="F1104">
        <v>61978</v>
      </c>
    </row>
    <row r="1105" spans="1:6" x14ac:dyDescent="0.35">
      <c r="A1105" t="s">
        <v>176</v>
      </c>
      <c r="B1105" t="s">
        <v>177</v>
      </c>
      <c r="C1105">
        <v>2004</v>
      </c>
      <c r="D1105">
        <v>1400</v>
      </c>
      <c r="F1105">
        <v>61996</v>
      </c>
    </row>
    <row r="1106" spans="1:6" x14ac:dyDescent="0.35">
      <c r="A1106" t="s">
        <v>176</v>
      </c>
      <c r="B1106" t="s">
        <v>177</v>
      </c>
      <c r="C1106">
        <v>2005</v>
      </c>
      <c r="D1106">
        <v>1404</v>
      </c>
      <c r="F1106">
        <v>61653</v>
      </c>
    </row>
    <row r="1107" spans="1:6" x14ac:dyDescent="0.35">
      <c r="A1107" t="s">
        <v>176</v>
      </c>
      <c r="B1107" t="s">
        <v>177</v>
      </c>
      <c r="C1107">
        <v>2006</v>
      </c>
      <c r="D1107">
        <v>1415</v>
      </c>
      <c r="F1107">
        <v>62353</v>
      </c>
    </row>
    <row r="1108" spans="1:6" x14ac:dyDescent="0.35">
      <c r="A1108" t="s">
        <v>176</v>
      </c>
      <c r="B1108" t="s">
        <v>177</v>
      </c>
      <c r="C1108">
        <v>2007</v>
      </c>
      <c r="D1108">
        <v>1372</v>
      </c>
      <c r="F1108">
        <v>61586</v>
      </c>
    </row>
    <row r="1109" spans="1:6" x14ac:dyDescent="0.35">
      <c r="A1109" t="s">
        <v>176</v>
      </c>
      <c r="B1109" t="s">
        <v>177</v>
      </c>
      <c r="C1109">
        <v>2008</v>
      </c>
      <c r="D1109">
        <v>1431</v>
      </c>
      <c r="F1109">
        <v>62411</v>
      </c>
    </row>
    <row r="1110" spans="1:6" x14ac:dyDescent="0.35">
      <c r="A1110" t="s">
        <v>176</v>
      </c>
      <c r="B1110" t="s">
        <v>177</v>
      </c>
      <c r="C1110">
        <v>2009</v>
      </c>
      <c r="D1110">
        <v>1345</v>
      </c>
      <c r="F1110">
        <v>60328</v>
      </c>
    </row>
    <row r="1111" spans="1:6" x14ac:dyDescent="0.35">
      <c r="A1111" t="s">
        <v>176</v>
      </c>
      <c r="B1111" t="s">
        <v>177</v>
      </c>
      <c r="C1111">
        <v>2010</v>
      </c>
      <c r="D1111">
        <v>1330</v>
      </c>
      <c r="F1111">
        <v>60982</v>
      </c>
    </row>
    <row r="1112" spans="1:6" x14ac:dyDescent="0.35">
      <c r="A1112" t="s">
        <v>176</v>
      </c>
      <c r="B1112" t="s">
        <v>177</v>
      </c>
      <c r="C1112">
        <v>2011</v>
      </c>
      <c r="D1112">
        <v>1237</v>
      </c>
      <c r="F1112">
        <v>56715</v>
      </c>
    </row>
    <row r="1113" spans="1:6" x14ac:dyDescent="0.35">
      <c r="A1113" t="s">
        <v>176</v>
      </c>
      <c r="B1113" t="s">
        <v>177</v>
      </c>
      <c r="C1113">
        <v>2012</v>
      </c>
      <c r="D1113">
        <v>1219</v>
      </c>
      <c r="F1113">
        <v>55669</v>
      </c>
    </row>
    <row r="1114" spans="1:6" x14ac:dyDescent="0.35">
      <c r="A1114" t="s">
        <v>176</v>
      </c>
      <c r="B1114" t="s">
        <v>177</v>
      </c>
      <c r="C1114">
        <v>2013</v>
      </c>
      <c r="D1114">
        <v>1163</v>
      </c>
      <c r="F1114">
        <v>53718</v>
      </c>
    </row>
    <row r="1115" spans="1:6" x14ac:dyDescent="0.35">
      <c r="A1115" t="s">
        <v>176</v>
      </c>
      <c r="B1115" t="s">
        <v>177</v>
      </c>
      <c r="C1115">
        <v>2014</v>
      </c>
      <c r="D1115">
        <v>1058</v>
      </c>
      <c r="F1115">
        <v>54949</v>
      </c>
    </row>
    <row r="1116" spans="1:6" x14ac:dyDescent="0.35">
      <c r="A1116" t="s">
        <v>176</v>
      </c>
      <c r="B1116" t="s">
        <v>177</v>
      </c>
      <c r="C1116">
        <v>2015</v>
      </c>
      <c r="D1116">
        <v>961</v>
      </c>
      <c r="F1116">
        <v>56443</v>
      </c>
    </row>
    <row r="1117" spans="1:6" x14ac:dyDescent="0.35">
      <c r="A1117" t="s">
        <v>176</v>
      </c>
      <c r="B1117" t="s">
        <v>177</v>
      </c>
      <c r="C1117">
        <v>2016</v>
      </c>
      <c r="D1117">
        <v>1042</v>
      </c>
      <c r="F1117">
        <v>59739</v>
      </c>
    </row>
    <row r="1118" spans="1:6" x14ac:dyDescent="0.35">
      <c r="A1118" t="s">
        <v>176</v>
      </c>
      <c r="B1118" t="s">
        <v>177</v>
      </c>
      <c r="C1118">
        <v>2017</v>
      </c>
      <c r="D1118">
        <v>1037</v>
      </c>
      <c r="F1118">
        <v>59544</v>
      </c>
    </row>
    <row r="1119" spans="1:6" x14ac:dyDescent="0.35">
      <c r="A1119" t="s">
        <v>176</v>
      </c>
      <c r="B1119" t="s">
        <v>177</v>
      </c>
      <c r="C1119">
        <v>2018</v>
      </c>
      <c r="D1119">
        <v>928</v>
      </c>
      <c r="F1119">
        <v>59810</v>
      </c>
    </row>
    <row r="1120" spans="1:6" x14ac:dyDescent="0.35">
      <c r="A1120" t="s">
        <v>250</v>
      </c>
      <c r="B1120" t="s">
        <v>20</v>
      </c>
      <c r="C1120">
        <v>1863</v>
      </c>
      <c r="D1120">
        <v>5611</v>
      </c>
      <c r="F1120">
        <v>595281</v>
      </c>
    </row>
    <row r="1121" spans="1:6" x14ac:dyDescent="0.35">
      <c r="A1121" t="s">
        <v>250</v>
      </c>
      <c r="B1121" t="s">
        <v>20</v>
      </c>
      <c r="C1121">
        <v>1864</v>
      </c>
      <c r="D1121">
        <v>5699</v>
      </c>
      <c r="F1121">
        <v>617746</v>
      </c>
    </row>
    <row r="1122" spans="1:6" x14ac:dyDescent="0.35">
      <c r="A1122" t="s">
        <v>250</v>
      </c>
      <c r="B1122" t="s">
        <v>20</v>
      </c>
      <c r="C1122">
        <v>1865</v>
      </c>
      <c r="D1122">
        <v>5434</v>
      </c>
      <c r="F1122">
        <v>610858</v>
      </c>
    </row>
    <row r="1123" spans="1:6" x14ac:dyDescent="0.35">
      <c r="A1123" t="s">
        <v>250</v>
      </c>
      <c r="B1123" t="s">
        <v>20</v>
      </c>
      <c r="C1123">
        <v>1866</v>
      </c>
      <c r="D1123">
        <v>5048</v>
      </c>
      <c r="F1123">
        <v>608525</v>
      </c>
    </row>
    <row r="1124" spans="1:6" x14ac:dyDescent="0.35">
      <c r="A1124" t="s">
        <v>250</v>
      </c>
      <c r="B1124" t="s">
        <v>20</v>
      </c>
      <c r="C1124">
        <v>1867</v>
      </c>
      <c r="D1124">
        <v>5432</v>
      </c>
      <c r="F1124">
        <v>613155</v>
      </c>
    </row>
    <row r="1125" spans="1:6" x14ac:dyDescent="0.35">
      <c r="A1125" t="s">
        <v>250</v>
      </c>
      <c r="B1125" t="s">
        <v>20</v>
      </c>
      <c r="C1125">
        <v>1868</v>
      </c>
      <c r="D1125">
        <v>4656</v>
      </c>
      <c r="F1125">
        <v>570002</v>
      </c>
    </row>
    <row r="1126" spans="1:6" x14ac:dyDescent="0.35">
      <c r="A1126" t="s">
        <v>250</v>
      </c>
      <c r="B1126" t="s">
        <v>20</v>
      </c>
      <c r="C1126">
        <v>1869</v>
      </c>
      <c r="D1126">
        <v>5032</v>
      </c>
      <c r="F1126">
        <v>591962</v>
      </c>
    </row>
    <row r="1127" spans="1:6" x14ac:dyDescent="0.35">
      <c r="A1127" t="s">
        <v>250</v>
      </c>
      <c r="B1127" t="s">
        <v>20</v>
      </c>
      <c r="C1127">
        <v>1870</v>
      </c>
      <c r="D1127">
        <v>4507</v>
      </c>
      <c r="F1127">
        <v>589078</v>
      </c>
    </row>
    <row r="1128" spans="1:6" x14ac:dyDescent="0.35">
      <c r="A1128" t="s">
        <v>250</v>
      </c>
      <c r="B1128" t="s">
        <v>20</v>
      </c>
      <c r="C1128">
        <v>1900</v>
      </c>
      <c r="D1128">
        <v>5427</v>
      </c>
      <c r="F1128">
        <v>616941</v>
      </c>
    </row>
    <row r="1129" spans="1:6" x14ac:dyDescent="0.35">
      <c r="A1129" t="s">
        <v>250</v>
      </c>
      <c r="B1129" t="s">
        <v>20</v>
      </c>
      <c r="C1129">
        <v>1901</v>
      </c>
      <c r="D1129">
        <v>5676</v>
      </c>
      <c r="F1129">
        <v>654739</v>
      </c>
    </row>
    <row r="1130" spans="1:6" x14ac:dyDescent="0.35">
      <c r="A1130" t="s">
        <v>250</v>
      </c>
      <c r="B1130" t="s">
        <v>20</v>
      </c>
      <c r="C1130">
        <v>1902</v>
      </c>
      <c r="D1130">
        <v>5675</v>
      </c>
      <c r="F1130">
        <v>671604</v>
      </c>
    </row>
    <row r="1131" spans="1:6" x14ac:dyDescent="0.35">
      <c r="A1131" t="s">
        <v>250</v>
      </c>
      <c r="B1131" t="s">
        <v>20</v>
      </c>
      <c r="C1131">
        <v>1903</v>
      </c>
      <c r="D1131">
        <v>5970</v>
      </c>
      <c r="F1131">
        <v>691435</v>
      </c>
    </row>
    <row r="1132" spans="1:6" x14ac:dyDescent="0.35">
      <c r="A1132" t="s">
        <v>250</v>
      </c>
      <c r="B1132" t="s">
        <v>20</v>
      </c>
      <c r="C1132">
        <v>1904</v>
      </c>
      <c r="D1132">
        <v>5543</v>
      </c>
      <c r="F1132">
        <v>655873</v>
      </c>
    </row>
    <row r="1133" spans="1:6" x14ac:dyDescent="0.35">
      <c r="A1133" t="s">
        <v>250</v>
      </c>
      <c r="B1133" t="s">
        <v>20</v>
      </c>
      <c r="C1133">
        <v>1905</v>
      </c>
      <c r="D1133">
        <v>5672</v>
      </c>
      <c r="F1133">
        <v>676522</v>
      </c>
    </row>
    <row r="1134" spans="1:6" x14ac:dyDescent="0.35">
      <c r="A1134" t="s">
        <v>250</v>
      </c>
      <c r="B1134" t="s">
        <v>20</v>
      </c>
      <c r="C1134">
        <v>1906</v>
      </c>
      <c r="D1134">
        <v>5441</v>
      </c>
      <c r="F1134">
        <v>655814</v>
      </c>
    </row>
    <row r="1135" spans="1:6" x14ac:dyDescent="0.35">
      <c r="A1135" t="s">
        <v>250</v>
      </c>
      <c r="B1135" t="s">
        <v>20</v>
      </c>
      <c r="C1135">
        <v>1907</v>
      </c>
      <c r="D1135">
        <v>5417</v>
      </c>
      <c r="F1135">
        <v>650982</v>
      </c>
    </row>
    <row r="1136" spans="1:6" x14ac:dyDescent="0.35">
      <c r="A1136" t="s">
        <v>250</v>
      </c>
      <c r="B1136" t="s">
        <v>20</v>
      </c>
      <c r="C1136">
        <v>1908</v>
      </c>
      <c r="D1136">
        <v>5476</v>
      </c>
      <c r="F1136">
        <v>663289</v>
      </c>
    </row>
    <row r="1137" spans="1:6" x14ac:dyDescent="0.35">
      <c r="A1137" t="s">
        <v>250</v>
      </c>
      <c r="B1137" t="s">
        <v>20</v>
      </c>
      <c r="C1137">
        <v>1909</v>
      </c>
      <c r="D1137">
        <v>5734</v>
      </c>
      <c r="F1137">
        <v>655036</v>
      </c>
    </row>
    <row r="1138" spans="1:6" x14ac:dyDescent="0.35">
      <c r="A1138" t="s">
        <v>250</v>
      </c>
      <c r="B1138" t="s">
        <v>20</v>
      </c>
      <c r="C1138">
        <v>1910</v>
      </c>
      <c r="D1138">
        <v>5414</v>
      </c>
      <c r="F1138">
        <v>652162</v>
      </c>
    </row>
    <row r="1139" spans="1:6" x14ac:dyDescent="0.35">
      <c r="A1139" t="s">
        <v>250</v>
      </c>
      <c r="B1139" t="s">
        <v>20</v>
      </c>
      <c r="C1139">
        <v>1911</v>
      </c>
      <c r="D1139">
        <v>5381</v>
      </c>
      <c r="F1139">
        <v>633505</v>
      </c>
    </row>
    <row r="1140" spans="1:6" x14ac:dyDescent="0.35">
      <c r="A1140" t="s">
        <v>250</v>
      </c>
      <c r="B1140" t="s">
        <v>20</v>
      </c>
      <c r="C1140">
        <v>1912</v>
      </c>
      <c r="D1140">
        <v>5695</v>
      </c>
      <c r="F1140">
        <v>643004</v>
      </c>
    </row>
    <row r="1141" spans="1:6" x14ac:dyDescent="0.35">
      <c r="A1141" t="s">
        <v>250</v>
      </c>
      <c r="B1141" t="s">
        <v>20</v>
      </c>
      <c r="C1141">
        <v>1913</v>
      </c>
      <c r="D1141">
        <v>5275</v>
      </c>
      <c r="F1141">
        <v>623702</v>
      </c>
    </row>
    <row r="1142" spans="1:6" x14ac:dyDescent="0.35">
      <c r="A1142" t="s">
        <v>250</v>
      </c>
      <c r="B1142" t="s">
        <v>20</v>
      </c>
      <c r="C1142">
        <v>1914</v>
      </c>
      <c r="D1142">
        <v>5186</v>
      </c>
      <c r="F1142">
        <v>614474</v>
      </c>
    </row>
    <row r="1143" spans="1:6" x14ac:dyDescent="0.35">
      <c r="A1143" t="s">
        <v>250</v>
      </c>
      <c r="B1143" t="s">
        <v>20</v>
      </c>
      <c r="C1143">
        <v>1915</v>
      </c>
      <c r="D1143">
        <v>5175</v>
      </c>
      <c r="F1143">
        <v>620971</v>
      </c>
    </row>
    <row r="1144" spans="1:6" x14ac:dyDescent="0.35">
      <c r="A1144" t="s">
        <v>250</v>
      </c>
      <c r="B1144" t="s">
        <v>20</v>
      </c>
      <c r="C1144">
        <v>1916</v>
      </c>
      <c r="D1144">
        <v>5020</v>
      </c>
      <c r="F1144">
        <v>605370</v>
      </c>
    </row>
    <row r="1145" spans="1:6" x14ac:dyDescent="0.35">
      <c r="A1145" t="s">
        <v>250</v>
      </c>
      <c r="B1145" t="s">
        <v>20</v>
      </c>
      <c r="C1145">
        <v>1917</v>
      </c>
      <c r="D1145">
        <v>5049</v>
      </c>
      <c r="F1145">
        <v>608469</v>
      </c>
    </row>
    <row r="1146" spans="1:6" x14ac:dyDescent="0.35">
      <c r="A1146" t="s">
        <v>250</v>
      </c>
      <c r="B1146" t="s">
        <v>20</v>
      </c>
      <c r="C1146">
        <v>1918</v>
      </c>
      <c r="D1146">
        <v>5134</v>
      </c>
      <c r="F1146">
        <v>619647</v>
      </c>
    </row>
    <row r="1147" spans="1:6" x14ac:dyDescent="0.35">
      <c r="A1147" t="s">
        <v>250</v>
      </c>
      <c r="B1147" t="s">
        <v>20</v>
      </c>
      <c r="C1147">
        <v>1919</v>
      </c>
      <c r="D1147">
        <v>4670</v>
      </c>
      <c r="F1147">
        <v>592158</v>
      </c>
    </row>
    <row r="1148" spans="1:6" x14ac:dyDescent="0.35">
      <c r="A1148" t="s">
        <v>250</v>
      </c>
      <c r="B1148" t="s">
        <v>20</v>
      </c>
      <c r="C1148">
        <v>1920</v>
      </c>
      <c r="D1148">
        <v>4658</v>
      </c>
      <c r="F1148">
        <v>630635</v>
      </c>
    </row>
    <row r="1149" spans="1:6" x14ac:dyDescent="0.35">
      <c r="A1149" t="s">
        <v>250</v>
      </c>
      <c r="B1149" t="s">
        <v>20</v>
      </c>
      <c r="C1149">
        <v>1921</v>
      </c>
      <c r="D1149">
        <v>5017</v>
      </c>
      <c r="F1149">
        <v>656415</v>
      </c>
    </row>
    <row r="1150" spans="1:6" x14ac:dyDescent="0.35">
      <c r="A1150" t="s">
        <v>250</v>
      </c>
      <c r="B1150" t="s">
        <v>20</v>
      </c>
      <c r="C1150">
        <v>1922</v>
      </c>
      <c r="D1150">
        <v>5052</v>
      </c>
      <c r="F1150">
        <v>663365</v>
      </c>
    </row>
    <row r="1151" spans="1:6" x14ac:dyDescent="0.35">
      <c r="A1151" t="s">
        <v>250</v>
      </c>
      <c r="B1151" t="s">
        <v>20</v>
      </c>
      <c r="C1151">
        <v>1923</v>
      </c>
      <c r="D1151">
        <v>5413</v>
      </c>
      <c r="F1151">
        <v>670229</v>
      </c>
    </row>
    <row r="1152" spans="1:6" x14ac:dyDescent="0.35">
      <c r="A1152" t="s">
        <v>250</v>
      </c>
      <c r="B1152" t="s">
        <v>20</v>
      </c>
      <c r="C1152">
        <v>1924</v>
      </c>
      <c r="D1152">
        <v>5460</v>
      </c>
      <c r="F1152">
        <v>661343</v>
      </c>
    </row>
    <row r="1153" spans="1:6" x14ac:dyDescent="0.35">
      <c r="A1153" t="s">
        <v>250</v>
      </c>
      <c r="B1153" t="s">
        <v>20</v>
      </c>
      <c r="C1153">
        <v>1925</v>
      </c>
      <c r="D1153">
        <v>5480</v>
      </c>
      <c r="F1153">
        <v>652898</v>
      </c>
    </row>
    <row r="1154" spans="1:6" x14ac:dyDescent="0.35">
      <c r="A1154" t="s">
        <v>250</v>
      </c>
      <c r="B1154" t="s">
        <v>20</v>
      </c>
      <c r="C1154">
        <v>1926</v>
      </c>
      <c r="D1154">
        <v>5976</v>
      </c>
      <c r="F1154">
        <v>671414</v>
      </c>
    </row>
    <row r="1155" spans="1:6" x14ac:dyDescent="0.35">
      <c r="A1155" t="s">
        <v>250</v>
      </c>
      <c r="B1155" t="s">
        <v>20</v>
      </c>
      <c r="C1155">
        <v>1927</v>
      </c>
      <c r="D1155">
        <v>6393</v>
      </c>
      <c r="F1155">
        <v>642823</v>
      </c>
    </row>
    <row r="1156" spans="1:6" x14ac:dyDescent="0.35">
      <c r="A1156" t="s">
        <v>250</v>
      </c>
      <c r="B1156" t="s">
        <v>20</v>
      </c>
      <c r="C1156">
        <v>1928</v>
      </c>
      <c r="D1156">
        <v>6285</v>
      </c>
      <c r="F1156">
        <v>674709</v>
      </c>
    </row>
    <row r="1157" spans="1:6" x14ac:dyDescent="0.35">
      <c r="A1157" t="s">
        <v>250</v>
      </c>
      <c r="B1157" t="s">
        <v>20</v>
      </c>
      <c r="C1157">
        <v>1929</v>
      </c>
      <c r="D1157">
        <v>6121</v>
      </c>
      <c r="F1157">
        <v>662380</v>
      </c>
    </row>
    <row r="1158" spans="1:6" x14ac:dyDescent="0.35">
      <c r="A1158" t="s">
        <v>250</v>
      </c>
      <c r="B1158" t="s">
        <v>20</v>
      </c>
      <c r="C1158">
        <v>1930</v>
      </c>
      <c r="D1158">
        <v>6296</v>
      </c>
      <c r="F1158">
        <v>669851</v>
      </c>
    </row>
    <row r="1159" spans="1:6" x14ac:dyDescent="0.35">
      <c r="A1159" t="s">
        <v>250</v>
      </c>
      <c r="B1159" t="s">
        <v>20</v>
      </c>
      <c r="C1159">
        <v>1931</v>
      </c>
      <c r="D1159">
        <v>5521</v>
      </c>
      <c r="F1159">
        <v>658943</v>
      </c>
    </row>
    <row r="1160" spans="1:6" x14ac:dyDescent="0.35">
      <c r="A1160" t="s">
        <v>250</v>
      </c>
      <c r="B1160" t="s">
        <v>20</v>
      </c>
      <c r="C1160">
        <v>1932</v>
      </c>
      <c r="D1160">
        <v>5608</v>
      </c>
      <c r="F1160">
        <v>681349</v>
      </c>
    </row>
    <row r="1161" spans="1:6" x14ac:dyDescent="0.35">
      <c r="A1161" t="s">
        <v>250</v>
      </c>
      <c r="B1161" t="s">
        <v>20</v>
      </c>
      <c r="C1161">
        <v>1933</v>
      </c>
      <c r="D1161">
        <v>5846</v>
      </c>
      <c r="F1161">
        <v>678306</v>
      </c>
    </row>
    <row r="1162" spans="1:6" x14ac:dyDescent="0.35">
      <c r="A1162" t="s">
        <v>250</v>
      </c>
      <c r="B1162" t="s">
        <v>20</v>
      </c>
      <c r="C1162">
        <v>1934</v>
      </c>
      <c r="D1162">
        <v>5576</v>
      </c>
      <c r="F1162">
        <v>647773</v>
      </c>
    </row>
    <row r="1163" spans="1:6" x14ac:dyDescent="0.35">
      <c r="A1163" t="s">
        <v>250</v>
      </c>
      <c r="B1163" t="s">
        <v>20</v>
      </c>
      <c r="C1163">
        <v>1935</v>
      </c>
      <c r="D1163">
        <v>5680</v>
      </c>
      <c r="F1163">
        <v>642795</v>
      </c>
    </row>
    <row r="1164" spans="1:6" x14ac:dyDescent="0.35">
      <c r="A1164" t="s">
        <v>250</v>
      </c>
      <c r="B1164" t="s">
        <v>20</v>
      </c>
      <c r="C1164">
        <v>1936</v>
      </c>
      <c r="D1164">
        <v>5339</v>
      </c>
      <c r="F1164">
        <v>622707</v>
      </c>
    </row>
    <row r="1165" spans="1:6" x14ac:dyDescent="0.35">
      <c r="A1165" t="s">
        <v>250</v>
      </c>
      <c r="B1165" t="s">
        <v>20</v>
      </c>
      <c r="C1165">
        <v>1937</v>
      </c>
      <c r="D1165">
        <v>4812</v>
      </c>
      <c r="F1165">
        <v>573312</v>
      </c>
    </row>
    <row r="1166" spans="1:6" x14ac:dyDescent="0.35">
      <c r="A1166" t="s">
        <v>250</v>
      </c>
      <c r="B1166" t="s">
        <v>20</v>
      </c>
      <c r="C1166">
        <v>1938</v>
      </c>
      <c r="D1166">
        <v>4615</v>
      </c>
      <c r="F1166">
        <v>511573</v>
      </c>
    </row>
    <row r="1167" spans="1:6" x14ac:dyDescent="0.35">
      <c r="A1167" t="s">
        <v>250</v>
      </c>
      <c r="B1167" t="s">
        <v>20</v>
      </c>
      <c r="C1167">
        <v>1939</v>
      </c>
      <c r="D1167">
        <v>4229</v>
      </c>
      <c r="F1167">
        <v>425233</v>
      </c>
    </row>
    <row r="1168" spans="1:6" x14ac:dyDescent="0.35">
      <c r="A1168" t="s">
        <v>250</v>
      </c>
      <c r="B1168" t="s">
        <v>20</v>
      </c>
      <c r="C1168">
        <v>1940</v>
      </c>
      <c r="D1168">
        <v>6480</v>
      </c>
      <c r="F1168">
        <v>633742</v>
      </c>
    </row>
    <row r="1169" spans="1:6" x14ac:dyDescent="0.35">
      <c r="A1169" t="s">
        <v>250</v>
      </c>
      <c r="B1169" t="s">
        <v>20</v>
      </c>
      <c r="C1169">
        <v>1941</v>
      </c>
      <c r="D1169">
        <v>4976</v>
      </c>
      <c r="F1169">
        <v>514243</v>
      </c>
    </row>
    <row r="1170" spans="1:6" x14ac:dyDescent="0.35">
      <c r="A1170" t="s">
        <v>250</v>
      </c>
      <c r="B1170" t="s">
        <v>20</v>
      </c>
      <c r="C1170">
        <v>1942</v>
      </c>
      <c r="D1170">
        <v>5193</v>
      </c>
      <c r="F1170">
        <v>534800</v>
      </c>
    </row>
    <row r="1171" spans="1:6" x14ac:dyDescent="0.35">
      <c r="A1171" t="s">
        <v>250</v>
      </c>
      <c r="B1171" t="s">
        <v>20</v>
      </c>
      <c r="C1171">
        <v>1943</v>
      </c>
      <c r="D1171">
        <v>5988</v>
      </c>
      <c r="F1171">
        <v>610964</v>
      </c>
    </row>
    <row r="1172" spans="1:6" x14ac:dyDescent="0.35">
      <c r="A1172" t="s">
        <v>250</v>
      </c>
      <c r="B1172" t="s">
        <v>20</v>
      </c>
      <c r="C1172">
        <v>1944</v>
      </c>
      <c r="D1172">
        <v>5927</v>
      </c>
      <c r="F1172">
        <v>606135</v>
      </c>
    </row>
    <row r="1173" spans="1:6" x14ac:dyDescent="0.35">
      <c r="A1173" t="s">
        <v>250</v>
      </c>
      <c r="B1173" t="s">
        <v>20</v>
      </c>
      <c r="C1173">
        <v>1945</v>
      </c>
      <c r="D1173">
        <v>6093</v>
      </c>
      <c r="F1173">
        <v>625516</v>
      </c>
    </row>
    <row r="1174" spans="1:6" x14ac:dyDescent="0.35">
      <c r="A1174" t="s">
        <v>250</v>
      </c>
      <c r="B1174" t="s">
        <v>20</v>
      </c>
      <c r="C1174">
        <v>1946</v>
      </c>
      <c r="D1174">
        <v>5966</v>
      </c>
      <c r="F1174">
        <v>584219</v>
      </c>
    </row>
    <row r="1175" spans="1:6" x14ac:dyDescent="0.35">
      <c r="A1175" t="s">
        <v>250</v>
      </c>
      <c r="B1175" t="s">
        <v>20</v>
      </c>
      <c r="C1175">
        <v>1947</v>
      </c>
      <c r="D1175">
        <v>5542</v>
      </c>
      <c r="F1175">
        <v>589563</v>
      </c>
    </row>
    <row r="1176" spans="1:6" x14ac:dyDescent="0.35">
      <c r="A1176" t="s">
        <v>250</v>
      </c>
      <c r="B1176" t="s">
        <v>20</v>
      </c>
      <c r="C1176">
        <v>1948</v>
      </c>
      <c r="D1176">
        <v>6236</v>
      </c>
      <c r="F1176">
        <v>643391</v>
      </c>
    </row>
    <row r="1177" spans="1:6" x14ac:dyDescent="0.35">
      <c r="A1177" t="s">
        <v>250</v>
      </c>
      <c r="B1177" t="s">
        <v>20</v>
      </c>
      <c r="C1177">
        <v>1949</v>
      </c>
      <c r="D1177">
        <v>5920</v>
      </c>
      <c r="F1177">
        <v>602999</v>
      </c>
    </row>
    <row r="1178" spans="1:6" x14ac:dyDescent="0.35">
      <c r="A1178" t="s">
        <v>250</v>
      </c>
      <c r="B1178" t="s">
        <v>20</v>
      </c>
      <c r="C1178">
        <v>1950</v>
      </c>
      <c r="D1178">
        <v>5528</v>
      </c>
      <c r="F1178">
        <v>566487</v>
      </c>
    </row>
    <row r="1179" spans="1:6" x14ac:dyDescent="0.35">
      <c r="A1179" t="s">
        <v>250</v>
      </c>
      <c r="B1179" t="s">
        <v>20</v>
      </c>
      <c r="C1179">
        <v>1951</v>
      </c>
      <c r="D1179">
        <v>5277</v>
      </c>
      <c r="F1179">
        <v>569443</v>
      </c>
    </row>
    <row r="1180" spans="1:6" x14ac:dyDescent="0.35">
      <c r="A1180" t="s">
        <v>250</v>
      </c>
      <c r="B1180" t="s">
        <v>20</v>
      </c>
      <c r="C1180">
        <v>1952</v>
      </c>
      <c r="D1180">
        <v>5496</v>
      </c>
      <c r="F1180">
        <v>596188</v>
      </c>
    </row>
    <row r="1181" spans="1:6" x14ac:dyDescent="0.35">
      <c r="A1181" t="s">
        <v>250</v>
      </c>
      <c r="B1181" t="s">
        <v>20</v>
      </c>
      <c r="C1181">
        <v>1953</v>
      </c>
      <c r="D1181">
        <v>5347</v>
      </c>
      <c r="F1181">
        <v>593221</v>
      </c>
    </row>
    <row r="1182" spans="1:6" x14ac:dyDescent="0.35">
      <c r="A1182" t="s">
        <v>250</v>
      </c>
      <c r="B1182" t="s">
        <v>20</v>
      </c>
      <c r="C1182">
        <v>1954</v>
      </c>
      <c r="D1182">
        <v>5320</v>
      </c>
      <c r="F1182">
        <v>581951</v>
      </c>
    </row>
    <row r="1183" spans="1:6" x14ac:dyDescent="0.35">
      <c r="A1183" t="s">
        <v>250</v>
      </c>
      <c r="B1183" t="s">
        <v>20</v>
      </c>
      <c r="C1183">
        <v>1955</v>
      </c>
      <c r="D1183">
        <v>5759</v>
      </c>
      <c r="F1183">
        <v>602408</v>
      </c>
    </row>
    <row r="1184" spans="1:6" x14ac:dyDescent="0.35">
      <c r="A1184" t="s">
        <v>250</v>
      </c>
      <c r="B1184" t="s">
        <v>20</v>
      </c>
      <c r="C1184">
        <v>1956</v>
      </c>
      <c r="D1184">
        <v>5884</v>
      </c>
      <c r="F1184">
        <v>611200</v>
      </c>
    </row>
    <row r="1185" spans="1:6" x14ac:dyDescent="0.35">
      <c r="A1185" t="s">
        <v>250</v>
      </c>
      <c r="B1185" t="s">
        <v>20</v>
      </c>
      <c r="C1185">
        <v>1957</v>
      </c>
      <c r="D1185">
        <v>6140</v>
      </c>
      <c r="F1185">
        <v>649650</v>
      </c>
    </row>
    <row r="1186" spans="1:6" x14ac:dyDescent="0.35">
      <c r="A1186" t="s">
        <v>250</v>
      </c>
      <c r="B1186" t="s">
        <v>20</v>
      </c>
      <c r="C1186">
        <v>1958</v>
      </c>
      <c r="D1186">
        <v>6240</v>
      </c>
      <c r="F1186">
        <v>656436</v>
      </c>
    </row>
    <row r="1187" spans="1:6" x14ac:dyDescent="0.35">
      <c r="A1187" t="s">
        <v>250</v>
      </c>
      <c r="B1187" t="s">
        <v>20</v>
      </c>
      <c r="C1187">
        <v>1959</v>
      </c>
      <c r="D1187">
        <v>6172</v>
      </c>
      <c r="F1187">
        <v>656934</v>
      </c>
    </row>
    <row r="1188" spans="1:6" x14ac:dyDescent="0.35">
      <c r="A1188" t="s">
        <v>250</v>
      </c>
      <c r="B1188" t="s">
        <v>20</v>
      </c>
      <c r="C1188">
        <v>1960</v>
      </c>
      <c r="D1188">
        <v>6491</v>
      </c>
      <c r="F1188">
        <v>665529</v>
      </c>
    </row>
    <row r="1189" spans="1:6" x14ac:dyDescent="0.35">
      <c r="A1189" t="s">
        <v>250</v>
      </c>
      <c r="B1189" t="s">
        <v>20</v>
      </c>
      <c r="C1189">
        <v>1961</v>
      </c>
      <c r="D1189">
        <v>6451</v>
      </c>
      <c r="F1189">
        <v>656118</v>
      </c>
    </row>
    <row r="1190" spans="1:6" x14ac:dyDescent="0.35">
      <c r="A1190" t="s">
        <v>250</v>
      </c>
      <c r="B1190" t="s">
        <v>20</v>
      </c>
      <c r="C1190">
        <v>1962</v>
      </c>
      <c r="D1190">
        <v>6155</v>
      </c>
      <c r="F1190">
        <v>660493</v>
      </c>
    </row>
    <row r="1191" spans="1:6" x14ac:dyDescent="0.35">
      <c r="A1191" t="s">
        <v>250</v>
      </c>
      <c r="B1191" t="s">
        <v>20</v>
      </c>
      <c r="C1191">
        <v>1963</v>
      </c>
      <c r="D1191">
        <v>6388</v>
      </c>
      <c r="F1191">
        <v>672251</v>
      </c>
    </row>
    <row r="1192" spans="1:6" x14ac:dyDescent="0.35">
      <c r="A1192" t="s">
        <v>250</v>
      </c>
      <c r="B1192" t="s">
        <v>20</v>
      </c>
      <c r="C1192">
        <v>1964</v>
      </c>
      <c r="D1192">
        <v>6758</v>
      </c>
      <c r="F1192">
        <v>696936</v>
      </c>
    </row>
    <row r="1193" spans="1:6" x14ac:dyDescent="0.35">
      <c r="A1193" t="s">
        <v>250</v>
      </c>
      <c r="B1193" t="s">
        <v>20</v>
      </c>
      <c r="C1193">
        <v>1965</v>
      </c>
      <c r="D1193">
        <v>6531</v>
      </c>
      <c r="F1193">
        <v>675293</v>
      </c>
    </row>
    <row r="1194" spans="1:6" x14ac:dyDescent="0.35">
      <c r="A1194" t="s">
        <v>250</v>
      </c>
      <c r="B1194" t="s">
        <v>20</v>
      </c>
      <c r="C1194">
        <v>1966</v>
      </c>
      <c r="D1194">
        <v>6177</v>
      </c>
      <c r="F1194">
        <v>668756</v>
      </c>
    </row>
    <row r="1195" spans="1:6" x14ac:dyDescent="0.35">
      <c r="A1195" t="s">
        <v>250</v>
      </c>
      <c r="B1195" t="s">
        <v>20</v>
      </c>
      <c r="C1195">
        <v>1967</v>
      </c>
      <c r="D1195">
        <v>6168</v>
      </c>
      <c r="F1195">
        <v>678783</v>
      </c>
    </row>
    <row r="1196" spans="1:6" x14ac:dyDescent="0.35">
      <c r="A1196" t="s">
        <v>250</v>
      </c>
      <c r="B1196" t="s">
        <v>20</v>
      </c>
      <c r="C1196">
        <v>1968</v>
      </c>
      <c r="D1196">
        <v>5948</v>
      </c>
      <c r="F1196">
        <v>666239</v>
      </c>
    </row>
    <row r="1197" spans="1:6" x14ac:dyDescent="0.35">
      <c r="A1197" t="s">
        <v>250</v>
      </c>
      <c r="B1197" t="s">
        <v>20</v>
      </c>
      <c r="C1197">
        <v>1969</v>
      </c>
      <c r="D1197">
        <v>5824</v>
      </c>
      <c r="F1197">
        <v>664516</v>
      </c>
    </row>
    <row r="1198" spans="1:6" x14ac:dyDescent="0.35">
      <c r="A1198" t="s">
        <v>250</v>
      </c>
      <c r="B1198" t="s">
        <v>20</v>
      </c>
      <c r="C1198">
        <v>1970</v>
      </c>
      <c r="D1198">
        <v>5915</v>
      </c>
      <c r="F1198">
        <v>660905</v>
      </c>
    </row>
    <row r="1199" spans="1:6" x14ac:dyDescent="0.35">
      <c r="A1199" t="s">
        <v>250</v>
      </c>
      <c r="B1199" t="s">
        <v>20</v>
      </c>
      <c r="C1199">
        <v>1971</v>
      </c>
      <c r="D1199">
        <v>5448</v>
      </c>
      <c r="F1199">
        <v>669871</v>
      </c>
    </row>
    <row r="1200" spans="1:6" x14ac:dyDescent="0.35">
      <c r="A1200" t="s">
        <v>250</v>
      </c>
      <c r="B1200" t="s">
        <v>20</v>
      </c>
      <c r="C1200">
        <v>1972</v>
      </c>
      <c r="D1200">
        <v>5577</v>
      </c>
      <c r="F1200">
        <v>669960</v>
      </c>
    </row>
    <row r="1201" spans="1:6" x14ac:dyDescent="0.35">
      <c r="A1201" t="s">
        <v>250</v>
      </c>
      <c r="B1201" t="s">
        <v>20</v>
      </c>
      <c r="C1201">
        <v>1973</v>
      </c>
      <c r="D1201">
        <v>5469</v>
      </c>
      <c r="F1201">
        <v>669678</v>
      </c>
    </row>
    <row r="1202" spans="1:6" x14ac:dyDescent="0.35">
      <c r="A1202" t="s">
        <v>250</v>
      </c>
      <c r="B1202" t="s">
        <v>20</v>
      </c>
      <c r="C1202">
        <v>1974</v>
      </c>
      <c r="D1202">
        <v>5425</v>
      </c>
      <c r="F1202">
        <v>684668</v>
      </c>
    </row>
    <row r="1203" spans="1:6" x14ac:dyDescent="0.35">
      <c r="A1203" t="s">
        <v>250</v>
      </c>
      <c r="B1203" t="s">
        <v>20</v>
      </c>
      <c r="C1203">
        <v>1975</v>
      </c>
      <c r="D1203">
        <v>5839</v>
      </c>
      <c r="F1203">
        <v>665075</v>
      </c>
    </row>
    <row r="1204" spans="1:6" x14ac:dyDescent="0.35">
      <c r="A1204" t="s">
        <v>250</v>
      </c>
      <c r="B1204" t="s">
        <v>20</v>
      </c>
      <c r="C1204">
        <v>1976</v>
      </c>
      <c r="D1204">
        <v>5815</v>
      </c>
      <c r="F1204">
        <v>672935</v>
      </c>
    </row>
    <row r="1205" spans="1:6" x14ac:dyDescent="0.35">
      <c r="A1205" t="s">
        <v>250</v>
      </c>
      <c r="B1205" t="s">
        <v>20</v>
      </c>
      <c r="C1205">
        <v>1977</v>
      </c>
      <c r="D1205">
        <v>5593</v>
      </c>
      <c r="F1205">
        <v>651674</v>
      </c>
    </row>
    <row r="1206" spans="1:6" x14ac:dyDescent="0.35">
      <c r="A1206" t="s">
        <v>250</v>
      </c>
      <c r="B1206" t="s">
        <v>20</v>
      </c>
      <c r="C1206">
        <v>1978</v>
      </c>
      <c r="D1206">
        <v>5256</v>
      </c>
      <c r="F1206">
        <v>632073</v>
      </c>
    </row>
    <row r="1207" spans="1:6" x14ac:dyDescent="0.35">
      <c r="A1207" t="s">
        <v>250</v>
      </c>
      <c r="B1207" t="s">
        <v>20</v>
      </c>
      <c r="C1207">
        <v>1979</v>
      </c>
      <c r="D1207">
        <v>4908</v>
      </c>
      <c r="F1207">
        <v>597223</v>
      </c>
    </row>
    <row r="1208" spans="1:6" x14ac:dyDescent="0.35">
      <c r="A1208" t="s">
        <v>250</v>
      </c>
      <c r="B1208" t="s">
        <v>20</v>
      </c>
      <c r="C1208">
        <v>1980</v>
      </c>
      <c r="D1208">
        <v>4266</v>
      </c>
      <c r="F1208">
        <v>566763</v>
      </c>
    </row>
    <row r="1209" spans="1:6" x14ac:dyDescent="0.35">
      <c r="A1209" t="s">
        <v>250</v>
      </c>
      <c r="B1209" t="s">
        <v>20</v>
      </c>
      <c r="C1209">
        <v>1981</v>
      </c>
      <c r="D1209">
        <v>4786</v>
      </c>
      <c r="F1209">
        <v>526925</v>
      </c>
    </row>
    <row r="1210" spans="1:6" x14ac:dyDescent="0.35">
      <c r="A1210" t="s">
        <v>250</v>
      </c>
      <c r="B1210" t="s">
        <v>20</v>
      </c>
      <c r="C1210">
        <v>1982</v>
      </c>
      <c r="D1210">
        <v>5124</v>
      </c>
      <c r="F1210">
        <v>508070</v>
      </c>
    </row>
    <row r="1211" spans="1:6" x14ac:dyDescent="0.35">
      <c r="A1211" t="s">
        <v>250</v>
      </c>
      <c r="B1211" t="s">
        <v>20</v>
      </c>
      <c r="C1211">
        <v>1983</v>
      </c>
      <c r="D1211">
        <v>3349</v>
      </c>
      <c r="F1211">
        <v>481570</v>
      </c>
    </row>
    <row r="1212" spans="1:6" x14ac:dyDescent="0.35">
      <c r="A1212" t="s">
        <v>250</v>
      </c>
      <c r="B1212" t="s">
        <v>20</v>
      </c>
      <c r="C1212">
        <v>1984</v>
      </c>
      <c r="D1212">
        <v>3463</v>
      </c>
      <c r="F1212">
        <v>469029</v>
      </c>
    </row>
    <row r="1213" spans="1:6" x14ac:dyDescent="0.35">
      <c r="A1213" t="s">
        <v>250</v>
      </c>
      <c r="B1213" t="s">
        <v>20</v>
      </c>
      <c r="C1213">
        <v>1985</v>
      </c>
      <c r="D1213">
        <v>3376</v>
      </c>
      <c r="F1213">
        <v>452290</v>
      </c>
    </row>
    <row r="1214" spans="1:6" x14ac:dyDescent="0.35">
      <c r="A1214" t="s">
        <v>250</v>
      </c>
      <c r="B1214" t="s">
        <v>20</v>
      </c>
      <c r="C1214">
        <v>1986</v>
      </c>
      <c r="D1214">
        <v>3582</v>
      </c>
      <c r="F1214">
        <v>434003</v>
      </c>
    </row>
    <row r="1215" spans="1:6" x14ac:dyDescent="0.35">
      <c r="A1215" t="s">
        <v>250</v>
      </c>
      <c r="B1215" t="s">
        <v>20</v>
      </c>
      <c r="C1215">
        <v>1987</v>
      </c>
      <c r="D1215">
        <v>3624</v>
      </c>
      <c r="F1215">
        <v>421548</v>
      </c>
    </row>
    <row r="1216" spans="1:6" x14ac:dyDescent="0.35">
      <c r="A1216" t="s">
        <v>250</v>
      </c>
      <c r="B1216" t="s">
        <v>20</v>
      </c>
      <c r="C1216">
        <v>1988</v>
      </c>
      <c r="D1216">
        <v>3493</v>
      </c>
      <c r="F1216">
        <v>413818</v>
      </c>
    </row>
    <row r="1217" spans="1:6" x14ac:dyDescent="0.35">
      <c r="A1217" t="s">
        <v>250</v>
      </c>
      <c r="B1217" t="s">
        <v>20</v>
      </c>
      <c r="C1217">
        <v>1989</v>
      </c>
      <c r="D1217">
        <v>3519</v>
      </c>
      <c r="F1217">
        <v>402903</v>
      </c>
    </row>
    <row r="1218" spans="1:6" x14ac:dyDescent="0.35">
      <c r="A1218" t="s">
        <v>250</v>
      </c>
      <c r="B1218" t="s">
        <v>20</v>
      </c>
      <c r="C1218">
        <v>1990</v>
      </c>
      <c r="D1218">
        <v>3580</v>
      </c>
      <c r="F1218">
        <v>395580</v>
      </c>
    </row>
    <row r="1219" spans="1:6" x14ac:dyDescent="0.35">
      <c r="A1219" t="s">
        <v>250</v>
      </c>
      <c r="B1219" t="s">
        <v>20</v>
      </c>
      <c r="C1219">
        <v>1991</v>
      </c>
      <c r="D1219">
        <v>3590</v>
      </c>
      <c r="F1219">
        <v>390066</v>
      </c>
    </row>
    <row r="1220" spans="1:6" x14ac:dyDescent="0.35">
      <c r="A1220" t="s">
        <v>250</v>
      </c>
      <c r="B1220" t="s">
        <v>20</v>
      </c>
      <c r="C1220">
        <v>1992</v>
      </c>
      <c r="D1220">
        <v>3655</v>
      </c>
      <c r="F1220">
        <v>390746</v>
      </c>
    </row>
    <row r="1221" spans="1:6" x14ac:dyDescent="0.35">
      <c r="A1221" t="s">
        <v>250</v>
      </c>
      <c r="B1221" t="s">
        <v>20</v>
      </c>
      <c r="C1221">
        <v>1993</v>
      </c>
      <c r="D1221">
        <v>3745</v>
      </c>
      <c r="F1221">
        <v>379452</v>
      </c>
    </row>
    <row r="1222" spans="1:6" x14ac:dyDescent="0.35">
      <c r="A1222" t="s">
        <v>250</v>
      </c>
      <c r="B1222" t="s">
        <v>20</v>
      </c>
      <c r="C1222">
        <v>1994</v>
      </c>
      <c r="D1222">
        <v>4009</v>
      </c>
      <c r="F1222">
        <v>363140</v>
      </c>
    </row>
    <row r="1223" spans="1:6" x14ac:dyDescent="0.35">
      <c r="A1223" t="s">
        <v>250</v>
      </c>
      <c r="B1223" t="s">
        <v>20</v>
      </c>
      <c r="C1223">
        <v>1995</v>
      </c>
      <c r="D1223">
        <v>4167</v>
      </c>
      <c r="F1223">
        <v>356066</v>
      </c>
    </row>
    <row r="1224" spans="1:6" x14ac:dyDescent="0.35">
      <c r="A1224" t="s">
        <v>250</v>
      </c>
      <c r="B1224" t="s">
        <v>20</v>
      </c>
      <c r="C1224">
        <v>1996</v>
      </c>
      <c r="D1224">
        <v>4433</v>
      </c>
      <c r="F1224">
        <v>354729</v>
      </c>
    </row>
    <row r="1225" spans="1:6" x14ac:dyDescent="0.35">
      <c r="A1225" t="s">
        <v>250</v>
      </c>
      <c r="B1225" t="s">
        <v>20</v>
      </c>
      <c r="C1225">
        <v>1997</v>
      </c>
      <c r="D1225">
        <v>4649</v>
      </c>
      <c r="F1225">
        <v>360743</v>
      </c>
    </row>
    <row r="1226" spans="1:6" x14ac:dyDescent="0.35">
      <c r="A1226" t="s">
        <v>250</v>
      </c>
      <c r="B1226" t="s">
        <v>20</v>
      </c>
      <c r="C1226">
        <v>1998</v>
      </c>
      <c r="D1226">
        <v>4820</v>
      </c>
      <c r="F1226">
        <v>356378</v>
      </c>
    </row>
    <row r="1227" spans="1:6" x14ac:dyDescent="0.35">
      <c r="A1227" t="s">
        <v>250</v>
      </c>
      <c r="B1227" t="s">
        <v>20</v>
      </c>
      <c r="C1227">
        <v>1999</v>
      </c>
      <c r="D1227">
        <v>5457</v>
      </c>
      <c r="F1227">
        <v>370003</v>
      </c>
    </row>
    <row r="1228" spans="1:6" x14ac:dyDescent="0.35">
      <c r="A1228" t="s">
        <v>250</v>
      </c>
      <c r="B1228" t="s">
        <v>20</v>
      </c>
      <c r="C1228">
        <v>2000</v>
      </c>
      <c r="D1228">
        <v>5975</v>
      </c>
      <c r="F1228">
        <v>386336</v>
      </c>
    </row>
    <row r="1229" spans="1:6" x14ac:dyDescent="0.35">
      <c r="A1229" t="s">
        <v>250</v>
      </c>
      <c r="B1229" t="s">
        <v>20</v>
      </c>
      <c r="C1229">
        <v>2001</v>
      </c>
      <c r="D1229">
        <v>6234</v>
      </c>
      <c r="F1229">
        <v>394507</v>
      </c>
    </row>
    <row r="1230" spans="1:6" x14ac:dyDescent="0.35">
      <c r="A1230" t="s">
        <v>250</v>
      </c>
      <c r="B1230" t="s">
        <v>20</v>
      </c>
      <c r="C1230">
        <v>2002</v>
      </c>
      <c r="D1230">
        <v>6929</v>
      </c>
      <c r="F1230">
        <v>405512</v>
      </c>
    </row>
    <row r="1231" spans="1:6" x14ac:dyDescent="0.35">
      <c r="A1231" t="s">
        <v>250</v>
      </c>
      <c r="B1231" t="s">
        <v>20</v>
      </c>
      <c r="C1231">
        <v>2003</v>
      </c>
      <c r="D1231">
        <v>7499</v>
      </c>
      <c r="F1231">
        <v>427457</v>
      </c>
    </row>
    <row r="1232" spans="1:6" x14ac:dyDescent="0.35">
      <c r="A1232" t="s">
        <v>250</v>
      </c>
      <c r="B1232" t="s">
        <v>20</v>
      </c>
      <c r="C1232">
        <v>2004</v>
      </c>
      <c r="D1232">
        <v>7712</v>
      </c>
      <c r="F1232">
        <v>439806</v>
      </c>
    </row>
    <row r="1233" spans="1:6" x14ac:dyDescent="0.35">
      <c r="A1233" t="s">
        <v>250</v>
      </c>
      <c r="B1233" t="s">
        <v>20</v>
      </c>
      <c r="C1233">
        <v>2005</v>
      </c>
      <c r="D1233">
        <v>8225</v>
      </c>
      <c r="F1233">
        <v>450831</v>
      </c>
    </row>
    <row r="1234" spans="1:6" x14ac:dyDescent="0.35">
      <c r="A1234" t="s">
        <v>250</v>
      </c>
      <c r="B1234" t="s">
        <v>20</v>
      </c>
      <c r="C1234">
        <v>2006</v>
      </c>
      <c r="D1234">
        <v>8510</v>
      </c>
      <c r="F1234">
        <v>466913</v>
      </c>
    </row>
    <row r="1235" spans="1:6" x14ac:dyDescent="0.35">
      <c r="A1235" t="s">
        <v>250</v>
      </c>
      <c r="B1235" t="s">
        <v>20</v>
      </c>
      <c r="C1235">
        <v>2007</v>
      </c>
      <c r="D1235">
        <v>9254</v>
      </c>
      <c r="F1235">
        <v>474833</v>
      </c>
    </row>
    <row r="1236" spans="1:6" x14ac:dyDescent="0.35">
      <c r="A1236" t="s">
        <v>250</v>
      </c>
      <c r="B1236" t="s">
        <v>20</v>
      </c>
      <c r="C1236">
        <v>2008</v>
      </c>
      <c r="D1236">
        <v>9696</v>
      </c>
      <c r="F1236">
        <v>501334</v>
      </c>
    </row>
    <row r="1237" spans="1:6" x14ac:dyDescent="0.35">
      <c r="A1237" t="s">
        <v>250</v>
      </c>
      <c r="B1237" t="s">
        <v>20</v>
      </c>
      <c r="C1237">
        <v>2009</v>
      </c>
      <c r="D1237">
        <v>9965</v>
      </c>
      <c r="F1237">
        <v>475926</v>
      </c>
    </row>
    <row r="1238" spans="1:6" x14ac:dyDescent="0.35">
      <c r="A1238" t="s">
        <v>250</v>
      </c>
      <c r="B1238" t="s">
        <v>20</v>
      </c>
      <c r="C1238">
        <v>2010</v>
      </c>
      <c r="D1238">
        <v>9653</v>
      </c>
      <c r="F1238">
        <v>468191</v>
      </c>
    </row>
    <row r="1239" spans="1:6" x14ac:dyDescent="0.35">
      <c r="A1239" t="s">
        <v>250</v>
      </c>
      <c r="B1239" t="s">
        <v>20</v>
      </c>
      <c r="C1239">
        <v>2011</v>
      </c>
      <c r="D1239">
        <v>9629</v>
      </c>
      <c r="F1239">
        <v>453763</v>
      </c>
    </row>
    <row r="1240" spans="1:6" x14ac:dyDescent="0.35">
      <c r="A1240" t="s">
        <v>250</v>
      </c>
      <c r="B1240" t="s">
        <v>20</v>
      </c>
      <c r="C1240">
        <v>2012</v>
      </c>
      <c r="D1240">
        <v>9796</v>
      </c>
      <c r="F1240">
        <v>436096</v>
      </c>
    </row>
    <row r="1241" spans="1:6" x14ac:dyDescent="0.35">
      <c r="A1241" t="s">
        <v>250</v>
      </c>
      <c r="B1241" t="s">
        <v>20</v>
      </c>
      <c r="C1241">
        <v>2013</v>
      </c>
      <c r="D1241">
        <v>8870</v>
      </c>
      <c r="F1241">
        <v>409008</v>
      </c>
    </row>
    <row r="1242" spans="1:6" x14ac:dyDescent="0.35">
      <c r="A1242" t="s">
        <v>250</v>
      </c>
      <c r="B1242" t="s">
        <v>20</v>
      </c>
      <c r="C1242">
        <v>2014</v>
      </c>
      <c r="D1242">
        <v>9493</v>
      </c>
      <c r="F1242">
        <v>409597</v>
      </c>
    </row>
    <row r="1243" spans="1:6" x14ac:dyDescent="0.35">
      <c r="A1243" t="s">
        <v>250</v>
      </c>
      <c r="B1243" t="s">
        <v>20</v>
      </c>
      <c r="C1243">
        <v>2015</v>
      </c>
      <c r="D1243">
        <v>9101</v>
      </c>
      <c r="F1243">
        <v>403050</v>
      </c>
    </row>
    <row r="1244" spans="1:6" x14ac:dyDescent="0.35">
      <c r="A1244" t="s">
        <v>250</v>
      </c>
      <c r="B1244" t="s">
        <v>20</v>
      </c>
      <c r="C1244">
        <v>2016</v>
      </c>
      <c r="D1244">
        <v>8899</v>
      </c>
      <c r="F1244">
        <v>393801</v>
      </c>
    </row>
    <row r="1245" spans="1:6" x14ac:dyDescent="0.35">
      <c r="A1245" t="s">
        <v>250</v>
      </c>
      <c r="B1245" t="s">
        <v>20</v>
      </c>
      <c r="C1245">
        <v>2017</v>
      </c>
      <c r="D1245">
        <v>8134</v>
      </c>
      <c r="F1245">
        <v>377906</v>
      </c>
    </row>
    <row r="1246" spans="1:6" x14ac:dyDescent="0.35">
      <c r="A1246" t="s">
        <v>250</v>
      </c>
      <c r="B1246" t="s">
        <v>20</v>
      </c>
      <c r="C1246">
        <v>2018</v>
      </c>
      <c r="D1246">
        <v>7170</v>
      </c>
      <c r="F1246">
        <v>359383</v>
      </c>
    </row>
    <row r="1247" spans="1:6" x14ac:dyDescent="0.35">
      <c r="A1247" t="s">
        <v>250</v>
      </c>
      <c r="B1247" t="s">
        <v>20</v>
      </c>
      <c r="C1247">
        <v>2019</v>
      </c>
      <c r="D1247">
        <v>6372</v>
      </c>
      <c r="F1247">
        <v>348812</v>
      </c>
    </row>
    <row r="1248" spans="1:6" x14ac:dyDescent="0.35">
      <c r="A1248" t="s">
        <v>250</v>
      </c>
      <c r="B1248" t="s">
        <v>20</v>
      </c>
      <c r="C1248">
        <v>2020</v>
      </c>
      <c r="D1248">
        <v>5479</v>
      </c>
      <c r="F1248">
        <v>331204</v>
      </c>
    </row>
    <row r="1249" spans="1:6" x14ac:dyDescent="0.35">
      <c r="A1249" t="s">
        <v>250</v>
      </c>
      <c r="B1249" t="s">
        <v>20</v>
      </c>
      <c r="C1249">
        <v>1863</v>
      </c>
      <c r="D1249">
        <v>5611</v>
      </c>
      <c r="F1249">
        <v>595281</v>
      </c>
    </row>
    <row r="1250" spans="1:6" x14ac:dyDescent="0.35">
      <c r="A1250" t="s">
        <v>250</v>
      </c>
      <c r="B1250" t="s">
        <v>20</v>
      </c>
      <c r="C1250">
        <v>1864</v>
      </c>
      <c r="D1250">
        <v>5699</v>
      </c>
      <c r="F1250">
        <v>617746</v>
      </c>
    </row>
    <row r="1251" spans="1:6" x14ac:dyDescent="0.35">
      <c r="A1251" t="s">
        <v>250</v>
      </c>
      <c r="B1251" t="s">
        <v>20</v>
      </c>
      <c r="C1251">
        <v>1865</v>
      </c>
      <c r="D1251">
        <v>5434</v>
      </c>
      <c r="F1251">
        <v>610858</v>
      </c>
    </row>
    <row r="1252" spans="1:6" x14ac:dyDescent="0.35">
      <c r="A1252" t="s">
        <v>250</v>
      </c>
      <c r="B1252" t="s">
        <v>20</v>
      </c>
      <c r="C1252">
        <v>1866</v>
      </c>
      <c r="D1252">
        <v>5048</v>
      </c>
      <c r="F1252">
        <v>608525</v>
      </c>
    </row>
    <row r="1253" spans="1:6" x14ac:dyDescent="0.35">
      <c r="A1253" t="s">
        <v>250</v>
      </c>
      <c r="B1253" t="s">
        <v>20</v>
      </c>
      <c r="C1253">
        <v>1867</v>
      </c>
      <c r="D1253">
        <v>5432</v>
      </c>
      <c r="F1253">
        <v>613155</v>
      </c>
    </row>
    <row r="1254" spans="1:6" x14ac:dyDescent="0.35">
      <c r="A1254" t="s">
        <v>250</v>
      </c>
      <c r="B1254" t="s">
        <v>20</v>
      </c>
      <c r="C1254">
        <v>1868</v>
      </c>
      <c r="D1254">
        <v>4656</v>
      </c>
      <c r="F1254">
        <v>570002</v>
      </c>
    </row>
    <row r="1255" spans="1:6" x14ac:dyDescent="0.35">
      <c r="A1255" t="s">
        <v>250</v>
      </c>
      <c r="B1255" t="s">
        <v>20</v>
      </c>
      <c r="C1255">
        <v>1869</v>
      </c>
      <c r="D1255">
        <v>5032</v>
      </c>
      <c r="F1255">
        <v>591962</v>
      </c>
    </row>
    <row r="1256" spans="1:6" x14ac:dyDescent="0.35">
      <c r="A1256" t="s">
        <v>250</v>
      </c>
      <c r="B1256" t="s">
        <v>20</v>
      </c>
      <c r="C1256">
        <v>1870</v>
      </c>
      <c r="D1256">
        <v>4507</v>
      </c>
      <c r="F1256">
        <v>589078</v>
      </c>
    </row>
    <row r="1257" spans="1:6" x14ac:dyDescent="0.35">
      <c r="A1257" t="s">
        <v>250</v>
      </c>
      <c r="B1257" t="s">
        <v>20</v>
      </c>
      <c r="C1257">
        <v>1900</v>
      </c>
      <c r="D1257">
        <v>5427</v>
      </c>
      <c r="F1257">
        <v>616941</v>
      </c>
    </row>
    <row r="1258" spans="1:6" x14ac:dyDescent="0.35">
      <c r="A1258" t="s">
        <v>250</v>
      </c>
      <c r="B1258" t="s">
        <v>20</v>
      </c>
      <c r="C1258">
        <v>1901</v>
      </c>
      <c r="D1258">
        <v>5676</v>
      </c>
      <c r="F1258">
        <v>654739</v>
      </c>
    </row>
    <row r="1259" spans="1:6" x14ac:dyDescent="0.35">
      <c r="A1259" t="s">
        <v>250</v>
      </c>
      <c r="B1259" t="s">
        <v>20</v>
      </c>
      <c r="C1259">
        <v>1902</v>
      </c>
      <c r="D1259">
        <v>5675</v>
      </c>
      <c r="F1259">
        <v>671604</v>
      </c>
    </row>
    <row r="1260" spans="1:6" x14ac:dyDescent="0.35">
      <c r="A1260" t="s">
        <v>250</v>
      </c>
      <c r="B1260" t="s">
        <v>20</v>
      </c>
      <c r="C1260">
        <v>1903</v>
      </c>
      <c r="D1260">
        <v>5970</v>
      </c>
      <c r="F1260">
        <v>691435</v>
      </c>
    </row>
    <row r="1261" spans="1:6" x14ac:dyDescent="0.35">
      <c r="A1261" t="s">
        <v>250</v>
      </c>
      <c r="B1261" t="s">
        <v>20</v>
      </c>
      <c r="C1261">
        <v>1904</v>
      </c>
      <c r="D1261">
        <v>5543</v>
      </c>
      <c r="F1261">
        <v>655873</v>
      </c>
    </row>
    <row r="1262" spans="1:6" x14ac:dyDescent="0.35">
      <c r="A1262" t="s">
        <v>250</v>
      </c>
      <c r="B1262" t="s">
        <v>20</v>
      </c>
      <c r="C1262">
        <v>1905</v>
      </c>
      <c r="D1262">
        <v>5672</v>
      </c>
      <c r="F1262">
        <v>676522</v>
      </c>
    </row>
    <row r="1263" spans="1:6" x14ac:dyDescent="0.35">
      <c r="A1263" t="s">
        <v>250</v>
      </c>
      <c r="B1263" t="s">
        <v>20</v>
      </c>
      <c r="C1263">
        <v>1906</v>
      </c>
      <c r="D1263">
        <v>5441</v>
      </c>
      <c r="F1263">
        <v>655814</v>
      </c>
    </row>
    <row r="1264" spans="1:6" x14ac:dyDescent="0.35">
      <c r="A1264" t="s">
        <v>250</v>
      </c>
      <c r="B1264" t="s">
        <v>20</v>
      </c>
      <c r="C1264">
        <v>1907</v>
      </c>
      <c r="D1264">
        <v>5417</v>
      </c>
      <c r="F1264">
        <v>650982</v>
      </c>
    </row>
    <row r="1265" spans="1:6" x14ac:dyDescent="0.35">
      <c r="A1265" t="s">
        <v>250</v>
      </c>
      <c r="B1265" t="s">
        <v>20</v>
      </c>
      <c r="C1265">
        <v>1908</v>
      </c>
      <c r="D1265">
        <v>5476</v>
      </c>
      <c r="F1265">
        <v>663289</v>
      </c>
    </row>
    <row r="1266" spans="1:6" x14ac:dyDescent="0.35">
      <c r="A1266" t="s">
        <v>250</v>
      </c>
      <c r="B1266" t="s">
        <v>20</v>
      </c>
      <c r="C1266">
        <v>1909</v>
      </c>
      <c r="D1266">
        <v>5734</v>
      </c>
      <c r="F1266">
        <v>655036</v>
      </c>
    </row>
    <row r="1267" spans="1:6" x14ac:dyDescent="0.35">
      <c r="A1267" t="s">
        <v>250</v>
      </c>
      <c r="B1267" t="s">
        <v>20</v>
      </c>
      <c r="C1267">
        <v>1910</v>
      </c>
      <c r="D1267">
        <v>5414</v>
      </c>
      <c r="F1267">
        <v>652162</v>
      </c>
    </row>
    <row r="1268" spans="1:6" x14ac:dyDescent="0.35">
      <c r="A1268" t="s">
        <v>250</v>
      </c>
      <c r="B1268" t="s">
        <v>20</v>
      </c>
      <c r="C1268">
        <v>1911</v>
      </c>
      <c r="D1268">
        <v>5381</v>
      </c>
      <c r="F1268">
        <v>633505</v>
      </c>
    </row>
    <row r="1269" spans="1:6" x14ac:dyDescent="0.35">
      <c r="A1269" t="s">
        <v>250</v>
      </c>
      <c r="B1269" t="s">
        <v>20</v>
      </c>
      <c r="C1269">
        <v>1912</v>
      </c>
      <c r="D1269">
        <v>5695</v>
      </c>
      <c r="F1269">
        <v>643004</v>
      </c>
    </row>
    <row r="1270" spans="1:6" x14ac:dyDescent="0.35">
      <c r="A1270" t="s">
        <v>250</v>
      </c>
      <c r="B1270" t="s">
        <v>20</v>
      </c>
      <c r="C1270">
        <v>1913</v>
      </c>
      <c r="D1270">
        <v>5275</v>
      </c>
      <c r="F1270">
        <v>623702</v>
      </c>
    </row>
    <row r="1271" spans="1:6" x14ac:dyDescent="0.35">
      <c r="A1271" t="s">
        <v>250</v>
      </c>
      <c r="B1271" t="s">
        <v>20</v>
      </c>
      <c r="C1271">
        <v>1914</v>
      </c>
      <c r="D1271">
        <v>5186</v>
      </c>
      <c r="F1271">
        <v>614474</v>
      </c>
    </row>
    <row r="1272" spans="1:6" x14ac:dyDescent="0.35">
      <c r="A1272" t="s">
        <v>250</v>
      </c>
      <c r="B1272" t="s">
        <v>20</v>
      </c>
      <c r="C1272">
        <v>1915</v>
      </c>
      <c r="D1272">
        <v>5175</v>
      </c>
      <c r="F1272">
        <v>620971</v>
      </c>
    </row>
    <row r="1273" spans="1:6" x14ac:dyDescent="0.35">
      <c r="A1273" t="s">
        <v>250</v>
      </c>
      <c r="B1273" t="s">
        <v>20</v>
      </c>
      <c r="C1273">
        <v>1916</v>
      </c>
      <c r="D1273">
        <v>5020</v>
      </c>
      <c r="F1273">
        <v>605370</v>
      </c>
    </row>
    <row r="1274" spans="1:6" x14ac:dyDescent="0.35">
      <c r="A1274" t="s">
        <v>250</v>
      </c>
      <c r="B1274" t="s">
        <v>20</v>
      </c>
      <c r="C1274">
        <v>1917</v>
      </c>
      <c r="D1274">
        <v>5049</v>
      </c>
      <c r="F1274">
        <v>608469</v>
      </c>
    </row>
    <row r="1275" spans="1:6" x14ac:dyDescent="0.35">
      <c r="A1275" t="s">
        <v>250</v>
      </c>
      <c r="B1275" t="s">
        <v>20</v>
      </c>
      <c r="C1275">
        <v>1918</v>
      </c>
      <c r="D1275">
        <v>5134</v>
      </c>
      <c r="F1275">
        <v>619647</v>
      </c>
    </row>
    <row r="1276" spans="1:6" x14ac:dyDescent="0.35">
      <c r="A1276" t="s">
        <v>250</v>
      </c>
      <c r="B1276" t="s">
        <v>20</v>
      </c>
      <c r="C1276">
        <v>1919</v>
      </c>
      <c r="D1276">
        <v>4670</v>
      </c>
      <c r="F1276">
        <v>592158</v>
      </c>
    </row>
    <row r="1277" spans="1:6" x14ac:dyDescent="0.35">
      <c r="A1277" t="s">
        <v>250</v>
      </c>
      <c r="B1277" t="s">
        <v>20</v>
      </c>
      <c r="C1277">
        <v>1920</v>
      </c>
      <c r="D1277">
        <v>4658</v>
      </c>
      <c r="F1277">
        <v>630635</v>
      </c>
    </row>
    <row r="1278" spans="1:6" x14ac:dyDescent="0.35">
      <c r="A1278" t="s">
        <v>250</v>
      </c>
      <c r="B1278" t="s">
        <v>20</v>
      </c>
      <c r="C1278">
        <v>1921</v>
      </c>
      <c r="D1278">
        <v>5017</v>
      </c>
      <c r="F1278">
        <v>656415</v>
      </c>
    </row>
    <row r="1279" spans="1:6" x14ac:dyDescent="0.35">
      <c r="A1279" t="s">
        <v>250</v>
      </c>
      <c r="B1279" t="s">
        <v>20</v>
      </c>
      <c r="C1279">
        <v>1922</v>
      </c>
      <c r="D1279">
        <v>5052</v>
      </c>
      <c r="F1279">
        <v>663365</v>
      </c>
    </row>
    <row r="1280" spans="1:6" x14ac:dyDescent="0.35">
      <c r="A1280" t="s">
        <v>250</v>
      </c>
      <c r="B1280" t="s">
        <v>20</v>
      </c>
      <c r="C1280">
        <v>1923</v>
      </c>
      <c r="D1280">
        <v>5413</v>
      </c>
      <c r="F1280">
        <v>670229</v>
      </c>
    </row>
    <row r="1281" spans="1:6" x14ac:dyDescent="0.35">
      <c r="A1281" t="s">
        <v>250</v>
      </c>
      <c r="B1281" t="s">
        <v>20</v>
      </c>
      <c r="C1281">
        <v>1924</v>
      </c>
      <c r="D1281">
        <v>5460</v>
      </c>
      <c r="F1281">
        <v>661343</v>
      </c>
    </row>
    <row r="1282" spans="1:6" x14ac:dyDescent="0.35">
      <c r="A1282" t="s">
        <v>250</v>
      </c>
      <c r="B1282" t="s">
        <v>20</v>
      </c>
      <c r="C1282">
        <v>1925</v>
      </c>
      <c r="D1282">
        <v>5480</v>
      </c>
      <c r="F1282">
        <v>652898</v>
      </c>
    </row>
    <row r="1283" spans="1:6" x14ac:dyDescent="0.35">
      <c r="A1283" t="s">
        <v>250</v>
      </c>
      <c r="B1283" t="s">
        <v>20</v>
      </c>
      <c r="C1283">
        <v>1926</v>
      </c>
      <c r="D1283">
        <v>5976</v>
      </c>
      <c r="F1283">
        <v>671414</v>
      </c>
    </row>
    <row r="1284" spans="1:6" x14ac:dyDescent="0.35">
      <c r="A1284" t="s">
        <v>250</v>
      </c>
      <c r="B1284" t="s">
        <v>20</v>
      </c>
      <c r="C1284">
        <v>1927</v>
      </c>
      <c r="D1284">
        <v>6393</v>
      </c>
      <c r="F1284">
        <v>642823</v>
      </c>
    </row>
    <row r="1285" spans="1:6" x14ac:dyDescent="0.35">
      <c r="A1285" t="s">
        <v>250</v>
      </c>
      <c r="B1285" t="s">
        <v>20</v>
      </c>
      <c r="C1285">
        <v>1928</v>
      </c>
      <c r="D1285">
        <v>6285</v>
      </c>
      <c r="F1285">
        <v>674709</v>
      </c>
    </row>
    <row r="1286" spans="1:6" x14ac:dyDescent="0.35">
      <c r="A1286" t="s">
        <v>250</v>
      </c>
      <c r="B1286" t="s">
        <v>20</v>
      </c>
      <c r="C1286">
        <v>1929</v>
      </c>
      <c r="D1286">
        <v>6121</v>
      </c>
      <c r="F1286">
        <v>662380</v>
      </c>
    </row>
    <row r="1287" spans="1:6" x14ac:dyDescent="0.35">
      <c r="A1287" t="s">
        <v>250</v>
      </c>
      <c r="B1287" t="s">
        <v>20</v>
      </c>
      <c r="C1287">
        <v>1930</v>
      </c>
      <c r="D1287">
        <v>6296</v>
      </c>
      <c r="F1287">
        <v>669851</v>
      </c>
    </row>
    <row r="1288" spans="1:6" x14ac:dyDescent="0.35">
      <c r="A1288" t="s">
        <v>250</v>
      </c>
      <c r="B1288" t="s">
        <v>20</v>
      </c>
      <c r="C1288">
        <v>1931</v>
      </c>
      <c r="D1288">
        <v>5521</v>
      </c>
      <c r="F1288">
        <v>658943</v>
      </c>
    </row>
    <row r="1289" spans="1:6" x14ac:dyDescent="0.35">
      <c r="A1289" t="s">
        <v>250</v>
      </c>
      <c r="B1289" t="s">
        <v>20</v>
      </c>
      <c r="C1289">
        <v>1932</v>
      </c>
      <c r="D1289">
        <v>5608</v>
      </c>
      <c r="F1289">
        <v>681349</v>
      </c>
    </row>
    <row r="1290" spans="1:6" x14ac:dyDescent="0.35">
      <c r="A1290" t="s">
        <v>250</v>
      </c>
      <c r="B1290" t="s">
        <v>20</v>
      </c>
      <c r="C1290">
        <v>1933</v>
      </c>
      <c r="D1290">
        <v>5846</v>
      </c>
      <c r="F1290">
        <v>678306</v>
      </c>
    </row>
    <row r="1291" spans="1:6" x14ac:dyDescent="0.35">
      <c r="A1291" t="s">
        <v>250</v>
      </c>
      <c r="B1291" t="s">
        <v>20</v>
      </c>
      <c r="C1291">
        <v>1934</v>
      </c>
      <c r="D1291">
        <v>5576</v>
      </c>
      <c r="F1291">
        <v>647773</v>
      </c>
    </row>
    <row r="1292" spans="1:6" x14ac:dyDescent="0.35">
      <c r="A1292" t="s">
        <v>250</v>
      </c>
      <c r="B1292" t="s">
        <v>20</v>
      </c>
      <c r="C1292">
        <v>1935</v>
      </c>
      <c r="D1292">
        <v>5680</v>
      </c>
      <c r="F1292">
        <v>642795</v>
      </c>
    </row>
    <row r="1293" spans="1:6" x14ac:dyDescent="0.35">
      <c r="A1293" t="s">
        <v>250</v>
      </c>
      <c r="B1293" t="s">
        <v>20</v>
      </c>
      <c r="C1293">
        <v>1936</v>
      </c>
      <c r="D1293">
        <v>5339</v>
      </c>
      <c r="F1293">
        <v>622707</v>
      </c>
    </row>
    <row r="1294" spans="1:6" x14ac:dyDescent="0.35">
      <c r="A1294" t="s">
        <v>250</v>
      </c>
      <c r="B1294" t="s">
        <v>20</v>
      </c>
      <c r="C1294">
        <v>1937</v>
      </c>
      <c r="D1294">
        <v>4812</v>
      </c>
      <c r="F1294">
        <v>573312</v>
      </c>
    </row>
    <row r="1295" spans="1:6" x14ac:dyDescent="0.35">
      <c r="A1295" t="s">
        <v>250</v>
      </c>
      <c r="B1295" t="s">
        <v>20</v>
      </c>
      <c r="C1295">
        <v>1938</v>
      </c>
      <c r="D1295">
        <v>4615</v>
      </c>
      <c r="F1295">
        <v>511573</v>
      </c>
    </row>
    <row r="1296" spans="1:6" x14ac:dyDescent="0.35">
      <c r="A1296" t="s">
        <v>250</v>
      </c>
      <c r="B1296" t="s">
        <v>20</v>
      </c>
      <c r="C1296">
        <v>1939</v>
      </c>
      <c r="D1296">
        <v>4229</v>
      </c>
      <c r="F1296">
        <v>425233</v>
      </c>
    </row>
    <row r="1297" spans="1:6" x14ac:dyDescent="0.35">
      <c r="A1297" t="s">
        <v>250</v>
      </c>
      <c r="B1297" t="s">
        <v>20</v>
      </c>
      <c r="C1297">
        <v>1940</v>
      </c>
      <c r="D1297">
        <v>6480</v>
      </c>
      <c r="F1297">
        <v>633742</v>
      </c>
    </row>
    <row r="1298" spans="1:6" x14ac:dyDescent="0.35">
      <c r="A1298" t="s">
        <v>250</v>
      </c>
      <c r="B1298" t="s">
        <v>20</v>
      </c>
      <c r="C1298">
        <v>1941</v>
      </c>
      <c r="D1298">
        <v>4976</v>
      </c>
      <c r="F1298">
        <v>514243</v>
      </c>
    </row>
    <row r="1299" spans="1:6" x14ac:dyDescent="0.35">
      <c r="A1299" t="s">
        <v>250</v>
      </c>
      <c r="B1299" t="s">
        <v>20</v>
      </c>
      <c r="C1299">
        <v>1942</v>
      </c>
      <c r="D1299">
        <v>5193</v>
      </c>
      <c r="F1299">
        <v>534800</v>
      </c>
    </row>
    <row r="1300" spans="1:6" x14ac:dyDescent="0.35">
      <c r="A1300" t="s">
        <v>250</v>
      </c>
      <c r="B1300" t="s">
        <v>20</v>
      </c>
      <c r="C1300">
        <v>1943</v>
      </c>
      <c r="D1300">
        <v>5988</v>
      </c>
      <c r="F1300">
        <v>610964</v>
      </c>
    </row>
    <row r="1301" spans="1:6" x14ac:dyDescent="0.35">
      <c r="A1301" t="s">
        <v>250</v>
      </c>
      <c r="B1301" t="s">
        <v>20</v>
      </c>
      <c r="C1301">
        <v>1944</v>
      </c>
      <c r="D1301">
        <v>5927</v>
      </c>
      <c r="F1301">
        <v>606135</v>
      </c>
    </row>
    <row r="1302" spans="1:6" x14ac:dyDescent="0.35">
      <c r="A1302" t="s">
        <v>250</v>
      </c>
      <c r="B1302" t="s">
        <v>20</v>
      </c>
      <c r="C1302">
        <v>1945</v>
      </c>
      <c r="D1302">
        <v>6093</v>
      </c>
      <c r="F1302">
        <v>625516</v>
      </c>
    </row>
    <row r="1303" spans="1:6" x14ac:dyDescent="0.35">
      <c r="A1303" t="s">
        <v>250</v>
      </c>
      <c r="B1303" t="s">
        <v>20</v>
      </c>
      <c r="C1303">
        <v>1946</v>
      </c>
      <c r="D1303">
        <v>5966</v>
      </c>
      <c r="F1303">
        <v>584219</v>
      </c>
    </row>
    <row r="1304" spans="1:6" x14ac:dyDescent="0.35">
      <c r="A1304" t="s">
        <v>250</v>
      </c>
      <c r="B1304" t="s">
        <v>20</v>
      </c>
      <c r="C1304">
        <v>1947</v>
      </c>
      <c r="D1304">
        <v>5542</v>
      </c>
      <c r="F1304">
        <v>589563</v>
      </c>
    </row>
    <row r="1305" spans="1:6" x14ac:dyDescent="0.35">
      <c r="A1305" t="s">
        <v>250</v>
      </c>
      <c r="B1305" t="s">
        <v>20</v>
      </c>
      <c r="C1305">
        <v>1948</v>
      </c>
      <c r="D1305">
        <v>6236</v>
      </c>
      <c r="F1305">
        <v>643391</v>
      </c>
    </row>
    <row r="1306" spans="1:6" x14ac:dyDescent="0.35">
      <c r="A1306" t="s">
        <v>250</v>
      </c>
      <c r="B1306" t="s">
        <v>20</v>
      </c>
      <c r="C1306">
        <v>1949</v>
      </c>
      <c r="D1306">
        <v>5920</v>
      </c>
      <c r="F1306">
        <v>602999</v>
      </c>
    </row>
    <row r="1307" spans="1:6" x14ac:dyDescent="0.35">
      <c r="A1307" t="s">
        <v>250</v>
      </c>
      <c r="B1307" t="s">
        <v>20</v>
      </c>
      <c r="C1307">
        <v>1950</v>
      </c>
      <c r="D1307">
        <v>5528</v>
      </c>
      <c r="F1307">
        <v>566487</v>
      </c>
    </row>
    <row r="1308" spans="1:6" x14ac:dyDescent="0.35">
      <c r="A1308" t="s">
        <v>250</v>
      </c>
      <c r="B1308" t="s">
        <v>20</v>
      </c>
      <c r="C1308">
        <v>1951</v>
      </c>
      <c r="D1308">
        <v>5277</v>
      </c>
      <c r="F1308">
        <v>569443</v>
      </c>
    </row>
    <row r="1309" spans="1:6" x14ac:dyDescent="0.35">
      <c r="A1309" t="s">
        <v>250</v>
      </c>
      <c r="B1309" t="s">
        <v>20</v>
      </c>
      <c r="C1309">
        <v>1952</v>
      </c>
      <c r="D1309">
        <v>5496</v>
      </c>
      <c r="F1309">
        <v>596188</v>
      </c>
    </row>
    <row r="1310" spans="1:6" x14ac:dyDescent="0.35">
      <c r="A1310" t="s">
        <v>250</v>
      </c>
      <c r="B1310" t="s">
        <v>20</v>
      </c>
      <c r="C1310">
        <v>1953</v>
      </c>
      <c r="D1310">
        <v>5347</v>
      </c>
      <c r="F1310">
        <v>593221</v>
      </c>
    </row>
    <row r="1311" spans="1:6" x14ac:dyDescent="0.35">
      <c r="A1311" t="s">
        <v>250</v>
      </c>
      <c r="B1311" t="s">
        <v>20</v>
      </c>
      <c r="C1311">
        <v>1954</v>
      </c>
      <c r="D1311">
        <v>5320</v>
      </c>
      <c r="F1311">
        <v>581951</v>
      </c>
    </row>
    <row r="1312" spans="1:6" x14ac:dyDescent="0.35">
      <c r="A1312" t="s">
        <v>250</v>
      </c>
      <c r="B1312" t="s">
        <v>20</v>
      </c>
      <c r="C1312">
        <v>1955</v>
      </c>
      <c r="D1312">
        <v>5759</v>
      </c>
      <c r="F1312">
        <v>602408</v>
      </c>
    </row>
    <row r="1313" spans="1:6" x14ac:dyDescent="0.35">
      <c r="A1313" t="s">
        <v>250</v>
      </c>
      <c r="B1313" t="s">
        <v>20</v>
      </c>
      <c r="C1313">
        <v>1956</v>
      </c>
      <c r="D1313">
        <v>5884</v>
      </c>
      <c r="F1313">
        <v>611200</v>
      </c>
    </row>
    <row r="1314" spans="1:6" x14ac:dyDescent="0.35">
      <c r="A1314" t="s">
        <v>250</v>
      </c>
      <c r="B1314" t="s">
        <v>20</v>
      </c>
      <c r="C1314">
        <v>1957</v>
      </c>
      <c r="D1314">
        <v>6140</v>
      </c>
      <c r="F1314">
        <v>649650</v>
      </c>
    </row>
    <row r="1315" spans="1:6" x14ac:dyDescent="0.35">
      <c r="A1315" t="s">
        <v>250</v>
      </c>
      <c r="B1315" t="s">
        <v>20</v>
      </c>
      <c r="C1315">
        <v>1958</v>
      </c>
      <c r="D1315">
        <v>6240</v>
      </c>
      <c r="F1315">
        <v>656436</v>
      </c>
    </row>
    <row r="1316" spans="1:6" x14ac:dyDescent="0.35">
      <c r="A1316" t="s">
        <v>250</v>
      </c>
      <c r="B1316" t="s">
        <v>20</v>
      </c>
      <c r="C1316">
        <v>1959</v>
      </c>
      <c r="D1316">
        <v>6172</v>
      </c>
      <c r="F1316">
        <v>656934</v>
      </c>
    </row>
    <row r="1317" spans="1:6" x14ac:dyDescent="0.35">
      <c r="A1317" t="s">
        <v>250</v>
      </c>
      <c r="B1317" t="s">
        <v>20</v>
      </c>
      <c r="C1317">
        <v>1960</v>
      </c>
      <c r="D1317">
        <v>6491</v>
      </c>
      <c r="F1317">
        <v>665529</v>
      </c>
    </row>
    <row r="1318" spans="1:6" x14ac:dyDescent="0.35">
      <c r="A1318" t="s">
        <v>250</v>
      </c>
      <c r="B1318" t="s">
        <v>20</v>
      </c>
      <c r="C1318">
        <v>1961</v>
      </c>
      <c r="D1318">
        <v>6451</v>
      </c>
      <c r="F1318">
        <v>656118</v>
      </c>
    </row>
    <row r="1319" spans="1:6" x14ac:dyDescent="0.35">
      <c r="A1319" t="s">
        <v>250</v>
      </c>
      <c r="B1319" t="s">
        <v>20</v>
      </c>
      <c r="C1319">
        <v>1962</v>
      </c>
      <c r="D1319">
        <v>6155</v>
      </c>
      <c r="F1319">
        <v>660493</v>
      </c>
    </row>
    <row r="1320" spans="1:6" x14ac:dyDescent="0.35">
      <c r="A1320" t="s">
        <v>250</v>
      </c>
      <c r="B1320" t="s">
        <v>20</v>
      </c>
      <c r="C1320">
        <v>1963</v>
      </c>
      <c r="D1320">
        <v>6388</v>
      </c>
      <c r="F1320">
        <v>672251</v>
      </c>
    </row>
    <row r="1321" spans="1:6" x14ac:dyDescent="0.35">
      <c r="A1321" t="s">
        <v>250</v>
      </c>
      <c r="B1321" t="s">
        <v>20</v>
      </c>
      <c r="C1321">
        <v>1964</v>
      </c>
      <c r="D1321">
        <v>6758</v>
      </c>
      <c r="F1321">
        <v>696936</v>
      </c>
    </row>
    <row r="1322" spans="1:6" x14ac:dyDescent="0.35">
      <c r="A1322" t="s">
        <v>250</v>
      </c>
      <c r="B1322" t="s">
        <v>20</v>
      </c>
      <c r="C1322">
        <v>1965</v>
      </c>
      <c r="D1322">
        <v>6531</v>
      </c>
      <c r="F1322">
        <v>675293</v>
      </c>
    </row>
    <row r="1323" spans="1:6" x14ac:dyDescent="0.35">
      <c r="A1323" t="s">
        <v>250</v>
      </c>
      <c r="B1323" t="s">
        <v>20</v>
      </c>
      <c r="C1323">
        <v>1966</v>
      </c>
      <c r="D1323">
        <v>6177</v>
      </c>
      <c r="F1323">
        <v>668756</v>
      </c>
    </row>
    <row r="1324" spans="1:6" x14ac:dyDescent="0.35">
      <c r="A1324" t="s">
        <v>250</v>
      </c>
      <c r="B1324" t="s">
        <v>20</v>
      </c>
      <c r="C1324">
        <v>1967</v>
      </c>
      <c r="D1324">
        <v>6168</v>
      </c>
      <c r="F1324">
        <v>678783</v>
      </c>
    </row>
    <row r="1325" spans="1:6" x14ac:dyDescent="0.35">
      <c r="A1325" t="s">
        <v>250</v>
      </c>
      <c r="B1325" t="s">
        <v>20</v>
      </c>
      <c r="C1325">
        <v>1968</v>
      </c>
      <c r="D1325">
        <v>5948</v>
      </c>
      <c r="F1325">
        <v>666239</v>
      </c>
    </row>
    <row r="1326" spans="1:6" x14ac:dyDescent="0.35">
      <c r="A1326" t="s">
        <v>250</v>
      </c>
      <c r="B1326" t="s">
        <v>20</v>
      </c>
      <c r="C1326">
        <v>1969</v>
      </c>
      <c r="D1326">
        <v>5824</v>
      </c>
      <c r="F1326">
        <v>664516</v>
      </c>
    </row>
    <row r="1327" spans="1:6" x14ac:dyDescent="0.35">
      <c r="A1327" t="s">
        <v>250</v>
      </c>
      <c r="B1327" t="s">
        <v>20</v>
      </c>
      <c r="C1327">
        <v>1970</v>
      </c>
      <c r="D1327">
        <v>5915</v>
      </c>
      <c r="F1327">
        <v>660905</v>
      </c>
    </row>
    <row r="1328" spans="1:6" x14ac:dyDescent="0.35">
      <c r="A1328" t="s">
        <v>250</v>
      </c>
      <c r="B1328" t="s">
        <v>20</v>
      </c>
      <c r="C1328">
        <v>1971</v>
      </c>
      <c r="D1328">
        <v>5448</v>
      </c>
      <c r="F1328">
        <v>669871</v>
      </c>
    </row>
    <row r="1329" spans="1:6" x14ac:dyDescent="0.35">
      <c r="A1329" t="s">
        <v>250</v>
      </c>
      <c r="B1329" t="s">
        <v>20</v>
      </c>
      <c r="C1329">
        <v>1972</v>
      </c>
      <c r="D1329">
        <v>5577</v>
      </c>
      <c r="F1329">
        <v>669960</v>
      </c>
    </row>
    <row r="1330" spans="1:6" x14ac:dyDescent="0.35">
      <c r="A1330" t="s">
        <v>250</v>
      </c>
      <c r="B1330" t="s">
        <v>20</v>
      </c>
      <c r="C1330">
        <v>1973</v>
      </c>
      <c r="D1330">
        <v>5469</v>
      </c>
      <c r="F1330">
        <v>669678</v>
      </c>
    </row>
    <row r="1331" spans="1:6" x14ac:dyDescent="0.35">
      <c r="A1331" t="s">
        <v>250</v>
      </c>
      <c r="B1331" t="s">
        <v>20</v>
      </c>
      <c r="C1331">
        <v>1974</v>
      </c>
      <c r="D1331">
        <v>5425</v>
      </c>
      <c r="F1331">
        <v>684668</v>
      </c>
    </row>
    <row r="1332" spans="1:6" x14ac:dyDescent="0.35">
      <c r="A1332" t="s">
        <v>250</v>
      </c>
      <c r="B1332" t="s">
        <v>20</v>
      </c>
      <c r="C1332">
        <v>1975</v>
      </c>
      <c r="D1332">
        <v>5839</v>
      </c>
      <c r="F1332">
        <v>665075</v>
      </c>
    </row>
    <row r="1333" spans="1:6" x14ac:dyDescent="0.35">
      <c r="A1333" t="s">
        <v>250</v>
      </c>
      <c r="B1333" t="s">
        <v>20</v>
      </c>
      <c r="C1333">
        <v>1976</v>
      </c>
      <c r="D1333">
        <v>5815</v>
      </c>
      <c r="F1333">
        <v>672935</v>
      </c>
    </row>
    <row r="1334" spans="1:6" x14ac:dyDescent="0.35">
      <c r="A1334" t="s">
        <v>250</v>
      </c>
      <c r="B1334" t="s">
        <v>20</v>
      </c>
      <c r="C1334">
        <v>1977</v>
      </c>
      <c r="D1334">
        <v>5593</v>
      </c>
      <c r="F1334">
        <v>651674</v>
      </c>
    </row>
    <row r="1335" spans="1:6" x14ac:dyDescent="0.35">
      <c r="A1335" t="s">
        <v>250</v>
      </c>
      <c r="B1335" t="s">
        <v>20</v>
      </c>
      <c r="C1335">
        <v>1978</v>
      </c>
      <c r="D1335">
        <v>5256</v>
      </c>
      <c r="F1335">
        <v>632073</v>
      </c>
    </row>
    <row r="1336" spans="1:6" x14ac:dyDescent="0.35">
      <c r="A1336" t="s">
        <v>250</v>
      </c>
      <c r="B1336" t="s">
        <v>20</v>
      </c>
      <c r="C1336">
        <v>1979</v>
      </c>
      <c r="D1336">
        <v>4908</v>
      </c>
      <c r="F1336">
        <v>597223</v>
      </c>
    </row>
    <row r="1337" spans="1:6" x14ac:dyDescent="0.35">
      <c r="A1337" t="s">
        <v>250</v>
      </c>
      <c r="B1337" t="s">
        <v>20</v>
      </c>
      <c r="C1337">
        <v>1980</v>
      </c>
      <c r="D1337">
        <v>4266</v>
      </c>
      <c r="F1337">
        <v>566763</v>
      </c>
    </row>
    <row r="1338" spans="1:6" x14ac:dyDescent="0.35">
      <c r="A1338" t="s">
        <v>250</v>
      </c>
      <c r="B1338" t="s">
        <v>20</v>
      </c>
      <c r="C1338">
        <v>1981</v>
      </c>
      <c r="D1338">
        <v>4786</v>
      </c>
      <c r="F1338">
        <v>526925</v>
      </c>
    </row>
    <row r="1339" spans="1:6" x14ac:dyDescent="0.35">
      <c r="A1339" t="s">
        <v>250</v>
      </c>
      <c r="B1339" t="s">
        <v>20</v>
      </c>
      <c r="C1339">
        <v>1982</v>
      </c>
      <c r="D1339">
        <v>5124</v>
      </c>
      <c r="F1339">
        <v>508070</v>
      </c>
    </row>
    <row r="1340" spans="1:6" x14ac:dyDescent="0.35">
      <c r="A1340" t="s">
        <v>250</v>
      </c>
      <c r="B1340" t="s">
        <v>20</v>
      </c>
      <c r="C1340">
        <v>1983</v>
      </c>
      <c r="D1340">
        <v>3349</v>
      </c>
      <c r="F1340">
        <v>481570</v>
      </c>
    </row>
    <row r="1341" spans="1:6" x14ac:dyDescent="0.35">
      <c r="A1341" t="s">
        <v>250</v>
      </c>
      <c r="B1341" t="s">
        <v>20</v>
      </c>
      <c r="C1341">
        <v>1984</v>
      </c>
      <c r="D1341">
        <v>3463</v>
      </c>
      <c r="F1341">
        <v>469029</v>
      </c>
    </row>
    <row r="1342" spans="1:6" x14ac:dyDescent="0.35">
      <c r="A1342" t="s">
        <v>250</v>
      </c>
      <c r="B1342" t="s">
        <v>20</v>
      </c>
      <c r="C1342">
        <v>1985</v>
      </c>
      <c r="D1342">
        <v>3376</v>
      </c>
      <c r="F1342">
        <v>452290</v>
      </c>
    </row>
    <row r="1343" spans="1:6" x14ac:dyDescent="0.35">
      <c r="A1343" t="s">
        <v>250</v>
      </c>
      <c r="B1343" t="s">
        <v>20</v>
      </c>
      <c r="C1343">
        <v>1986</v>
      </c>
      <c r="D1343">
        <v>3582</v>
      </c>
      <c r="F1343">
        <v>434003</v>
      </c>
    </row>
    <row r="1344" spans="1:6" x14ac:dyDescent="0.35">
      <c r="A1344" t="s">
        <v>250</v>
      </c>
      <c r="B1344" t="s">
        <v>20</v>
      </c>
      <c r="C1344">
        <v>1987</v>
      </c>
      <c r="D1344">
        <v>3624</v>
      </c>
      <c r="F1344">
        <v>421548</v>
      </c>
    </row>
    <row r="1345" spans="1:6" x14ac:dyDescent="0.35">
      <c r="A1345" t="s">
        <v>250</v>
      </c>
      <c r="B1345" t="s">
        <v>20</v>
      </c>
      <c r="C1345">
        <v>1988</v>
      </c>
      <c r="D1345">
        <v>3493</v>
      </c>
      <c r="F1345">
        <v>413818</v>
      </c>
    </row>
    <row r="1346" spans="1:6" x14ac:dyDescent="0.35">
      <c r="A1346" t="s">
        <v>250</v>
      </c>
      <c r="B1346" t="s">
        <v>20</v>
      </c>
      <c r="C1346">
        <v>1989</v>
      </c>
      <c r="D1346">
        <v>3519</v>
      </c>
      <c r="F1346">
        <v>402903</v>
      </c>
    </row>
    <row r="1347" spans="1:6" x14ac:dyDescent="0.35">
      <c r="A1347" t="s">
        <v>250</v>
      </c>
      <c r="B1347" t="s">
        <v>20</v>
      </c>
      <c r="C1347">
        <v>1990</v>
      </c>
      <c r="D1347">
        <v>3580</v>
      </c>
      <c r="F1347">
        <v>395580</v>
      </c>
    </row>
    <row r="1348" spans="1:6" x14ac:dyDescent="0.35">
      <c r="A1348" t="s">
        <v>250</v>
      </c>
      <c r="B1348" t="s">
        <v>20</v>
      </c>
      <c r="C1348">
        <v>1991</v>
      </c>
      <c r="D1348">
        <v>3590</v>
      </c>
      <c r="F1348">
        <v>390066</v>
      </c>
    </row>
    <row r="1349" spans="1:6" x14ac:dyDescent="0.35">
      <c r="A1349" t="s">
        <v>250</v>
      </c>
      <c r="B1349" t="s">
        <v>20</v>
      </c>
      <c r="C1349">
        <v>1992</v>
      </c>
      <c r="D1349">
        <v>3655</v>
      </c>
      <c r="F1349">
        <v>390746</v>
      </c>
    </row>
    <row r="1350" spans="1:6" x14ac:dyDescent="0.35">
      <c r="A1350" t="s">
        <v>250</v>
      </c>
      <c r="B1350" t="s">
        <v>20</v>
      </c>
      <c r="C1350">
        <v>1993</v>
      </c>
      <c r="D1350">
        <v>3745</v>
      </c>
      <c r="F1350">
        <v>379452</v>
      </c>
    </row>
    <row r="1351" spans="1:6" x14ac:dyDescent="0.35">
      <c r="A1351" t="s">
        <v>250</v>
      </c>
      <c r="B1351" t="s">
        <v>20</v>
      </c>
      <c r="C1351">
        <v>1994</v>
      </c>
      <c r="D1351">
        <v>4009</v>
      </c>
      <c r="F1351">
        <v>363140</v>
      </c>
    </row>
    <row r="1352" spans="1:6" x14ac:dyDescent="0.35">
      <c r="A1352" t="s">
        <v>250</v>
      </c>
      <c r="B1352" t="s">
        <v>20</v>
      </c>
      <c r="C1352">
        <v>1995</v>
      </c>
      <c r="D1352">
        <v>4167</v>
      </c>
      <c r="F1352">
        <v>356066</v>
      </c>
    </row>
    <row r="1353" spans="1:6" x14ac:dyDescent="0.35">
      <c r="A1353" t="s">
        <v>250</v>
      </c>
      <c r="B1353" t="s">
        <v>20</v>
      </c>
      <c r="C1353">
        <v>1996</v>
      </c>
      <c r="D1353">
        <v>4433</v>
      </c>
      <c r="F1353">
        <v>354729</v>
      </c>
    </row>
    <row r="1354" spans="1:6" x14ac:dyDescent="0.35">
      <c r="A1354" t="s">
        <v>250</v>
      </c>
      <c r="B1354" t="s">
        <v>20</v>
      </c>
      <c r="C1354">
        <v>1997</v>
      </c>
      <c r="D1354">
        <v>4649</v>
      </c>
      <c r="F1354">
        <v>360743</v>
      </c>
    </row>
    <row r="1355" spans="1:6" x14ac:dyDescent="0.35">
      <c r="A1355" t="s">
        <v>250</v>
      </c>
      <c r="B1355" t="s">
        <v>20</v>
      </c>
      <c r="C1355">
        <v>1998</v>
      </c>
      <c r="D1355">
        <v>4820</v>
      </c>
      <c r="F1355">
        <v>356378</v>
      </c>
    </row>
    <row r="1356" spans="1:6" x14ac:dyDescent="0.35">
      <c r="A1356" t="s">
        <v>250</v>
      </c>
      <c r="B1356" t="s">
        <v>20</v>
      </c>
      <c r="C1356">
        <v>1999</v>
      </c>
      <c r="D1356">
        <v>5457</v>
      </c>
      <c r="F1356">
        <v>370003</v>
      </c>
    </row>
    <row r="1357" spans="1:6" x14ac:dyDescent="0.35">
      <c r="A1357" t="s">
        <v>250</v>
      </c>
      <c r="B1357" t="s">
        <v>20</v>
      </c>
      <c r="C1357">
        <v>2000</v>
      </c>
      <c r="D1357">
        <v>5975</v>
      </c>
      <c r="F1357">
        <v>386336</v>
      </c>
    </row>
    <row r="1358" spans="1:6" x14ac:dyDescent="0.35">
      <c r="A1358" t="s">
        <v>250</v>
      </c>
      <c r="B1358" t="s">
        <v>20</v>
      </c>
      <c r="C1358">
        <v>2001</v>
      </c>
      <c r="D1358">
        <v>6234</v>
      </c>
      <c r="F1358">
        <v>394507</v>
      </c>
    </row>
    <row r="1359" spans="1:6" x14ac:dyDescent="0.35">
      <c r="A1359" t="s">
        <v>250</v>
      </c>
      <c r="B1359" t="s">
        <v>20</v>
      </c>
      <c r="C1359">
        <v>2002</v>
      </c>
      <c r="D1359">
        <v>6929</v>
      </c>
      <c r="F1359">
        <v>405512</v>
      </c>
    </row>
    <row r="1360" spans="1:6" x14ac:dyDescent="0.35">
      <c r="A1360" t="s">
        <v>250</v>
      </c>
      <c r="B1360" t="s">
        <v>20</v>
      </c>
      <c r="C1360">
        <v>2003</v>
      </c>
      <c r="D1360">
        <v>7499</v>
      </c>
      <c r="F1360">
        <v>427457</v>
      </c>
    </row>
    <row r="1361" spans="1:6" x14ac:dyDescent="0.35">
      <c r="A1361" t="s">
        <v>250</v>
      </c>
      <c r="B1361" t="s">
        <v>20</v>
      </c>
      <c r="C1361">
        <v>2004</v>
      </c>
      <c r="D1361">
        <v>7712</v>
      </c>
      <c r="F1361">
        <v>439806</v>
      </c>
    </row>
    <row r="1362" spans="1:6" x14ac:dyDescent="0.35">
      <c r="A1362" t="s">
        <v>250</v>
      </c>
      <c r="B1362" t="s">
        <v>20</v>
      </c>
      <c r="C1362">
        <v>2005</v>
      </c>
      <c r="D1362">
        <v>8225</v>
      </c>
      <c r="F1362">
        <v>450831</v>
      </c>
    </row>
    <row r="1363" spans="1:6" x14ac:dyDescent="0.35">
      <c r="A1363" t="s">
        <v>250</v>
      </c>
      <c r="B1363" t="s">
        <v>20</v>
      </c>
      <c r="C1363">
        <v>2006</v>
      </c>
      <c r="D1363">
        <v>8510</v>
      </c>
      <c r="F1363">
        <v>466913</v>
      </c>
    </row>
    <row r="1364" spans="1:6" x14ac:dyDescent="0.35">
      <c r="A1364" t="s">
        <v>250</v>
      </c>
      <c r="B1364" t="s">
        <v>20</v>
      </c>
      <c r="C1364">
        <v>2007</v>
      </c>
      <c r="D1364">
        <v>9254</v>
      </c>
      <c r="F1364">
        <v>474833</v>
      </c>
    </row>
    <row r="1365" spans="1:6" x14ac:dyDescent="0.35">
      <c r="A1365" t="s">
        <v>250</v>
      </c>
      <c r="B1365" t="s">
        <v>20</v>
      </c>
      <c r="C1365">
        <v>2008</v>
      </c>
      <c r="D1365">
        <v>9696</v>
      </c>
      <c r="F1365">
        <v>501334</v>
      </c>
    </row>
    <row r="1366" spans="1:6" x14ac:dyDescent="0.35">
      <c r="A1366" t="s">
        <v>250</v>
      </c>
      <c r="B1366" t="s">
        <v>20</v>
      </c>
      <c r="C1366">
        <v>2009</v>
      </c>
      <c r="D1366">
        <v>9965</v>
      </c>
      <c r="F1366">
        <v>475926</v>
      </c>
    </row>
    <row r="1367" spans="1:6" x14ac:dyDescent="0.35">
      <c r="A1367" t="s">
        <v>250</v>
      </c>
      <c r="B1367" t="s">
        <v>20</v>
      </c>
      <c r="C1367">
        <v>2010</v>
      </c>
      <c r="D1367">
        <v>9653</v>
      </c>
      <c r="F1367">
        <v>468191</v>
      </c>
    </row>
    <row r="1368" spans="1:6" x14ac:dyDescent="0.35">
      <c r="A1368" t="s">
        <v>250</v>
      </c>
      <c r="B1368" t="s">
        <v>20</v>
      </c>
      <c r="C1368">
        <v>2011</v>
      </c>
      <c r="D1368">
        <v>9629</v>
      </c>
      <c r="F1368">
        <v>453763</v>
      </c>
    </row>
    <row r="1369" spans="1:6" x14ac:dyDescent="0.35">
      <c r="A1369" t="s">
        <v>250</v>
      </c>
      <c r="B1369" t="s">
        <v>20</v>
      </c>
      <c r="C1369">
        <v>2012</v>
      </c>
      <c r="D1369">
        <v>9796</v>
      </c>
      <c r="F1369">
        <v>436096</v>
      </c>
    </row>
    <row r="1370" spans="1:6" x14ac:dyDescent="0.35">
      <c r="A1370" t="s">
        <v>250</v>
      </c>
      <c r="B1370" t="s">
        <v>20</v>
      </c>
      <c r="C1370">
        <v>2013</v>
      </c>
      <c r="D1370">
        <v>8870</v>
      </c>
      <c r="F1370">
        <v>409008</v>
      </c>
    </row>
    <row r="1371" spans="1:6" x14ac:dyDescent="0.35">
      <c r="A1371" t="s">
        <v>250</v>
      </c>
      <c r="B1371" t="s">
        <v>20</v>
      </c>
      <c r="C1371">
        <v>2014</v>
      </c>
      <c r="D1371">
        <v>9493</v>
      </c>
      <c r="F1371">
        <v>409597</v>
      </c>
    </row>
    <row r="1372" spans="1:6" x14ac:dyDescent="0.35">
      <c r="A1372" t="s">
        <v>250</v>
      </c>
      <c r="B1372" t="s">
        <v>20</v>
      </c>
      <c r="C1372">
        <v>2015</v>
      </c>
      <c r="D1372">
        <v>9101</v>
      </c>
      <c r="F1372">
        <v>403050</v>
      </c>
    </row>
    <row r="1373" spans="1:6" x14ac:dyDescent="0.35">
      <c r="A1373" t="s">
        <v>250</v>
      </c>
      <c r="B1373" t="s">
        <v>20</v>
      </c>
      <c r="C1373">
        <v>2016</v>
      </c>
      <c r="D1373">
        <v>8899</v>
      </c>
      <c r="F1373">
        <v>393801</v>
      </c>
    </row>
    <row r="1374" spans="1:6" x14ac:dyDescent="0.35">
      <c r="A1374" t="s">
        <v>250</v>
      </c>
      <c r="B1374" t="s">
        <v>20</v>
      </c>
      <c r="C1374">
        <v>2017</v>
      </c>
      <c r="D1374">
        <v>8134</v>
      </c>
      <c r="F1374">
        <v>377906</v>
      </c>
    </row>
    <row r="1375" spans="1:6" x14ac:dyDescent="0.35">
      <c r="A1375" t="s">
        <v>250</v>
      </c>
      <c r="B1375" t="s">
        <v>20</v>
      </c>
      <c r="C1375">
        <v>2018</v>
      </c>
      <c r="D1375">
        <v>7170</v>
      </c>
      <c r="F1375">
        <v>359383</v>
      </c>
    </row>
    <row r="1376" spans="1:6" x14ac:dyDescent="0.35">
      <c r="A1376" t="s">
        <v>250</v>
      </c>
      <c r="B1376" t="s">
        <v>20</v>
      </c>
      <c r="C1376">
        <v>2019</v>
      </c>
      <c r="D1376">
        <v>6372</v>
      </c>
      <c r="F1376">
        <v>348812</v>
      </c>
    </row>
    <row r="1377" spans="1:6" x14ac:dyDescent="0.35">
      <c r="A1377" t="s">
        <v>250</v>
      </c>
      <c r="B1377" t="s">
        <v>20</v>
      </c>
      <c r="C1377">
        <v>2020</v>
      </c>
      <c r="D1377">
        <v>5479</v>
      </c>
      <c r="F1377">
        <v>331204</v>
      </c>
    </row>
    <row r="1378" spans="1:6" x14ac:dyDescent="0.35">
      <c r="A1378" t="s">
        <v>251</v>
      </c>
      <c r="B1378" t="s">
        <v>4</v>
      </c>
      <c r="C1378">
        <v>1906</v>
      </c>
    </row>
    <row r="1379" spans="1:6" x14ac:dyDescent="0.35">
      <c r="A1379" t="s">
        <v>251</v>
      </c>
      <c r="B1379" t="s">
        <v>4</v>
      </c>
      <c r="C1379">
        <v>1907</v>
      </c>
    </row>
    <row r="1380" spans="1:6" x14ac:dyDescent="0.35">
      <c r="A1380" t="s">
        <v>251</v>
      </c>
      <c r="B1380" t="s">
        <v>4</v>
      </c>
      <c r="C1380">
        <v>1908</v>
      </c>
    </row>
    <row r="1381" spans="1:6" x14ac:dyDescent="0.35">
      <c r="A1381" t="s">
        <v>251</v>
      </c>
      <c r="B1381" t="s">
        <v>4</v>
      </c>
      <c r="C1381">
        <v>1909</v>
      </c>
    </row>
    <row r="1382" spans="1:6" x14ac:dyDescent="0.35">
      <c r="A1382" t="s">
        <v>251</v>
      </c>
      <c r="B1382" t="s">
        <v>4</v>
      </c>
      <c r="C1382">
        <v>1910</v>
      </c>
    </row>
    <row r="1383" spans="1:6" x14ac:dyDescent="0.35">
      <c r="A1383" t="s">
        <v>251</v>
      </c>
      <c r="B1383" t="s">
        <v>4</v>
      </c>
      <c r="C1383">
        <v>1911</v>
      </c>
    </row>
    <row r="1384" spans="1:6" x14ac:dyDescent="0.35">
      <c r="A1384" t="s">
        <v>251</v>
      </c>
      <c r="B1384" t="s">
        <v>4</v>
      </c>
      <c r="C1384">
        <v>1912</v>
      </c>
    </row>
    <row r="1385" spans="1:6" x14ac:dyDescent="0.35">
      <c r="A1385" t="s">
        <v>251</v>
      </c>
      <c r="B1385" t="s">
        <v>4</v>
      </c>
      <c r="C1385">
        <v>1913</v>
      </c>
    </row>
    <row r="1386" spans="1:6" x14ac:dyDescent="0.35">
      <c r="A1386" t="s">
        <v>251</v>
      </c>
      <c r="B1386" t="s">
        <v>4</v>
      </c>
      <c r="C1386">
        <v>1914</v>
      </c>
    </row>
    <row r="1387" spans="1:6" x14ac:dyDescent="0.35">
      <c r="A1387" t="s">
        <v>251</v>
      </c>
      <c r="B1387" t="s">
        <v>4</v>
      </c>
      <c r="C1387">
        <v>1915</v>
      </c>
    </row>
    <row r="1388" spans="1:6" x14ac:dyDescent="0.35">
      <c r="A1388" t="s">
        <v>251</v>
      </c>
      <c r="B1388" t="s">
        <v>4</v>
      </c>
      <c r="C1388">
        <v>1916</v>
      </c>
    </row>
    <row r="1389" spans="1:6" x14ac:dyDescent="0.35">
      <c r="A1389" t="s">
        <v>251</v>
      </c>
      <c r="B1389" t="s">
        <v>4</v>
      </c>
      <c r="C1389">
        <v>1917</v>
      </c>
    </row>
    <row r="1390" spans="1:6" x14ac:dyDescent="0.35">
      <c r="A1390" t="s">
        <v>251</v>
      </c>
      <c r="B1390" t="s">
        <v>4</v>
      </c>
      <c r="C1390">
        <v>1918</v>
      </c>
    </row>
    <row r="1391" spans="1:6" x14ac:dyDescent="0.35">
      <c r="A1391" t="s">
        <v>251</v>
      </c>
      <c r="B1391" t="s">
        <v>4</v>
      </c>
      <c r="C1391">
        <v>1919</v>
      </c>
    </row>
    <row r="1392" spans="1:6" x14ac:dyDescent="0.35">
      <c r="A1392" t="s">
        <v>251</v>
      </c>
      <c r="B1392" t="s">
        <v>4</v>
      </c>
      <c r="C1392">
        <v>1920</v>
      </c>
    </row>
    <row r="1393" spans="1:3" x14ac:dyDescent="0.35">
      <c r="A1393" t="s">
        <v>251</v>
      </c>
      <c r="B1393" t="s">
        <v>4</v>
      </c>
      <c r="C1393">
        <v>1921</v>
      </c>
    </row>
    <row r="1394" spans="1:3" x14ac:dyDescent="0.35">
      <c r="A1394" t="s">
        <v>251</v>
      </c>
      <c r="B1394" t="s">
        <v>4</v>
      </c>
      <c r="C1394">
        <v>1922</v>
      </c>
    </row>
    <row r="1395" spans="1:3" x14ac:dyDescent="0.35">
      <c r="A1395" t="s">
        <v>251</v>
      </c>
      <c r="B1395" t="s">
        <v>4</v>
      </c>
      <c r="C1395">
        <v>1923</v>
      </c>
    </row>
    <row r="1396" spans="1:3" x14ac:dyDescent="0.35">
      <c r="A1396" t="s">
        <v>251</v>
      </c>
      <c r="B1396" t="s">
        <v>4</v>
      </c>
      <c r="C1396">
        <v>1924</v>
      </c>
    </row>
    <row r="1397" spans="1:3" x14ac:dyDescent="0.35">
      <c r="A1397" t="s">
        <v>251</v>
      </c>
      <c r="B1397" t="s">
        <v>4</v>
      </c>
      <c r="C1397">
        <v>1925</v>
      </c>
    </row>
    <row r="1398" spans="1:3" x14ac:dyDescent="0.35">
      <c r="A1398" t="s">
        <v>251</v>
      </c>
      <c r="B1398" t="s">
        <v>4</v>
      </c>
      <c r="C1398">
        <v>1926</v>
      </c>
    </row>
    <row r="1399" spans="1:3" x14ac:dyDescent="0.35">
      <c r="A1399" t="s">
        <v>251</v>
      </c>
      <c r="B1399" t="s">
        <v>4</v>
      </c>
      <c r="C1399">
        <v>1927</v>
      </c>
    </row>
    <row r="1400" spans="1:3" x14ac:dyDescent="0.35">
      <c r="A1400" t="s">
        <v>251</v>
      </c>
      <c r="B1400" t="s">
        <v>4</v>
      </c>
      <c r="C1400">
        <v>1928</v>
      </c>
    </row>
    <row r="1401" spans="1:3" x14ac:dyDescent="0.35">
      <c r="A1401" t="s">
        <v>251</v>
      </c>
      <c r="B1401" t="s">
        <v>4</v>
      </c>
      <c r="C1401">
        <v>1929</v>
      </c>
    </row>
    <row r="1402" spans="1:3" x14ac:dyDescent="0.35">
      <c r="A1402" t="s">
        <v>251</v>
      </c>
      <c r="B1402" t="s">
        <v>4</v>
      </c>
      <c r="C1402">
        <v>1930</v>
      </c>
    </row>
    <row r="1403" spans="1:3" x14ac:dyDescent="0.35">
      <c r="A1403" t="s">
        <v>251</v>
      </c>
      <c r="B1403" t="s">
        <v>4</v>
      </c>
      <c r="C1403">
        <v>1931</v>
      </c>
    </row>
    <row r="1404" spans="1:3" x14ac:dyDescent="0.35">
      <c r="A1404" t="s">
        <v>251</v>
      </c>
      <c r="B1404" t="s">
        <v>4</v>
      </c>
      <c r="C1404">
        <v>1932</v>
      </c>
    </row>
    <row r="1405" spans="1:3" x14ac:dyDescent="0.35">
      <c r="A1405" t="s">
        <v>251</v>
      </c>
      <c r="B1405" t="s">
        <v>4</v>
      </c>
      <c r="C1405">
        <v>1933</v>
      </c>
    </row>
    <row r="1406" spans="1:3" x14ac:dyDescent="0.35">
      <c r="A1406" t="s">
        <v>251</v>
      </c>
      <c r="B1406" t="s">
        <v>4</v>
      </c>
      <c r="C1406">
        <v>1934</v>
      </c>
    </row>
    <row r="1407" spans="1:3" x14ac:dyDescent="0.35">
      <c r="A1407" t="s">
        <v>251</v>
      </c>
      <c r="B1407" t="s">
        <v>4</v>
      </c>
      <c r="C1407">
        <v>1935</v>
      </c>
    </row>
    <row r="1408" spans="1:3" x14ac:dyDescent="0.35">
      <c r="A1408" t="s">
        <v>251</v>
      </c>
      <c r="B1408" t="s">
        <v>4</v>
      </c>
      <c r="C1408">
        <v>1936</v>
      </c>
    </row>
    <row r="1409" spans="1:4" x14ac:dyDescent="0.35">
      <c r="A1409" t="s">
        <v>251</v>
      </c>
      <c r="C1409">
        <v>1937</v>
      </c>
    </row>
    <row r="1410" spans="1:4" x14ac:dyDescent="0.35">
      <c r="A1410" t="s">
        <v>251</v>
      </c>
      <c r="C1410">
        <v>1938</v>
      </c>
    </row>
    <row r="1411" spans="1:4" x14ac:dyDescent="0.35">
      <c r="A1411" t="s">
        <v>251</v>
      </c>
      <c r="C1411">
        <v>1939</v>
      </c>
    </row>
    <row r="1412" spans="1:4" x14ac:dyDescent="0.35">
      <c r="A1412" t="s">
        <v>251</v>
      </c>
      <c r="C1412">
        <v>1940</v>
      </c>
    </row>
    <row r="1413" spans="1:4" x14ac:dyDescent="0.35">
      <c r="A1413" t="s">
        <v>251</v>
      </c>
      <c r="B1413" t="s">
        <v>252</v>
      </c>
      <c r="C1413">
        <v>1941</v>
      </c>
      <c r="D1413">
        <v>1419</v>
      </c>
    </row>
    <row r="1414" spans="1:4" x14ac:dyDescent="0.35">
      <c r="A1414" t="s">
        <v>251</v>
      </c>
      <c r="B1414" t="s">
        <v>252</v>
      </c>
      <c r="C1414">
        <v>1942</v>
      </c>
      <c r="D1414">
        <v>940</v>
      </c>
    </row>
    <row r="1415" spans="1:4" x14ac:dyDescent="0.35">
      <c r="A1415" t="s">
        <v>251</v>
      </c>
      <c r="B1415" t="s">
        <v>252</v>
      </c>
      <c r="C1415">
        <v>1943</v>
      </c>
      <c r="D1415">
        <v>1240</v>
      </c>
    </row>
    <row r="1416" spans="1:4" x14ac:dyDescent="0.35">
      <c r="A1416" t="s">
        <v>251</v>
      </c>
      <c r="B1416" t="s">
        <v>252</v>
      </c>
      <c r="C1416">
        <v>1944</v>
      </c>
      <c r="D1416">
        <v>1234</v>
      </c>
    </row>
    <row r="1417" spans="1:4" x14ac:dyDescent="0.35">
      <c r="A1417" t="s">
        <v>251</v>
      </c>
      <c r="B1417" t="s">
        <v>252</v>
      </c>
      <c r="C1417">
        <v>1945</v>
      </c>
      <c r="D1417">
        <v>1519</v>
      </c>
    </row>
    <row r="1418" spans="1:4" x14ac:dyDescent="0.35">
      <c r="A1418" t="s">
        <v>251</v>
      </c>
      <c r="B1418" t="s">
        <v>252</v>
      </c>
      <c r="C1418">
        <v>1946</v>
      </c>
      <c r="D1418">
        <v>1645</v>
      </c>
    </row>
    <row r="1419" spans="1:4" x14ac:dyDescent="0.35">
      <c r="A1419" t="s">
        <v>251</v>
      </c>
      <c r="B1419" t="s">
        <v>252</v>
      </c>
      <c r="C1419">
        <v>1947</v>
      </c>
      <c r="D1419">
        <v>1547</v>
      </c>
    </row>
    <row r="1420" spans="1:4" x14ac:dyDescent="0.35">
      <c r="A1420" t="s">
        <v>251</v>
      </c>
      <c r="B1420" t="s">
        <v>252</v>
      </c>
      <c r="C1420">
        <v>1948</v>
      </c>
      <c r="D1420">
        <v>1505</v>
      </c>
    </row>
    <row r="1421" spans="1:4" x14ac:dyDescent="0.35">
      <c r="A1421" t="s">
        <v>251</v>
      </c>
      <c r="B1421" t="s">
        <v>252</v>
      </c>
      <c r="C1421">
        <v>1949</v>
      </c>
      <c r="D1421">
        <v>1451</v>
      </c>
    </row>
    <row r="1422" spans="1:4" x14ac:dyDescent="0.35">
      <c r="A1422" t="s">
        <v>251</v>
      </c>
      <c r="B1422" t="s">
        <v>252</v>
      </c>
      <c r="C1422">
        <v>1950</v>
      </c>
      <c r="D1422">
        <v>1447</v>
      </c>
    </row>
    <row r="1423" spans="1:4" x14ac:dyDescent="0.35">
      <c r="A1423" t="s">
        <v>251</v>
      </c>
      <c r="B1423" t="s">
        <v>252</v>
      </c>
      <c r="C1423">
        <v>1951</v>
      </c>
      <c r="D1423">
        <v>1349</v>
      </c>
    </row>
    <row r="1424" spans="1:4" x14ac:dyDescent="0.35">
      <c r="A1424" t="s">
        <v>251</v>
      </c>
      <c r="B1424" t="s">
        <v>252</v>
      </c>
      <c r="C1424">
        <v>1952</v>
      </c>
      <c r="D1424">
        <v>1525</v>
      </c>
    </row>
    <row r="1425" spans="1:4" x14ac:dyDescent="0.35">
      <c r="A1425" t="s">
        <v>251</v>
      </c>
      <c r="B1425" t="s">
        <v>252</v>
      </c>
      <c r="C1425">
        <v>1953</v>
      </c>
      <c r="D1425">
        <v>1476</v>
      </c>
    </row>
    <row r="1426" spans="1:4" x14ac:dyDescent="0.35">
      <c r="A1426" t="s">
        <v>251</v>
      </c>
      <c r="B1426" t="s">
        <v>252</v>
      </c>
      <c r="C1426">
        <v>1954</v>
      </c>
      <c r="D1426">
        <v>1408</v>
      </c>
    </row>
    <row r="1427" spans="1:4" x14ac:dyDescent="0.35">
      <c r="A1427" t="s">
        <v>251</v>
      </c>
      <c r="B1427" t="s">
        <v>252</v>
      </c>
      <c r="C1427">
        <v>1955</v>
      </c>
      <c r="D1427">
        <v>1476</v>
      </c>
    </row>
    <row r="1428" spans="1:4" x14ac:dyDescent="0.35">
      <c r="A1428" t="s">
        <v>251</v>
      </c>
      <c r="B1428" t="s">
        <v>252</v>
      </c>
      <c r="C1428">
        <v>1956</v>
      </c>
      <c r="D1428">
        <v>1439</v>
      </c>
    </row>
    <row r="1429" spans="1:4" x14ac:dyDescent="0.35">
      <c r="A1429" t="s">
        <v>251</v>
      </c>
      <c r="B1429" t="s">
        <v>252</v>
      </c>
      <c r="C1429">
        <v>1957</v>
      </c>
      <c r="D1429">
        <v>1334</v>
      </c>
    </row>
    <row r="1430" spans="1:4" x14ac:dyDescent="0.35">
      <c r="A1430" t="s">
        <v>251</v>
      </c>
      <c r="B1430" t="s">
        <v>252</v>
      </c>
      <c r="C1430">
        <v>1958</v>
      </c>
      <c r="D1430">
        <v>1269</v>
      </c>
    </row>
    <row r="1431" spans="1:4" x14ac:dyDescent="0.35">
      <c r="A1431" t="s">
        <v>251</v>
      </c>
      <c r="B1431" t="s">
        <v>252</v>
      </c>
      <c r="C1431">
        <v>1959</v>
      </c>
      <c r="D1431">
        <v>1225</v>
      </c>
    </row>
    <row r="1432" spans="1:4" x14ac:dyDescent="0.35">
      <c r="A1432" t="s">
        <v>251</v>
      </c>
      <c r="B1432" t="s">
        <v>252</v>
      </c>
      <c r="C1432">
        <v>1960</v>
      </c>
      <c r="D1432">
        <v>1181</v>
      </c>
    </row>
    <row r="1433" spans="1:4" x14ac:dyDescent="0.35">
      <c r="A1433" t="s">
        <v>251</v>
      </c>
      <c r="B1433" t="s">
        <v>252</v>
      </c>
      <c r="C1433">
        <v>1961</v>
      </c>
      <c r="D1433">
        <v>1225</v>
      </c>
    </row>
    <row r="1434" spans="1:4" x14ac:dyDescent="0.35">
      <c r="A1434" t="s">
        <v>251</v>
      </c>
      <c r="B1434" t="s">
        <v>252</v>
      </c>
      <c r="C1434">
        <v>1962</v>
      </c>
      <c r="D1434">
        <v>1167</v>
      </c>
    </row>
    <row r="1435" spans="1:4" x14ac:dyDescent="0.35">
      <c r="A1435" t="s">
        <v>251</v>
      </c>
      <c r="B1435" t="s">
        <v>252</v>
      </c>
      <c r="C1435">
        <v>1963</v>
      </c>
      <c r="D1435">
        <v>1144</v>
      </c>
    </row>
    <row r="1436" spans="1:4" x14ac:dyDescent="0.35">
      <c r="A1436" t="s">
        <v>251</v>
      </c>
      <c r="B1436" t="s">
        <v>252</v>
      </c>
      <c r="C1436">
        <v>1964</v>
      </c>
      <c r="D1436">
        <v>1121</v>
      </c>
    </row>
    <row r="1437" spans="1:4" x14ac:dyDescent="0.35">
      <c r="A1437" t="s">
        <v>251</v>
      </c>
      <c r="B1437" t="s">
        <v>252</v>
      </c>
      <c r="C1437">
        <v>1965</v>
      </c>
      <c r="D1437">
        <v>1027</v>
      </c>
    </row>
    <row r="1438" spans="1:4" x14ac:dyDescent="0.35">
      <c r="A1438" t="s">
        <v>251</v>
      </c>
      <c r="B1438" t="s">
        <v>252</v>
      </c>
      <c r="C1438">
        <v>1966</v>
      </c>
      <c r="D1438">
        <v>1062</v>
      </c>
    </row>
    <row r="1439" spans="1:4" x14ac:dyDescent="0.35">
      <c r="A1439" t="s">
        <v>251</v>
      </c>
      <c r="B1439" t="s">
        <v>252</v>
      </c>
      <c r="C1439">
        <v>1967</v>
      </c>
      <c r="D1439">
        <v>1033</v>
      </c>
    </row>
    <row r="1440" spans="1:4" x14ac:dyDescent="0.35">
      <c r="A1440" t="s">
        <v>251</v>
      </c>
      <c r="B1440" t="s">
        <v>252</v>
      </c>
      <c r="C1440">
        <v>1968</v>
      </c>
      <c r="D1440">
        <v>898</v>
      </c>
    </row>
    <row r="1441" spans="1:4" x14ac:dyDescent="0.35">
      <c r="A1441" t="s">
        <v>251</v>
      </c>
      <c r="B1441" t="s">
        <v>252</v>
      </c>
      <c r="C1441">
        <v>1969</v>
      </c>
      <c r="D1441">
        <v>796</v>
      </c>
    </row>
    <row r="1442" spans="1:4" x14ac:dyDescent="0.35">
      <c r="A1442" t="s">
        <v>251</v>
      </c>
      <c r="B1442" t="s">
        <v>252</v>
      </c>
      <c r="C1442">
        <v>1970</v>
      </c>
      <c r="D1442">
        <v>761</v>
      </c>
    </row>
    <row r="1443" spans="1:4" x14ac:dyDescent="0.35">
      <c r="A1443" t="s">
        <v>251</v>
      </c>
      <c r="B1443" t="s">
        <v>252</v>
      </c>
      <c r="C1443">
        <v>1971</v>
      </c>
      <c r="D1443">
        <v>711</v>
      </c>
    </row>
    <row r="1444" spans="1:4" x14ac:dyDescent="0.35">
      <c r="A1444" t="s">
        <v>251</v>
      </c>
      <c r="B1444" t="s">
        <v>252</v>
      </c>
      <c r="C1444">
        <v>1972</v>
      </c>
      <c r="D1444">
        <v>717</v>
      </c>
    </row>
    <row r="1445" spans="1:4" x14ac:dyDescent="0.35">
      <c r="A1445" t="s">
        <v>251</v>
      </c>
      <c r="B1445" t="s">
        <v>252</v>
      </c>
      <c r="C1445">
        <v>1973</v>
      </c>
      <c r="D1445">
        <v>645</v>
      </c>
    </row>
    <row r="1446" spans="1:4" x14ac:dyDescent="0.35">
      <c r="A1446" t="s">
        <v>251</v>
      </c>
      <c r="B1446" t="s">
        <v>252</v>
      </c>
      <c r="C1446">
        <v>1974</v>
      </c>
      <c r="D1446">
        <v>647</v>
      </c>
    </row>
    <row r="1447" spans="1:4" x14ac:dyDescent="0.35">
      <c r="A1447" t="s">
        <v>251</v>
      </c>
      <c r="B1447" t="s">
        <v>252</v>
      </c>
      <c r="C1447">
        <v>1975</v>
      </c>
      <c r="D1447">
        <v>735</v>
      </c>
    </row>
    <row r="1448" spans="1:4" x14ac:dyDescent="0.35">
      <c r="A1448" t="s">
        <v>251</v>
      </c>
      <c r="B1448" t="s">
        <v>252</v>
      </c>
      <c r="C1448">
        <v>1976</v>
      </c>
      <c r="D1448">
        <v>716</v>
      </c>
    </row>
    <row r="1449" spans="1:4" x14ac:dyDescent="0.35">
      <c r="A1449" t="s">
        <v>251</v>
      </c>
      <c r="B1449" t="s">
        <v>252</v>
      </c>
      <c r="C1449">
        <v>1977</v>
      </c>
      <c r="D1449">
        <v>682</v>
      </c>
    </row>
    <row r="1450" spans="1:4" x14ac:dyDescent="0.35">
      <c r="A1450" t="s">
        <v>251</v>
      </c>
      <c r="B1450" t="s">
        <v>252</v>
      </c>
      <c r="C1450">
        <v>1978</v>
      </c>
      <c r="D1450">
        <v>705</v>
      </c>
    </row>
    <row r="1451" spans="1:4" x14ac:dyDescent="0.35">
      <c r="A1451" t="s">
        <v>251</v>
      </c>
      <c r="B1451" t="s">
        <v>252</v>
      </c>
      <c r="C1451">
        <v>1979</v>
      </c>
      <c r="D1451">
        <v>664</v>
      </c>
    </row>
    <row r="1452" spans="1:4" x14ac:dyDescent="0.35">
      <c r="A1452" t="s">
        <v>251</v>
      </c>
      <c r="B1452" t="s">
        <v>252</v>
      </c>
      <c r="C1452">
        <v>1980</v>
      </c>
      <c r="D1452">
        <v>684</v>
      </c>
    </row>
    <row r="1453" spans="1:4" x14ac:dyDescent="0.35">
      <c r="A1453" t="s">
        <v>251</v>
      </c>
      <c r="B1453" t="s">
        <v>252</v>
      </c>
      <c r="C1453">
        <v>1981</v>
      </c>
      <c r="D1453">
        <v>673</v>
      </c>
    </row>
    <row r="1454" spans="1:4" x14ac:dyDescent="0.35">
      <c r="A1454" t="s">
        <v>251</v>
      </c>
      <c r="B1454" t="s">
        <v>252</v>
      </c>
      <c r="C1454">
        <v>1982</v>
      </c>
      <c r="D1454">
        <v>701</v>
      </c>
    </row>
    <row r="1455" spans="1:4" x14ac:dyDescent="0.35">
      <c r="A1455" t="s">
        <v>251</v>
      </c>
      <c r="B1455" t="s">
        <v>252</v>
      </c>
      <c r="C1455">
        <v>1983</v>
      </c>
      <c r="D1455">
        <v>711</v>
      </c>
    </row>
    <row r="1456" spans="1:4" x14ac:dyDescent="0.35">
      <c r="A1456" t="s">
        <v>251</v>
      </c>
      <c r="B1456" t="s">
        <v>252</v>
      </c>
      <c r="C1456">
        <v>1984</v>
      </c>
      <c r="D1456">
        <v>683</v>
      </c>
    </row>
    <row r="1457" spans="1:6" x14ac:dyDescent="0.35">
      <c r="A1457" t="s">
        <v>251</v>
      </c>
      <c r="B1457" t="s">
        <v>252</v>
      </c>
      <c r="C1457">
        <v>1985</v>
      </c>
      <c r="D1457">
        <v>696</v>
      </c>
    </row>
    <row r="1458" spans="1:6" x14ac:dyDescent="0.35">
      <c r="A1458" t="s">
        <v>251</v>
      </c>
      <c r="B1458" t="s">
        <v>252</v>
      </c>
      <c r="C1458">
        <v>1986</v>
      </c>
      <c r="D1458">
        <v>656</v>
      </c>
    </row>
    <row r="1459" spans="1:6" x14ac:dyDescent="0.35">
      <c r="A1459" t="s">
        <v>251</v>
      </c>
      <c r="B1459" t="s">
        <v>252</v>
      </c>
      <c r="C1459">
        <v>1987</v>
      </c>
      <c r="D1459">
        <v>640</v>
      </c>
    </row>
    <row r="1460" spans="1:6" x14ac:dyDescent="0.35">
      <c r="A1460" t="s">
        <v>251</v>
      </c>
      <c r="B1460" t="s">
        <v>252</v>
      </c>
      <c r="C1460">
        <v>1988</v>
      </c>
      <c r="D1460">
        <v>693</v>
      </c>
      <c r="F1460">
        <v>62218</v>
      </c>
    </row>
    <row r="1461" spans="1:6" x14ac:dyDescent="0.35">
      <c r="A1461" t="s">
        <v>251</v>
      </c>
      <c r="B1461" t="s">
        <v>252</v>
      </c>
      <c r="C1461">
        <v>1989</v>
      </c>
      <c r="D1461">
        <v>667</v>
      </c>
      <c r="F1461">
        <v>62245</v>
      </c>
    </row>
    <row r="1462" spans="1:6" x14ac:dyDescent="0.35">
      <c r="A1462" t="s">
        <v>251</v>
      </c>
      <c r="B1462" t="s">
        <v>252</v>
      </c>
      <c r="C1462">
        <v>1990</v>
      </c>
      <c r="D1462">
        <v>761</v>
      </c>
      <c r="F1462">
        <v>64255</v>
      </c>
    </row>
    <row r="1463" spans="1:6" x14ac:dyDescent="0.35">
      <c r="A1463" t="s">
        <v>251</v>
      </c>
      <c r="B1463" t="s">
        <v>252</v>
      </c>
      <c r="C1463">
        <v>1991</v>
      </c>
      <c r="D1463">
        <v>770</v>
      </c>
      <c r="F1463">
        <v>64086</v>
      </c>
    </row>
    <row r="1464" spans="1:6" x14ac:dyDescent="0.35">
      <c r="A1464" t="s">
        <v>251</v>
      </c>
      <c r="B1464" t="s">
        <v>252</v>
      </c>
      <c r="C1464">
        <v>1992</v>
      </c>
      <c r="D1464">
        <v>859</v>
      </c>
      <c r="F1464">
        <v>65194</v>
      </c>
    </row>
    <row r="1465" spans="1:6" x14ac:dyDescent="0.35">
      <c r="A1465" t="s">
        <v>251</v>
      </c>
      <c r="B1465" t="s">
        <v>252</v>
      </c>
      <c r="C1465">
        <v>1993</v>
      </c>
      <c r="D1465">
        <v>881</v>
      </c>
      <c r="F1465">
        <v>63274</v>
      </c>
    </row>
    <row r="1466" spans="1:6" x14ac:dyDescent="0.35">
      <c r="A1466" t="s">
        <v>251</v>
      </c>
      <c r="B1466" t="s">
        <v>252</v>
      </c>
      <c r="C1466">
        <v>1994</v>
      </c>
      <c r="D1466">
        <v>929</v>
      </c>
      <c r="F1466">
        <v>63519</v>
      </c>
    </row>
    <row r="1467" spans="1:6" x14ac:dyDescent="0.35">
      <c r="A1467" t="s">
        <v>251</v>
      </c>
      <c r="B1467" t="s">
        <v>252</v>
      </c>
      <c r="C1467">
        <v>1995</v>
      </c>
      <c r="D1467">
        <v>879</v>
      </c>
      <c r="F1467">
        <v>61522</v>
      </c>
    </row>
    <row r="1468" spans="1:6" x14ac:dyDescent="0.35">
      <c r="A1468" t="s">
        <v>251</v>
      </c>
      <c r="B1468" t="s">
        <v>252</v>
      </c>
      <c r="C1468">
        <v>1996</v>
      </c>
      <c r="D1468">
        <v>949</v>
      </c>
      <c r="F1468">
        <v>58987</v>
      </c>
    </row>
    <row r="1469" spans="1:6" x14ac:dyDescent="0.35">
      <c r="A1469" t="s">
        <v>251</v>
      </c>
      <c r="B1469" t="s">
        <v>252</v>
      </c>
      <c r="C1469">
        <v>1997</v>
      </c>
      <c r="D1469">
        <v>916</v>
      </c>
      <c r="F1469">
        <v>57669</v>
      </c>
    </row>
    <row r="1470" spans="1:6" x14ac:dyDescent="0.35">
      <c r="A1470" t="s">
        <v>251</v>
      </c>
      <c r="B1470" t="s">
        <v>252</v>
      </c>
      <c r="C1470">
        <v>1998</v>
      </c>
      <c r="D1470">
        <v>959</v>
      </c>
      <c r="F1470">
        <v>55353</v>
      </c>
    </row>
    <row r="1471" spans="1:6" x14ac:dyDescent="0.35">
      <c r="A1471" t="s">
        <v>251</v>
      </c>
      <c r="B1471" t="s">
        <v>252</v>
      </c>
      <c r="C1471">
        <v>1999</v>
      </c>
      <c r="D1471">
        <v>901</v>
      </c>
      <c r="F1471">
        <v>55901</v>
      </c>
    </row>
    <row r="1472" spans="1:6" x14ac:dyDescent="0.35">
      <c r="A1472" t="s">
        <v>251</v>
      </c>
      <c r="B1472" t="s">
        <v>252</v>
      </c>
      <c r="C1472">
        <v>2000</v>
      </c>
      <c r="D1472">
        <v>899</v>
      </c>
      <c r="F1472">
        <v>55148</v>
      </c>
    </row>
    <row r="1473" spans="1:6" x14ac:dyDescent="0.35">
      <c r="A1473" t="s">
        <v>251</v>
      </c>
      <c r="B1473" t="s">
        <v>252</v>
      </c>
      <c r="C1473">
        <v>2001</v>
      </c>
      <c r="D1473">
        <v>843</v>
      </c>
      <c r="F1473">
        <v>54658</v>
      </c>
    </row>
    <row r="1474" spans="1:6" x14ac:dyDescent="0.35">
      <c r="A1474" t="s">
        <v>251</v>
      </c>
      <c r="B1474" t="s">
        <v>252</v>
      </c>
      <c r="C1474">
        <v>2002</v>
      </c>
      <c r="D1474">
        <v>829</v>
      </c>
      <c r="F1474">
        <v>54043</v>
      </c>
    </row>
    <row r="1475" spans="1:6" x14ac:dyDescent="0.35">
      <c r="A1475" t="s">
        <v>251</v>
      </c>
      <c r="B1475" t="s">
        <v>252</v>
      </c>
      <c r="C1475">
        <v>2003</v>
      </c>
      <c r="D1475">
        <v>834</v>
      </c>
      <c r="F1475">
        <v>55122</v>
      </c>
    </row>
    <row r="1476" spans="1:6" x14ac:dyDescent="0.35">
      <c r="A1476" t="s">
        <v>251</v>
      </c>
      <c r="B1476" t="s">
        <v>252</v>
      </c>
      <c r="C1476">
        <v>2004</v>
      </c>
      <c r="D1476">
        <v>844</v>
      </c>
      <c r="F1476">
        <v>56206</v>
      </c>
    </row>
    <row r="1477" spans="1:6" x14ac:dyDescent="0.35">
      <c r="A1477" t="s">
        <v>251</v>
      </c>
      <c r="B1477" t="s">
        <v>252</v>
      </c>
      <c r="C1477">
        <v>2005</v>
      </c>
      <c r="D1477">
        <v>847</v>
      </c>
      <c r="F1477">
        <v>56212</v>
      </c>
    </row>
    <row r="1478" spans="1:6" x14ac:dyDescent="0.35">
      <c r="A1478" t="s">
        <v>251</v>
      </c>
      <c r="B1478" t="s">
        <v>252</v>
      </c>
      <c r="C1478">
        <v>2006</v>
      </c>
      <c r="D1478">
        <v>871</v>
      </c>
      <c r="F1478">
        <v>57252</v>
      </c>
    </row>
    <row r="1479" spans="1:6" x14ac:dyDescent="0.35">
      <c r="A1479" t="s">
        <v>251</v>
      </c>
      <c r="B1479" t="s">
        <v>252</v>
      </c>
      <c r="C1479">
        <v>2007</v>
      </c>
      <c r="D1479">
        <v>889</v>
      </c>
      <c r="F1479">
        <v>57125</v>
      </c>
    </row>
    <row r="1480" spans="1:6" x14ac:dyDescent="0.35">
      <c r="A1480" t="s">
        <v>251</v>
      </c>
      <c r="B1480" t="s">
        <v>252</v>
      </c>
      <c r="C1480">
        <v>2008</v>
      </c>
      <c r="D1480">
        <v>854</v>
      </c>
      <c r="F1480">
        <v>57981</v>
      </c>
    </row>
    <row r="1481" spans="1:6" x14ac:dyDescent="0.35">
      <c r="A1481" t="s">
        <v>251</v>
      </c>
      <c r="B1481" t="s">
        <v>252</v>
      </c>
      <c r="C1481">
        <v>2009</v>
      </c>
      <c r="D1481">
        <v>850</v>
      </c>
      <c r="F1481">
        <v>58896</v>
      </c>
    </row>
    <row r="1482" spans="1:6" x14ac:dyDescent="0.35">
      <c r="A1482" t="s">
        <v>251</v>
      </c>
      <c r="B1482" t="s">
        <v>252</v>
      </c>
      <c r="C1482">
        <v>2010</v>
      </c>
      <c r="D1482">
        <v>919</v>
      </c>
      <c r="F1482">
        <v>59284</v>
      </c>
    </row>
    <row r="1483" spans="1:6" x14ac:dyDescent="0.35">
      <c r="A1483" t="s">
        <v>251</v>
      </c>
      <c r="B1483" t="s">
        <v>252</v>
      </c>
      <c r="C1483">
        <v>2011</v>
      </c>
      <c r="D1483">
        <v>841</v>
      </c>
      <c r="F1483">
        <v>58398</v>
      </c>
    </row>
    <row r="1484" spans="1:6" x14ac:dyDescent="0.35">
      <c r="A1484" t="s">
        <v>251</v>
      </c>
      <c r="B1484" t="s">
        <v>252</v>
      </c>
      <c r="C1484">
        <v>2012</v>
      </c>
      <c r="D1484">
        <v>794</v>
      </c>
      <c r="F1484">
        <v>58030</v>
      </c>
    </row>
    <row r="1485" spans="1:6" x14ac:dyDescent="0.35">
      <c r="A1485" t="s">
        <v>251</v>
      </c>
      <c r="B1485" t="s">
        <v>252</v>
      </c>
      <c r="C1485">
        <v>2013</v>
      </c>
      <c r="D1485">
        <v>785</v>
      </c>
      <c r="F1485">
        <v>56692</v>
      </c>
    </row>
    <row r="1486" spans="1:6" x14ac:dyDescent="0.35">
      <c r="A1486" t="s">
        <v>251</v>
      </c>
      <c r="B1486" t="s">
        <v>252</v>
      </c>
      <c r="C1486">
        <v>2014</v>
      </c>
      <c r="D1486">
        <v>771</v>
      </c>
      <c r="F1486">
        <v>55825</v>
      </c>
    </row>
    <row r="1487" spans="1:6" x14ac:dyDescent="0.35">
      <c r="A1487" t="s">
        <v>251</v>
      </c>
      <c r="B1487" t="s">
        <v>252</v>
      </c>
      <c r="C1487">
        <v>2015</v>
      </c>
      <c r="D1487">
        <v>738</v>
      </c>
      <c r="F1487">
        <v>54144</v>
      </c>
    </row>
    <row r="1488" spans="1:6" x14ac:dyDescent="0.35">
      <c r="A1488" t="s">
        <v>251</v>
      </c>
      <c r="B1488" t="s">
        <v>252</v>
      </c>
      <c r="C1488">
        <v>2016</v>
      </c>
      <c r="D1488">
        <v>730</v>
      </c>
      <c r="F1488">
        <v>51494</v>
      </c>
    </row>
    <row r="1489" spans="1:6" x14ac:dyDescent="0.35">
      <c r="A1489" t="s">
        <v>251</v>
      </c>
      <c r="B1489" t="s">
        <v>252</v>
      </c>
      <c r="C1489">
        <v>2017</v>
      </c>
      <c r="D1489">
        <v>690</v>
      </c>
      <c r="F1489">
        <v>49066</v>
      </c>
    </row>
    <row r="1490" spans="1:6" x14ac:dyDescent="0.35">
      <c r="A1490" t="s">
        <v>251</v>
      </c>
      <c r="B1490" t="s">
        <v>252</v>
      </c>
      <c r="C1490">
        <v>2018</v>
      </c>
      <c r="D1490">
        <v>618</v>
      </c>
      <c r="F1490">
        <v>46459</v>
      </c>
    </row>
    <row r="1491" spans="1:6" x14ac:dyDescent="0.35">
      <c r="A1491" t="s">
        <v>251</v>
      </c>
      <c r="B1491" t="s">
        <v>252</v>
      </c>
      <c r="C1491">
        <v>2019</v>
      </c>
      <c r="D1491">
        <v>572</v>
      </c>
      <c r="F1491">
        <v>44574</v>
      </c>
    </row>
    <row r="1492" spans="1:6" x14ac:dyDescent="0.35">
      <c r="A1492" t="s">
        <v>253</v>
      </c>
      <c r="B1492" t="s">
        <v>254</v>
      </c>
      <c r="C1492">
        <v>1858</v>
      </c>
      <c r="D1492">
        <v>9791</v>
      </c>
      <c r="E1492">
        <v>19582</v>
      </c>
    </row>
    <row r="1493" spans="1:6" x14ac:dyDescent="0.35">
      <c r="A1493" t="s">
        <v>253</v>
      </c>
      <c r="B1493" t="s">
        <v>254</v>
      </c>
      <c r="C1493">
        <v>1859</v>
      </c>
      <c r="D1493">
        <v>11005</v>
      </c>
      <c r="E1493">
        <v>22010</v>
      </c>
    </row>
    <row r="1494" spans="1:6" x14ac:dyDescent="0.35">
      <c r="A1494" t="s">
        <v>253</v>
      </c>
      <c r="B1494" t="s">
        <v>254</v>
      </c>
      <c r="C1494">
        <v>1860</v>
      </c>
      <c r="D1494">
        <v>9943</v>
      </c>
      <c r="E1494">
        <v>19886</v>
      </c>
    </row>
    <row r="1495" spans="1:6" x14ac:dyDescent="0.35">
      <c r="A1495" t="s">
        <v>253</v>
      </c>
      <c r="B1495" t="s">
        <v>254</v>
      </c>
      <c r="C1495">
        <v>1861</v>
      </c>
      <c r="D1495">
        <v>10782</v>
      </c>
      <c r="E1495">
        <v>21564</v>
      </c>
    </row>
    <row r="1496" spans="1:6" x14ac:dyDescent="0.35">
      <c r="A1496" t="s">
        <v>253</v>
      </c>
      <c r="B1496" t="s">
        <v>254</v>
      </c>
      <c r="C1496">
        <v>1862</v>
      </c>
      <c r="D1496">
        <v>10214</v>
      </c>
      <c r="E1496">
        <v>20428</v>
      </c>
    </row>
    <row r="1497" spans="1:6" x14ac:dyDescent="0.35">
      <c r="A1497" t="s">
        <v>253</v>
      </c>
      <c r="B1497" t="s">
        <v>254</v>
      </c>
      <c r="C1497">
        <v>1863</v>
      </c>
      <c r="D1497">
        <v>10642</v>
      </c>
      <c r="E1497">
        <v>21284</v>
      </c>
    </row>
    <row r="1498" spans="1:6" x14ac:dyDescent="0.35">
      <c r="A1498" t="s">
        <v>253</v>
      </c>
      <c r="B1498" t="s">
        <v>254</v>
      </c>
      <c r="C1498">
        <v>1864</v>
      </c>
      <c r="D1498">
        <v>10718</v>
      </c>
      <c r="E1498">
        <v>21436</v>
      </c>
    </row>
    <row r="1499" spans="1:6" x14ac:dyDescent="0.35">
      <c r="A1499" t="s">
        <v>253</v>
      </c>
      <c r="B1499" t="s">
        <v>254</v>
      </c>
      <c r="C1499">
        <v>1865</v>
      </c>
      <c r="D1499">
        <v>10634</v>
      </c>
      <c r="E1499">
        <v>21268</v>
      </c>
    </row>
    <row r="1500" spans="1:6" x14ac:dyDescent="0.35">
      <c r="A1500" t="s">
        <v>253</v>
      </c>
      <c r="B1500" t="s">
        <v>254</v>
      </c>
      <c r="C1500">
        <v>1866</v>
      </c>
      <c r="D1500">
        <v>10225</v>
      </c>
      <c r="E1500">
        <v>20450</v>
      </c>
    </row>
    <row r="1501" spans="1:6" x14ac:dyDescent="0.35">
      <c r="A1501" t="s">
        <v>253</v>
      </c>
      <c r="B1501" t="s">
        <v>254</v>
      </c>
      <c r="C1501">
        <v>1867</v>
      </c>
      <c r="D1501">
        <v>9976</v>
      </c>
      <c r="E1501">
        <v>19952</v>
      </c>
    </row>
    <row r="1502" spans="1:6" x14ac:dyDescent="0.35">
      <c r="A1502" t="s">
        <v>253</v>
      </c>
      <c r="B1502" t="s">
        <v>254</v>
      </c>
      <c r="C1502">
        <v>1868</v>
      </c>
      <c r="D1502">
        <v>9923</v>
      </c>
      <c r="E1502">
        <v>19846</v>
      </c>
    </row>
    <row r="1503" spans="1:6" x14ac:dyDescent="0.35">
      <c r="A1503" t="s">
        <v>253</v>
      </c>
      <c r="B1503" t="s">
        <v>254</v>
      </c>
      <c r="C1503">
        <v>1869</v>
      </c>
      <c r="D1503">
        <v>9367</v>
      </c>
      <c r="E1503">
        <v>18734</v>
      </c>
    </row>
    <row r="1504" spans="1:6" x14ac:dyDescent="0.35">
      <c r="A1504" t="s">
        <v>253</v>
      </c>
      <c r="B1504" t="s">
        <v>254</v>
      </c>
      <c r="C1504">
        <v>1870</v>
      </c>
      <c r="D1504">
        <v>8204</v>
      </c>
      <c r="E1504">
        <v>16322</v>
      </c>
    </row>
    <row r="1505" spans="1:5" x14ac:dyDescent="0.35">
      <c r="A1505" t="s">
        <v>253</v>
      </c>
      <c r="B1505" t="s">
        <v>254</v>
      </c>
      <c r="C1505">
        <v>1871</v>
      </c>
      <c r="D1505">
        <v>7562</v>
      </c>
      <c r="E1505">
        <v>14980</v>
      </c>
    </row>
    <row r="1506" spans="1:5" x14ac:dyDescent="0.35">
      <c r="A1506" t="s">
        <v>253</v>
      </c>
      <c r="B1506" t="s">
        <v>254</v>
      </c>
      <c r="C1506">
        <v>1872</v>
      </c>
      <c r="D1506">
        <v>9874</v>
      </c>
      <c r="E1506">
        <v>19748</v>
      </c>
    </row>
    <row r="1507" spans="1:5" x14ac:dyDescent="0.35">
      <c r="A1507" t="s">
        <v>253</v>
      </c>
      <c r="B1507" t="s">
        <v>254</v>
      </c>
      <c r="C1507">
        <v>1873</v>
      </c>
      <c r="D1507">
        <v>9459</v>
      </c>
      <c r="E1507">
        <v>18918</v>
      </c>
    </row>
    <row r="1508" spans="1:5" x14ac:dyDescent="0.35">
      <c r="A1508" t="s">
        <v>253</v>
      </c>
      <c r="B1508" t="s">
        <v>254</v>
      </c>
      <c r="C1508">
        <v>1874</v>
      </c>
      <c r="D1508">
        <v>9771</v>
      </c>
      <c r="E1508">
        <v>19542</v>
      </c>
    </row>
    <row r="1509" spans="1:5" x14ac:dyDescent="0.35">
      <c r="A1509" t="s">
        <v>253</v>
      </c>
      <c r="B1509" t="s">
        <v>254</v>
      </c>
      <c r="C1509">
        <v>1875</v>
      </c>
      <c r="D1509">
        <v>9646</v>
      </c>
      <c r="E1509">
        <v>19292</v>
      </c>
    </row>
    <row r="1510" spans="1:5" x14ac:dyDescent="0.35">
      <c r="A1510" t="s">
        <v>253</v>
      </c>
      <c r="B1510" t="s">
        <v>254</v>
      </c>
      <c r="C1510">
        <v>1876</v>
      </c>
      <c r="D1510">
        <v>10034</v>
      </c>
      <c r="E1510">
        <v>20068</v>
      </c>
    </row>
    <row r="1511" spans="1:5" x14ac:dyDescent="0.35">
      <c r="A1511" t="s">
        <v>253</v>
      </c>
      <c r="B1511" t="s">
        <v>254</v>
      </c>
      <c r="C1511">
        <v>1877</v>
      </c>
      <c r="D1511">
        <v>9405</v>
      </c>
      <c r="E1511">
        <v>18810</v>
      </c>
    </row>
    <row r="1512" spans="1:5" x14ac:dyDescent="0.35">
      <c r="A1512" t="s">
        <v>253</v>
      </c>
      <c r="B1512" t="s">
        <v>254</v>
      </c>
      <c r="C1512">
        <v>1878</v>
      </c>
      <c r="D1512">
        <v>9533</v>
      </c>
      <c r="E1512">
        <v>19066</v>
      </c>
    </row>
    <row r="1513" spans="1:5" x14ac:dyDescent="0.35">
      <c r="A1513" t="s">
        <v>253</v>
      </c>
      <c r="B1513" t="s">
        <v>254</v>
      </c>
      <c r="C1513">
        <v>1879</v>
      </c>
      <c r="D1513">
        <v>9484</v>
      </c>
      <c r="E1513">
        <v>18968</v>
      </c>
    </row>
    <row r="1514" spans="1:5" x14ac:dyDescent="0.35">
      <c r="A1514" t="s">
        <v>253</v>
      </c>
      <c r="B1514" t="s">
        <v>254</v>
      </c>
      <c r="C1514">
        <v>1880</v>
      </c>
      <c r="D1514">
        <v>9438</v>
      </c>
      <c r="E1514">
        <v>18876</v>
      </c>
    </row>
    <row r="1515" spans="1:5" x14ac:dyDescent="0.35">
      <c r="A1515" t="s">
        <v>253</v>
      </c>
      <c r="B1515" t="s">
        <v>254</v>
      </c>
      <c r="C1515">
        <v>1881</v>
      </c>
      <c r="D1515">
        <v>9327</v>
      </c>
      <c r="E1515">
        <v>18654</v>
      </c>
    </row>
    <row r="1516" spans="1:5" x14ac:dyDescent="0.35">
      <c r="A1516" t="s">
        <v>253</v>
      </c>
      <c r="B1516" t="s">
        <v>254</v>
      </c>
      <c r="C1516">
        <v>1882</v>
      </c>
      <c r="D1516">
        <v>9714</v>
      </c>
      <c r="E1516">
        <v>19428</v>
      </c>
    </row>
    <row r="1517" spans="1:5" x14ac:dyDescent="0.35">
      <c r="A1517" t="s">
        <v>253</v>
      </c>
      <c r="B1517" t="s">
        <v>254</v>
      </c>
      <c r="C1517">
        <v>1883</v>
      </c>
      <c r="D1517">
        <v>9812</v>
      </c>
      <c r="E1517">
        <v>19624</v>
      </c>
    </row>
    <row r="1518" spans="1:5" x14ac:dyDescent="0.35">
      <c r="A1518" t="s">
        <v>253</v>
      </c>
      <c r="B1518" t="s">
        <v>254</v>
      </c>
      <c r="C1518">
        <v>1884</v>
      </c>
      <c r="D1518">
        <v>9728</v>
      </c>
      <c r="E1518">
        <v>19456</v>
      </c>
    </row>
    <row r="1519" spans="1:5" x14ac:dyDescent="0.35">
      <c r="A1519" t="s">
        <v>253</v>
      </c>
      <c r="B1519" t="s">
        <v>254</v>
      </c>
      <c r="C1519">
        <v>1885</v>
      </c>
      <c r="D1519">
        <v>9651</v>
      </c>
      <c r="E1519">
        <v>19302</v>
      </c>
    </row>
    <row r="1520" spans="1:5" x14ac:dyDescent="0.35">
      <c r="A1520" t="s">
        <v>253</v>
      </c>
      <c r="B1520" t="s">
        <v>254</v>
      </c>
      <c r="C1520">
        <v>1886</v>
      </c>
      <c r="D1520">
        <v>9256</v>
      </c>
      <c r="E1520">
        <v>18512</v>
      </c>
    </row>
    <row r="1521" spans="1:5" x14ac:dyDescent="0.35">
      <c r="A1521" t="s">
        <v>253</v>
      </c>
      <c r="B1521" t="s">
        <v>254</v>
      </c>
      <c r="C1521">
        <v>1887</v>
      </c>
      <c r="D1521">
        <v>9163</v>
      </c>
      <c r="E1521">
        <v>18326</v>
      </c>
    </row>
    <row r="1522" spans="1:5" x14ac:dyDescent="0.35">
      <c r="A1522" t="s">
        <v>253</v>
      </c>
      <c r="B1522" t="s">
        <v>254</v>
      </c>
      <c r="C1522">
        <v>1888</v>
      </c>
      <c r="D1522">
        <v>8922</v>
      </c>
      <c r="E1522">
        <v>17844</v>
      </c>
    </row>
    <row r="1523" spans="1:5" x14ac:dyDescent="0.35">
      <c r="A1523" t="s">
        <v>253</v>
      </c>
      <c r="B1523" t="s">
        <v>254</v>
      </c>
      <c r="C1523">
        <v>1889</v>
      </c>
      <c r="D1523">
        <v>8675</v>
      </c>
      <c r="E1523">
        <v>17350</v>
      </c>
    </row>
    <row r="1524" spans="1:5" x14ac:dyDescent="0.35">
      <c r="A1524" t="s">
        <v>253</v>
      </c>
      <c r="C1524">
        <v>1890</v>
      </c>
    </row>
    <row r="1525" spans="1:5" x14ac:dyDescent="0.35">
      <c r="A1525" t="s">
        <v>253</v>
      </c>
      <c r="C1525">
        <v>1891</v>
      </c>
    </row>
    <row r="1526" spans="1:5" x14ac:dyDescent="0.35">
      <c r="A1526" t="s">
        <v>253</v>
      </c>
      <c r="B1526" t="s">
        <v>254</v>
      </c>
      <c r="C1526">
        <v>1892</v>
      </c>
      <c r="D1526">
        <v>9144</v>
      </c>
      <c r="E1526">
        <v>18288</v>
      </c>
    </row>
    <row r="1527" spans="1:5" x14ac:dyDescent="0.35">
      <c r="A1527" t="s">
        <v>253</v>
      </c>
      <c r="B1527" t="s">
        <v>254</v>
      </c>
      <c r="C1527">
        <v>1893</v>
      </c>
      <c r="D1527">
        <v>9354</v>
      </c>
      <c r="E1527">
        <v>18698</v>
      </c>
    </row>
    <row r="1528" spans="1:5" x14ac:dyDescent="0.35">
      <c r="A1528" t="s">
        <v>253</v>
      </c>
      <c r="B1528" t="s">
        <v>254</v>
      </c>
      <c r="C1528">
        <v>1894</v>
      </c>
      <c r="D1528">
        <v>9040</v>
      </c>
      <c r="E1528">
        <v>18080</v>
      </c>
    </row>
    <row r="1529" spans="1:5" x14ac:dyDescent="0.35">
      <c r="A1529" t="s">
        <v>253</v>
      </c>
      <c r="C1529">
        <v>1895</v>
      </c>
    </row>
    <row r="1530" spans="1:5" x14ac:dyDescent="0.35">
      <c r="A1530" t="s">
        <v>253</v>
      </c>
      <c r="C1530">
        <v>1896</v>
      </c>
    </row>
    <row r="1531" spans="1:5" x14ac:dyDescent="0.35">
      <c r="A1531" t="s">
        <v>253</v>
      </c>
      <c r="C1531">
        <v>1897</v>
      </c>
    </row>
    <row r="1532" spans="1:5" x14ac:dyDescent="0.35">
      <c r="A1532" t="s">
        <v>253</v>
      </c>
      <c r="B1532" t="s">
        <v>254</v>
      </c>
      <c r="C1532">
        <v>1898</v>
      </c>
      <c r="D1532">
        <v>9562</v>
      </c>
      <c r="E1532">
        <v>19124</v>
      </c>
    </row>
    <row r="1533" spans="1:5" x14ac:dyDescent="0.35">
      <c r="A1533" t="s">
        <v>253</v>
      </c>
      <c r="B1533" t="s">
        <v>254</v>
      </c>
      <c r="C1533">
        <v>1899</v>
      </c>
      <c r="D1533">
        <v>9528</v>
      </c>
      <c r="E1533">
        <v>19056</v>
      </c>
    </row>
    <row r="1534" spans="1:5" x14ac:dyDescent="0.35">
      <c r="A1534" t="s">
        <v>253</v>
      </c>
      <c r="B1534" t="s">
        <v>254</v>
      </c>
      <c r="C1534">
        <v>1900</v>
      </c>
      <c r="D1534">
        <v>9222</v>
      </c>
      <c r="E1534">
        <v>18444</v>
      </c>
    </row>
    <row r="1535" spans="1:5" x14ac:dyDescent="0.35">
      <c r="A1535" t="s">
        <v>253</v>
      </c>
      <c r="B1535" t="s">
        <v>254</v>
      </c>
      <c r="C1535">
        <v>1901</v>
      </c>
      <c r="D1535">
        <v>9505</v>
      </c>
      <c r="E1535">
        <v>19010</v>
      </c>
    </row>
    <row r="1536" spans="1:5" x14ac:dyDescent="0.35">
      <c r="A1536" t="s">
        <v>253</v>
      </c>
      <c r="B1536" t="s">
        <v>255</v>
      </c>
      <c r="C1536">
        <v>1902</v>
      </c>
    </row>
    <row r="1537" spans="1:3" x14ac:dyDescent="0.35">
      <c r="A1537" t="s">
        <v>253</v>
      </c>
      <c r="B1537" t="s">
        <v>255</v>
      </c>
      <c r="C1537">
        <v>1903</v>
      </c>
    </row>
    <row r="1538" spans="1:3" x14ac:dyDescent="0.35">
      <c r="A1538" t="s">
        <v>253</v>
      </c>
      <c r="B1538" t="s">
        <v>255</v>
      </c>
      <c r="C1538">
        <v>1904</v>
      </c>
    </row>
    <row r="1539" spans="1:3" x14ac:dyDescent="0.35">
      <c r="A1539" t="s">
        <v>253</v>
      </c>
      <c r="B1539" t="s">
        <v>255</v>
      </c>
      <c r="C1539">
        <v>1905</v>
      </c>
    </row>
    <row r="1540" spans="1:3" x14ac:dyDescent="0.35">
      <c r="A1540" t="s">
        <v>253</v>
      </c>
      <c r="B1540" t="s">
        <v>255</v>
      </c>
      <c r="C1540">
        <v>1906</v>
      </c>
    </row>
    <row r="1541" spans="1:3" x14ac:dyDescent="0.35">
      <c r="A1541" t="s">
        <v>253</v>
      </c>
      <c r="B1541" t="s">
        <v>255</v>
      </c>
      <c r="C1541">
        <v>1907</v>
      </c>
    </row>
    <row r="1542" spans="1:3" x14ac:dyDescent="0.35">
      <c r="A1542" t="s">
        <v>253</v>
      </c>
      <c r="B1542" t="s">
        <v>255</v>
      </c>
      <c r="C1542">
        <v>1908</v>
      </c>
    </row>
    <row r="1543" spans="1:3" x14ac:dyDescent="0.35">
      <c r="A1543" t="s">
        <v>253</v>
      </c>
      <c r="B1543" t="s">
        <v>255</v>
      </c>
      <c r="C1543">
        <v>1909</v>
      </c>
    </row>
    <row r="1544" spans="1:3" x14ac:dyDescent="0.35">
      <c r="A1544" t="s">
        <v>253</v>
      </c>
      <c r="B1544" t="s">
        <v>255</v>
      </c>
      <c r="C1544">
        <v>1910</v>
      </c>
    </row>
    <row r="1545" spans="1:3" x14ac:dyDescent="0.35">
      <c r="A1545" t="s">
        <v>253</v>
      </c>
      <c r="B1545" t="s">
        <v>255</v>
      </c>
      <c r="C1545">
        <v>1911</v>
      </c>
    </row>
    <row r="1546" spans="1:3" x14ac:dyDescent="0.35">
      <c r="A1546" t="s">
        <v>253</v>
      </c>
      <c r="B1546" t="s">
        <v>255</v>
      </c>
      <c r="C1546">
        <v>1912</v>
      </c>
    </row>
    <row r="1547" spans="1:3" x14ac:dyDescent="0.35">
      <c r="A1547" t="s">
        <v>253</v>
      </c>
      <c r="B1547" t="s">
        <v>255</v>
      </c>
      <c r="C1547">
        <v>1913</v>
      </c>
    </row>
    <row r="1548" spans="1:3" x14ac:dyDescent="0.35">
      <c r="A1548" t="s">
        <v>253</v>
      </c>
      <c r="B1548" t="s">
        <v>255</v>
      </c>
      <c r="C1548">
        <v>1914</v>
      </c>
    </row>
    <row r="1549" spans="1:3" x14ac:dyDescent="0.35">
      <c r="A1549" t="s">
        <v>253</v>
      </c>
      <c r="B1549" t="s">
        <v>255</v>
      </c>
      <c r="C1549">
        <v>1915</v>
      </c>
    </row>
    <row r="1550" spans="1:3" x14ac:dyDescent="0.35">
      <c r="A1550" t="s">
        <v>253</v>
      </c>
      <c r="B1550" t="s">
        <v>255</v>
      </c>
      <c r="C1550">
        <v>1916</v>
      </c>
    </row>
    <row r="1551" spans="1:3" x14ac:dyDescent="0.35">
      <c r="A1551" t="s">
        <v>253</v>
      </c>
      <c r="B1551" t="s">
        <v>255</v>
      </c>
      <c r="C1551">
        <v>1917</v>
      </c>
    </row>
    <row r="1552" spans="1:3" x14ac:dyDescent="0.35">
      <c r="A1552" t="s">
        <v>253</v>
      </c>
      <c r="B1552" t="s">
        <v>255</v>
      </c>
      <c r="C1552">
        <v>1918</v>
      </c>
    </row>
    <row r="1553" spans="1:4" x14ac:dyDescent="0.35">
      <c r="A1553" t="s">
        <v>253</v>
      </c>
      <c r="B1553" t="s">
        <v>255</v>
      </c>
      <c r="C1553">
        <v>1919</v>
      </c>
    </row>
    <row r="1554" spans="1:4" x14ac:dyDescent="0.35">
      <c r="A1554" t="s">
        <v>253</v>
      </c>
      <c r="B1554" t="s">
        <v>255</v>
      </c>
      <c r="C1554">
        <v>1920</v>
      </c>
      <c r="D1554">
        <v>9693</v>
      </c>
    </row>
    <row r="1555" spans="1:4" x14ac:dyDescent="0.35">
      <c r="A1555" t="s">
        <v>253</v>
      </c>
      <c r="B1555" t="s">
        <v>255</v>
      </c>
      <c r="C1555">
        <v>1921</v>
      </c>
      <c r="D1555">
        <v>9318</v>
      </c>
    </row>
    <row r="1556" spans="1:4" x14ac:dyDescent="0.35">
      <c r="A1556" t="s">
        <v>253</v>
      </c>
      <c r="B1556" t="s">
        <v>255</v>
      </c>
      <c r="C1556">
        <v>1922</v>
      </c>
      <c r="D1556">
        <v>8375</v>
      </c>
    </row>
    <row r="1557" spans="1:4" x14ac:dyDescent="0.35">
      <c r="A1557" t="s">
        <v>253</v>
      </c>
      <c r="B1557" t="s">
        <v>255</v>
      </c>
      <c r="C1557">
        <v>1923</v>
      </c>
      <c r="D1557">
        <v>8455</v>
      </c>
    </row>
    <row r="1558" spans="1:4" x14ac:dyDescent="0.35">
      <c r="A1558" t="s">
        <v>253</v>
      </c>
      <c r="B1558" t="s">
        <v>255</v>
      </c>
      <c r="C1558">
        <v>1924</v>
      </c>
      <c r="D1558">
        <v>8424</v>
      </c>
    </row>
    <row r="1559" spans="1:4" x14ac:dyDescent="0.35">
      <c r="A1559" t="s">
        <v>253</v>
      </c>
      <c r="B1559" t="s">
        <v>255</v>
      </c>
      <c r="C1559">
        <v>1925</v>
      </c>
      <c r="D1559">
        <v>8407</v>
      </c>
    </row>
    <row r="1560" spans="1:4" x14ac:dyDescent="0.35">
      <c r="A1560" t="s">
        <v>253</v>
      </c>
      <c r="B1560" t="s">
        <v>255</v>
      </c>
      <c r="C1560">
        <v>1926</v>
      </c>
      <c r="D1560">
        <v>8280</v>
      </c>
    </row>
    <row r="1561" spans="1:4" x14ac:dyDescent="0.35">
      <c r="A1561" t="s">
        <v>253</v>
      </c>
      <c r="B1561" t="s">
        <v>255</v>
      </c>
      <c r="C1561">
        <v>1927</v>
      </c>
      <c r="D1561">
        <v>8221</v>
      </c>
    </row>
    <row r="1562" spans="1:4" x14ac:dyDescent="0.35">
      <c r="A1562" t="s">
        <v>253</v>
      </c>
      <c r="B1562" t="s">
        <v>255</v>
      </c>
      <c r="C1562">
        <v>1928</v>
      </c>
      <c r="D1562">
        <v>8425</v>
      </c>
    </row>
    <row r="1563" spans="1:4" x14ac:dyDescent="0.35">
      <c r="A1563" t="s">
        <v>253</v>
      </c>
      <c r="B1563" t="s">
        <v>255</v>
      </c>
      <c r="C1563">
        <v>1929</v>
      </c>
      <c r="D1563">
        <v>7977</v>
      </c>
    </row>
    <row r="1564" spans="1:4" x14ac:dyDescent="0.35">
      <c r="A1564" t="s">
        <v>253</v>
      </c>
      <c r="B1564" t="s">
        <v>255</v>
      </c>
      <c r="C1564">
        <v>1930</v>
      </c>
      <c r="D1564">
        <v>8194</v>
      </c>
    </row>
    <row r="1565" spans="1:4" x14ac:dyDescent="0.35">
      <c r="A1565" t="s">
        <v>253</v>
      </c>
      <c r="B1565" t="s">
        <v>255</v>
      </c>
      <c r="C1565">
        <v>1931</v>
      </c>
      <c r="D1565">
        <v>7714</v>
      </c>
    </row>
    <row r="1566" spans="1:4" x14ac:dyDescent="0.35">
      <c r="A1566" t="s">
        <v>253</v>
      </c>
      <c r="B1566" t="s">
        <v>255</v>
      </c>
      <c r="C1566">
        <v>1932</v>
      </c>
      <c r="D1566">
        <v>7989</v>
      </c>
    </row>
    <row r="1567" spans="1:4" x14ac:dyDescent="0.35">
      <c r="A1567" t="s">
        <v>253</v>
      </c>
      <c r="B1567" t="s">
        <v>255</v>
      </c>
      <c r="C1567">
        <v>1933</v>
      </c>
      <c r="D1567">
        <v>7558</v>
      </c>
    </row>
    <row r="1568" spans="1:4" x14ac:dyDescent="0.35">
      <c r="A1568" t="s">
        <v>253</v>
      </c>
      <c r="B1568" t="s">
        <v>255</v>
      </c>
      <c r="C1568">
        <v>1934</v>
      </c>
      <c r="D1568">
        <v>7377</v>
      </c>
    </row>
    <row r="1569" spans="1:4" x14ac:dyDescent="0.35">
      <c r="A1569" t="s">
        <v>253</v>
      </c>
      <c r="B1569" t="s">
        <v>255</v>
      </c>
      <c r="C1569">
        <v>1935</v>
      </c>
      <c r="D1569">
        <v>6993</v>
      </c>
    </row>
    <row r="1570" spans="1:4" x14ac:dyDescent="0.35">
      <c r="A1570" t="s">
        <v>253</v>
      </c>
      <c r="B1570" t="s">
        <v>255</v>
      </c>
      <c r="C1570">
        <v>1936</v>
      </c>
      <c r="D1570">
        <v>6885</v>
      </c>
    </row>
    <row r="1571" spans="1:4" x14ac:dyDescent="0.35">
      <c r="A1571" t="s">
        <v>253</v>
      </c>
      <c r="B1571" t="s">
        <v>255</v>
      </c>
      <c r="C1571">
        <v>1937</v>
      </c>
      <c r="D1571">
        <v>6886</v>
      </c>
    </row>
    <row r="1572" spans="1:4" x14ac:dyDescent="0.35">
      <c r="A1572" t="s">
        <v>253</v>
      </c>
      <c r="B1572" t="s">
        <v>255</v>
      </c>
      <c r="C1572">
        <v>1938</v>
      </c>
      <c r="D1572">
        <v>6527</v>
      </c>
    </row>
    <row r="1573" spans="1:4" x14ac:dyDescent="0.35">
      <c r="A1573" t="s">
        <v>253</v>
      </c>
      <c r="B1573" t="s">
        <v>255</v>
      </c>
      <c r="C1573">
        <v>1939</v>
      </c>
    </row>
    <row r="1574" spans="1:4" x14ac:dyDescent="0.35">
      <c r="A1574" t="s">
        <v>253</v>
      </c>
      <c r="B1574" t="s">
        <v>255</v>
      </c>
      <c r="C1574">
        <v>1940</v>
      </c>
    </row>
    <row r="1575" spans="1:4" x14ac:dyDescent="0.35">
      <c r="A1575" t="s">
        <v>253</v>
      </c>
      <c r="B1575" t="s">
        <v>255</v>
      </c>
      <c r="C1575">
        <v>1941</v>
      </c>
    </row>
    <row r="1576" spans="1:4" x14ac:dyDescent="0.35">
      <c r="A1576" t="s">
        <v>253</v>
      </c>
      <c r="B1576" t="s">
        <v>255</v>
      </c>
      <c r="C1576">
        <v>1942</v>
      </c>
    </row>
    <row r="1577" spans="1:4" x14ac:dyDescent="0.35">
      <c r="A1577" t="s">
        <v>253</v>
      </c>
      <c r="B1577" t="s">
        <v>255</v>
      </c>
      <c r="C1577">
        <v>1943</v>
      </c>
    </row>
    <row r="1578" spans="1:4" x14ac:dyDescent="0.35">
      <c r="A1578" t="s">
        <v>253</v>
      </c>
      <c r="B1578" t="s">
        <v>255</v>
      </c>
      <c r="C1578">
        <v>1944</v>
      </c>
    </row>
    <row r="1579" spans="1:4" x14ac:dyDescent="0.35">
      <c r="A1579" t="s">
        <v>253</v>
      </c>
      <c r="B1579" t="s">
        <v>255</v>
      </c>
      <c r="C1579">
        <v>1945</v>
      </c>
    </row>
    <row r="1580" spans="1:4" x14ac:dyDescent="0.35">
      <c r="A1580" t="s">
        <v>253</v>
      </c>
      <c r="B1580" t="s">
        <v>255</v>
      </c>
      <c r="C1580">
        <v>1946</v>
      </c>
      <c r="D1580">
        <v>9289</v>
      </c>
    </row>
    <row r="1581" spans="1:4" x14ac:dyDescent="0.35">
      <c r="A1581" t="s">
        <v>253</v>
      </c>
      <c r="B1581" t="s">
        <v>255</v>
      </c>
      <c r="C1581">
        <v>1947</v>
      </c>
      <c r="D1581">
        <v>9439</v>
      </c>
    </row>
    <row r="1582" spans="1:4" x14ac:dyDescent="0.35">
      <c r="A1582" t="s">
        <v>253</v>
      </c>
      <c r="B1582" t="s">
        <v>255</v>
      </c>
      <c r="C1582">
        <v>1948</v>
      </c>
      <c r="D1582">
        <v>9383</v>
      </c>
    </row>
    <row r="1583" spans="1:4" x14ac:dyDescent="0.35">
      <c r="A1583" t="s">
        <v>253</v>
      </c>
      <c r="B1583" t="s">
        <v>255</v>
      </c>
      <c r="C1583">
        <v>1949</v>
      </c>
      <c r="D1583">
        <v>9682</v>
      </c>
    </row>
    <row r="1584" spans="1:4" x14ac:dyDescent="0.35">
      <c r="A1584" t="s">
        <v>253</v>
      </c>
      <c r="B1584" t="s">
        <v>255</v>
      </c>
      <c r="C1584">
        <v>1950</v>
      </c>
      <c r="D1584">
        <v>9323</v>
      </c>
    </row>
    <row r="1585" spans="1:4" x14ac:dyDescent="0.35">
      <c r="A1585" t="s">
        <v>253</v>
      </c>
      <c r="B1585" t="s">
        <v>255</v>
      </c>
      <c r="C1585">
        <v>1951</v>
      </c>
      <c r="D1585">
        <v>8960</v>
      </c>
    </row>
    <row r="1586" spans="1:4" x14ac:dyDescent="0.35">
      <c r="A1586" t="s">
        <v>253</v>
      </c>
      <c r="B1586" t="s">
        <v>255</v>
      </c>
      <c r="C1586">
        <v>1952</v>
      </c>
      <c r="D1586">
        <v>8722</v>
      </c>
    </row>
    <row r="1587" spans="1:4" x14ac:dyDescent="0.35">
      <c r="A1587" t="s">
        <v>253</v>
      </c>
      <c r="B1587" t="s">
        <v>255</v>
      </c>
      <c r="C1587">
        <v>1953</v>
      </c>
      <c r="D1587">
        <v>8491</v>
      </c>
    </row>
    <row r="1588" spans="1:4" x14ac:dyDescent="0.35">
      <c r="A1588" t="s">
        <v>253</v>
      </c>
      <c r="B1588" t="s">
        <v>255</v>
      </c>
      <c r="C1588">
        <v>1954</v>
      </c>
      <c r="D1588">
        <v>8694</v>
      </c>
    </row>
    <row r="1589" spans="1:4" x14ac:dyDescent="0.35">
      <c r="A1589" t="s">
        <v>253</v>
      </c>
      <c r="B1589" t="s">
        <v>255</v>
      </c>
      <c r="C1589">
        <v>1955</v>
      </c>
      <c r="D1589">
        <v>8735</v>
      </c>
    </row>
    <row r="1590" spans="1:4" x14ac:dyDescent="0.35">
      <c r="A1590" t="s">
        <v>253</v>
      </c>
      <c r="B1590" t="s">
        <v>255</v>
      </c>
      <c r="C1590">
        <v>1956</v>
      </c>
      <c r="D1590">
        <v>8847</v>
      </c>
    </row>
    <row r="1591" spans="1:4" x14ac:dyDescent="0.35">
      <c r="A1591" t="s">
        <v>253</v>
      </c>
      <c r="B1591" t="s">
        <v>255</v>
      </c>
      <c r="C1591">
        <v>1957</v>
      </c>
      <c r="D1591">
        <v>8849</v>
      </c>
    </row>
    <row r="1592" spans="1:4" x14ac:dyDescent="0.35">
      <c r="A1592" t="s">
        <v>253</v>
      </c>
      <c r="B1592" t="s">
        <v>255</v>
      </c>
      <c r="C1592">
        <v>1958</v>
      </c>
      <c r="D1592">
        <v>9065</v>
      </c>
    </row>
    <row r="1593" spans="1:4" x14ac:dyDescent="0.35">
      <c r="A1593" t="s">
        <v>253</v>
      </c>
      <c r="B1593" t="s">
        <v>255</v>
      </c>
      <c r="C1593">
        <v>1959</v>
      </c>
      <c r="D1593">
        <v>9060</v>
      </c>
    </row>
    <row r="1594" spans="1:4" x14ac:dyDescent="0.35">
      <c r="A1594" t="s">
        <v>253</v>
      </c>
      <c r="B1594" t="s">
        <v>255</v>
      </c>
      <c r="C1594">
        <v>1960</v>
      </c>
      <c r="D1594">
        <v>8773</v>
      </c>
    </row>
    <row r="1595" spans="1:4" x14ac:dyDescent="0.35">
      <c r="A1595" t="s">
        <v>253</v>
      </c>
      <c r="B1595" t="s">
        <v>255</v>
      </c>
      <c r="C1595">
        <v>1961</v>
      </c>
      <c r="D1595">
        <v>9159</v>
      </c>
    </row>
    <row r="1596" spans="1:4" x14ac:dyDescent="0.35">
      <c r="A1596" t="s">
        <v>253</v>
      </c>
      <c r="B1596" t="s">
        <v>255</v>
      </c>
      <c r="C1596">
        <v>1962</v>
      </c>
      <c r="D1596">
        <v>8531</v>
      </c>
    </row>
    <row r="1597" spans="1:4" x14ac:dyDescent="0.35">
      <c r="A1597" t="s">
        <v>253</v>
      </c>
      <c r="B1597" t="s">
        <v>255</v>
      </c>
      <c r="C1597">
        <v>1963</v>
      </c>
      <c r="D1597">
        <v>9236</v>
      </c>
    </row>
    <row r="1598" spans="1:4" x14ac:dyDescent="0.35">
      <c r="A1598" t="s">
        <v>253</v>
      </c>
      <c r="B1598" t="s">
        <v>255</v>
      </c>
      <c r="C1598">
        <v>1964</v>
      </c>
      <c r="D1598">
        <v>9193</v>
      </c>
    </row>
    <row r="1599" spans="1:4" x14ac:dyDescent="0.35">
      <c r="A1599" t="s">
        <v>253</v>
      </c>
      <c r="B1599" t="s">
        <v>255</v>
      </c>
      <c r="C1599">
        <v>1965</v>
      </c>
      <c r="D1599">
        <v>8584</v>
      </c>
    </row>
    <row r="1600" spans="1:4" x14ac:dyDescent="0.35">
      <c r="A1600" t="s">
        <v>253</v>
      </c>
      <c r="B1600" t="s">
        <v>255</v>
      </c>
      <c r="C1600">
        <v>1966</v>
      </c>
      <c r="D1600">
        <v>8670</v>
      </c>
    </row>
    <row r="1601" spans="1:4" x14ac:dyDescent="0.35">
      <c r="A1601" t="s">
        <v>253</v>
      </c>
      <c r="B1601" t="s">
        <v>255</v>
      </c>
      <c r="C1601">
        <v>1967</v>
      </c>
      <c r="D1601">
        <v>8414</v>
      </c>
    </row>
    <row r="1602" spans="1:4" x14ac:dyDescent="0.35">
      <c r="A1602" t="s">
        <v>253</v>
      </c>
      <c r="B1602" t="s">
        <v>255</v>
      </c>
      <c r="C1602">
        <v>1968</v>
      </c>
      <c r="D1602">
        <v>8254</v>
      </c>
    </row>
    <row r="1603" spans="1:4" x14ac:dyDescent="0.35">
      <c r="A1603" t="s">
        <v>253</v>
      </c>
      <c r="B1603" t="s">
        <v>255</v>
      </c>
      <c r="C1603">
        <v>1969</v>
      </c>
      <c r="D1603">
        <v>8072</v>
      </c>
    </row>
    <row r="1604" spans="1:4" x14ac:dyDescent="0.35">
      <c r="A1604" t="s">
        <v>253</v>
      </c>
      <c r="B1604" t="s">
        <v>255</v>
      </c>
      <c r="C1604">
        <v>1970</v>
      </c>
      <c r="D1604">
        <v>8001</v>
      </c>
    </row>
    <row r="1605" spans="1:4" x14ac:dyDescent="0.35">
      <c r="A1605" t="s">
        <v>253</v>
      </c>
      <c r="B1605" t="s">
        <v>255</v>
      </c>
      <c r="C1605">
        <v>1971</v>
      </c>
      <c r="D1605">
        <v>8035</v>
      </c>
    </row>
    <row r="1606" spans="1:4" x14ac:dyDescent="0.35">
      <c r="A1606" t="s">
        <v>253</v>
      </c>
      <c r="B1606" t="s">
        <v>255</v>
      </c>
      <c r="C1606">
        <v>1972</v>
      </c>
      <c r="D1606">
        <v>7810</v>
      </c>
    </row>
    <row r="1607" spans="1:4" x14ac:dyDescent="0.35">
      <c r="A1607" t="s">
        <v>253</v>
      </c>
      <c r="B1607" t="s">
        <v>255</v>
      </c>
      <c r="C1607">
        <v>1973</v>
      </c>
      <c r="D1607">
        <v>7791</v>
      </c>
    </row>
    <row r="1608" spans="1:4" x14ac:dyDescent="0.35">
      <c r="A1608" t="s">
        <v>253</v>
      </c>
      <c r="B1608" t="s">
        <v>255</v>
      </c>
      <c r="C1608">
        <v>1974</v>
      </c>
      <c r="D1608">
        <v>7446</v>
      </c>
    </row>
    <row r="1609" spans="1:4" x14ac:dyDescent="0.35">
      <c r="A1609" t="s">
        <v>253</v>
      </c>
      <c r="B1609" t="s">
        <v>255</v>
      </c>
      <c r="C1609">
        <v>1975</v>
      </c>
      <c r="D1609">
        <v>6973</v>
      </c>
    </row>
    <row r="1610" spans="1:4" x14ac:dyDescent="0.35">
      <c r="A1610" t="s">
        <v>253</v>
      </c>
      <c r="B1610" t="s">
        <v>255</v>
      </c>
      <c r="C1610">
        <v>1976</v>
      </c>
      <c r="D1610">
        <v>6854</v>
      </c>
    </row>
    <row r="1611" spans="1:4" x14ac:dyDescent="0.35">
      <c r="A1611" t="s">
        <v>253</v>
      </c>
      <c r="B1611" t="s">
        <v>255</v>
      </c>
      <c r="C1611">
        <v>1977</v>
      </c>
      <c r="D1611">
        <v>7010</v>
      </c>
    </row>
    <row r="1612" spans="1:4" x14ac:dyDescent="0.35">
      <c r="A1612" t="s">
        <v>253</v>
      </c>
      <c r="B1612" t="s">
        <v>255</v>
      </c>
      <c r="C1612">
        <v>1978</v>
      </c>
      <c r="D1612">
        <v>7111</v>
      </c>
    </row>
    <row r="1613" spans="1:4" x14ac:dyDescent="0.35">
      <c r="A1613" t="s">
        <v>253</v>
      </c>
      <c r="B1613" t="s">
        <v>255</v>
      </c>
      <c r="C1613">
        <v>1979</v>
      </c>
      <c r="D1613">
        <v>7440</v>
      </c>
    </row>
    <row r="1614" spans="1:4" x14ac:dyDescent="0.35">
      <c r="A1614" t="s">
        <v>253</v>
      </c>
      <c r="B1614" t="s">
        <v>255</v>
      </c>
      <c r="C1614">
        <v>1980</v>
      </c>
      <c r="D1614">
        <v>8046</v>
      </c>
    </row>
    <row r="1615" spans="1:4" x14ac:dyDescent="0.35">
      <c r="A1615" t="s">
        <v>253</v>
      </c>
      <c r="B1615" t="s">
        <v>255</v>
      </c>
      <c r="C1615">
        <v>1981</v>
      </c>
      <c r="D1615">
        <v>8140</v>
      </c>
    </row>
    <row r="1616" spans="1:4" x14ac:dyDescent="0.35">
      <c r="A1616" t="s">
        <v>253</v>
      </c>
      <c r="B1616" t="s">
        <v>255</v>
      </c>
      <c r="C1616">
        <v>1982</v>
      </c>
      <c r="D1616">
        <v>8047</v>
      </c>
    </row>
    <row r="1617" spans="1:4" x14ac:dyDescent="0.35">
      <c r="A1617" t="s">
        <v>253</v>
      </c>
      <c r="B1617" t="s">
        <v>255</v>
      </c>
      <c r="C1617">
        <v>1983</v>
      </c>
      <c r="D1617">
        <v>7408</v>
      </c>
    </row>
    <row r="1618" spans="1:4" x14ac:dyDescent="0.35">
      <c r="A1618" t="s">
        <v>253</v>
      </c>
      <c r="B1618" t="s">
        <v>255</v>
      </c>
      <c r="C1618">
        <v>1984</v>
      </c>
      <c r="D1618">
        <v>7651</v>
      </c>
    </row>
    <row r="1619" spans="1:4" x14ac:dyDescent="0.35">
      <c r="A1619" t="s">
        <v>253</v>
      </c>
      <c r="B1619" t="s">
        <v>255</v>
      </c>
      <c r="C1619">
        <v>1985</v>
      </c>
      <c r="D1619">
        <v>7930</v>
      </c>
    </row>
    <row r="1620" spans="1:4" x14ac:dyDescent="0.35">
      <c r="A1620" t="s">
        <v>253</v>
      </c>
      <c r="B1620" t="s">
        <v>255</v>
      </c>
      <c r="C1620">
        <v>1986</v>
      </c>
      <c r="D1620">
        <v>8110</v>
      </c>
    </row>
    <row r="1621" spans="1:4" x14ac:dyDescent="0.35">
      <c r="A1621" t="s">
        <v>253</v>
      </c>
      <c r="B1621" t="s">
        <v>255</v>
      </c>
      <c r="C1621">
        <v>1987</v>
      </c>
      <c r="D1621">
        <v>8179</v>
      </c>
    </row>
    <row r="1622" spans="1:4" x14ac:dyDescent="0.35">
      <c r="A1622" t="s">
        <v>253</v>
      </c>
      <c r="B1622" t="s">
        <v>255</v>
      </c>
      <c r="C1622">
        <v>1988</v>
      </c>
      <c r="D1622">
        <v>8493</v>
      </c>
    </row>
    <row r="1623" spans="1:4" x14ac:dyDescent="0.35">
      <c r="A1623" t="s">
        <v>253</v>
      </c>
      <c r="B1623" t="s">
        <v>255</v>
      </c>
      <c r="C1623">
        <v>1989</v>
      </c>
      <c r="D1623">
        <v>8630</v>
      </c>
    </row>
    <row r="1624" spans="1:4" x14ac:dyDescent="0.35">
      <c r="A1624" t="s">
        <v>253</v>
      </c>
      <c r="B1624" t="s">
        <v>255</v>
      </c>
      <c r="C1624">
        <v>1990</v>
      </c>
      <c r="D1624">
        <v>9175</v>
      </c>
    </row>
    <row r="1625" spans="1:4" x14ac:dyDescent="0.35">
      <c r="A1625" t="s">
        <v>253</v>
      </c>
      <c r="B1625" t="s">
        <v>255</v>
      </c>
      <c r="C1625">
        <v>1991</v>
      </c>
      <c r="D1625">
        <v>9459</v>
      </c>
    </row>
    <row r="1626" spans="1:4" x14ac:dyDescent="0.35">
      <c r="A1626" t="s">
        <v>253</v>
      </c>
      <c r="B1626" t="s">
        <v>255</v>
      </c>
      <c r="C1626">
        <v>1992</v>
      </c>
      <c r="D1626">
        <v>9517</v>
      </c>
    </row>
    <row r="1627" spans="1:4" x14ac:dyDescent="0.35">
      <c r="A1627" t="s">
        <v>253</v>
      </c>
      <c r="B1627" t="s">
        <v>255</v>
      </c>
      <c r="C1627">
        <v>1993</v>
      </c>
      <c r="D1627">
        <v>9095</v>
      </c>
    </row>
    <row r="1628" spans="1:4" x14ac:dyDescent="0.35">
      <c r="A1628" t="s">
        <v>253</v>
      </c>
      <c r="B1628" t="s">
        <v>255</v>
      </c>
      <c r="C1628">
        <v>1994</v>
      </c>
      <c r="D1628">
        <v>9596</v>
      </c>
    </row>
    <row r="1629" spans="1:4" x14ac:dyDescent="0.35">
      <c r="A1629" t="s">
        <v>253</v>
      </c>
      <c r="B1629" t="s">
        <v>255</v>
      </c>
      <c r="C1629">
        <v>1995</v>
      </c>
      <c r="D1629">
        <v>9548</v>
      </c>
    </row>
    <row r="1630" spans="1:4" x14ac:dyDescent="0.35">
      <c r="A1630" t="s">
        <v>253</v>
      </c>
      <c r="B1630" t="s">
        <v>255</v>
      </c>
      <c r="C1630">
        <v>1996</v>
      </c>
      <c r="D1630">
        <v>10246</v>
      </c>
    </row>
    <row r="1631" spans="1:4" x14ac:dyDescent="0.35">
      <c r="A1631" t="s">
        <v>253</v>
      </c>
      <c r="B1631" t="s">
        <v>255</v>
      </c>
      <c r="C1631">
        <v>1997</v>
      </c>
      <c r="D1631">
        <v>10481</v>
      </c>
    </row>
    <row r="1632" spans="1:4" x14ac:dyDescent="0.35">
      <c r="A1632" t="s">
        <v>253</v>
      </c>
      <c r="B1632" t="s">
        <v>255</v>
      </c>
      <c r="C1632">
        <v>1998</v>
      </c>
      <c r="D1632">
        <v>10553</v>
      </c>
    </row>
    <row r="1633" spans="1:4" x14ac:dyDescent="0.35">
      <c r="A1633" t="s">
        <v>253</v>
      </c>
      <c r="B1633" t="s">
        <v>255</v>
      </c>
      <c r="C1633">
        <v>1999</v>
      </c>
      <c r="D1633">
        <v>10967</v>
      </c>
    </row>
    <row r="1634" spans="1:4" x14ac:dyDescent="0.35">
      <c r="A1634" t="s">
        <v>253</v>
      </c>
      <c r="B1634" t="s">
        <v>255</v>
      </c>
      <c r="C1634">
        <v>2000</v>
      </c>
      <c r="D1634">
        <v>11483</v>
      </c>
    </row>
    <row r="1635" spans="1:4" x14ac:dyDescent="0.35">
      <c r="A1635" t="s">
        <v>253</v>
      </c>
      <c r="B1635" t="s">
        <v>255</v>
      </c>
      <c r="C1635">
        <v>2001</v>
      </c>
      <c r="D1635">
        <v>11479</v>
      </c>
    </row>
    <row r="1636" spans="1:4" x14ac:dyDescent="0.35">
      <c r="A1636" t="s">
        <v>253</v>
      </c>
      <c r="B1636" t="s">
        <v>255</v>
      </c>
      <c r="C1636">
        <v>2002</v>
      </c>
      <c r="D1636">
        <v>11432</v>
      </c>
    </row>
    <row r="1637" spans="1:4" x14ac:dyDescent="0.35">
      <c r="A1637" t="s">
        <v>253</v>
      </c>
      <c r="B1637" t="s">
        <v>255</v>
      </c>
      <c r="C1637">
        <v>2003</v>
      </c>
      <c r="D1637">
        <v>11754</v>
      </c>
    </row>
    <row r="1638" spans="1:4" x14ac:dyDescent="0.35">
      <c r="A1638" t="s">
        <v>253</v>
      </c>
      <c r="B1638" t="s">
        <v>255</v>
      </c>
      <c r="C1638">
        <v>2004</v>
      </c>
      <c r="D1638">
        <v>12058</v>
      </c>
    </row>
    <row r="1639" spans="1:4" x14ac:dyDescent="0.35">
      <c r="A1639" t="s">
        <v>253</v>
      </c>
      <c r="B1639" t="s">
        <v>255</v>
      </c>
      <c r="C1639">
        <v>2005</v>
      </c>
      <c r="D1639">
        <v>12508</v>
      </c>
    </row>
    <row r="1640" spans="1:4" x14ac:dyDescent="0.35">
      <c r="A1640" t="s">
        <v>253</v>
      </c>
      <c r="B1640" t="s">
        <v>255</v>
      </c>
      <c r="C1640">
        <v>2006</v>
      </c>
      <c r="D1640">
        <v>12737</v>
      </c>
    </row>
    <row r="1641" spans="1:4" x14ac:dyDescent="0.35">
      <c r="A1641" t="s">
        <v>253</v>
      </c>
      <c r="B1641" t="s">
        <v>255</v>
      </c>
      <c r="C1641">
        <v>2007</v>
      </c>
      <c r="D1641">
        <v>12578</v>
      </c>
    </row>
    <row r="1642" spans="1:4" x14ac:dyDescent="0.35">
      <c r="A1642" t="s">
        <v>253</v>
      </c>
      <c r="B1642" t="s">
        <v>255</v>
      </c>
      <c r="C1642">
        <v>2008</v>
      </c>
      <c r="D1642">
        <v>12349</v>
      </c>
    </row>
    <row r="1643" spans="1:4" x14ac:dyDescent="0.35">
      <c r="A1643" t="s">
        <v>253</v>
      </c>
      <c r="B1643" t="s">
        <v>255</v>
      </c>
      <c r="C1643">
        <v>2009</v>
      </c>
      <c r="D1643">
        <v>12837</v>
      </c>
    </row>
    <row r="1644" spans="1:4" x14ac:dyDescent="0.35">
      <c r="A1644" t="s">
        <v>253</v>
      </c>
      <c r="B1644" t="s">
        <v>255</v>
      </c>
      <c r="C1644">
        <v>2010</v>
      </c>
      <c r="D1644">
        <v>13853</v>
      </c>
    </row>
    <row r="1645" spans="1:4" x14ac:dyDescent="0.35">
      <c r="A1645" t="s">
        <v>253</v>
      </c>
      <c r="B1645" t="s">
        <v>255</v>
      </c>
      <c r="C1645">
        <v>2011</v>
      </c>
      <c r="D1645">
        <v>13668</v>
      </c>
    </row>
    <row r="1646" spans="1:4" x14ac:dyDescent="0.35">
      <c r="A1646" t="s">
        <v>253</v>
      </c>
      <c r="B1646" t="s">
        <v>255</v>
      </c>
      <c r="C1646">
        <v>2012</v>
      </c>
      <c r="D1646">
        <v>13114</v>
      </c>
    </row>
    <row r="1647" spans="1:4" x14ac:dyDescent="0.35">
      <c r="A1647" t="s">
        <v>253</v>
      </c>
      <c r="B1647" t="s">
        <v>255</v>
      </c>
      <c r="C1647">
        <v>2013</v>
      </c>
      <c r="D1647">
        <v>13229</v>
      </c>
    </row>
    <row r="1648" spans="1:4" x14ac:dyDescent="0.35">
      <c r="A1648" t="s">
        <v>253</v>
      </c>
      <c r="B1648" t="s">
        <v>255</v>
      </c>
      <c r="C1648">
        <v>2014</v>
      </c>
      <c r="D1648">
        <v>13528</v>
      </c>
    </row>
    <row r="1649" spans="1:6" x14ac:dyDescent="0.35">
      <c r="A1649" t="s">
        <v>253</v>
      </c>
      <c r="B1649" t="s">
        <v>255</v>
      </c>
      <c r="C1649">
        <v>2015</v>
      </c>
      <c r="D1649">
        <v>13179</v>
      </c>
    </row>
    <row r="1650" spans="1:6" x14ac:dyDescent="0.35">
      <c r="A1650" t="s">
        <v>253</v>
      </c>
      <c r="B1650" t="s">
        <v>255</v>
      </c>
      <c r="C1650">
        <v>2016</v>
      </c>
      <c r="D1650">
        <v>12847</v>
      </c>
    </row>
    <row r="1651" spans="1:6" x14ac:dyDescent="0.35">
      <c r="A1651" t="s">
        <v>253</v>
      </c>
      <c r="B1651" t="s">
        <v>255</v>
      </c>
      <c r="C1651">
        <v>2017</v>
      </c>
      <c r="D1651">
        <v>12458</v>
      </c>
    </row>
    <row r="1652" spans="1:6" x14ac:dyDescent="0.35">
      <c r="A1652" t="s">
        <v>253</v>
      </c>
      <c r="B1652" t="s">
        <v>255</v>
      </c>
      <c r="C1652">
        <v>2018</v>
      </c>
      <c r="D1652">
        <v>12146</v>
      </c>
    </row>
    <row r="1653" spans="1:6" x14ac:dyDescent="0.35">
      <c r="A1653" t="s">
        <v>253</v>
      </c>
      <c r="B1653" t="s">
        <v>255</v>
      </c>
      <c r="C1653">
        <v>2019</v>
      </c>
      <c r="D1653">
        <v>11443</v>
      </c>
    </row>
    <row r="1654" spans="1:6" x14ac:dyDescent="0.35">
      <c r="A1654" t="s">
        <v>253</v>
      </c>
      <c r="B1654" t="s">
        <v>255</v>
      </c>
      <c r="C1654">
        <v>2020</v>
      </c>
      <c r="D1654">
        <v>10835</v>
      </c>
    </row>
    <row r="1655" spans="1:6" x14ac:dyDescent="0.35">
      <c r="A1655" t="s">
        <v>256</v>
      </c>
      <c r="B1655" t="s">
        <v>257</v>
      </c>
      <c r="C1655">
        <v>1956</v>
      </c>
      <c r="E1655">
        <v>3910</v>
      </c>
      <c r="F1655">
        <v>156229</v>
      </c>
    </row>
    <row r="1656" spans="1:6" x14ac:dyDescent="0.35">
      <c r="A1656" t="s">
        <v>256</v>
      </c>
      <c r="B1656" t="s">
        <v>257</v>
      </c>
      <c r="C1656">
        <v>1957</v>
      </c>
      <c r="E1656">
        <v>3970</v>
      </c>
      <c r="F1656">
        <v>153875</v>
      </c>
    </row>
    <row r="1657" spans="1:6" x14ac:dyDescent="0.35">
      <c r="A1657" t="s">
        <v>256</v>
      </c>
      <c r="B1657" t="s">
        <v>257</v>
      </c>
      <c r="C1657">
        <v>1958</v>
      </c>
      <c r="E1657">
        <v>3936</v>
      </c>
      <c r="F1657">
        <v>153435</v>
      </c>
    </row>
    <row r="1658" spans="1:6" x14ac:dyDescent="0.35">
      <c r="A1658" t="s">
        <v>256</v>
      </c>
      <c r="B1658" t="s">
        <v>257</v>
      </c>
      <c r="C1658">
        <v>1959</v>
      </c>
      <c r="E1658">
        <v>3990</v>
      </c>
      <c r="F1658">
        <v>158297</v>
      </c>
    </row>
    <row r="1659" spans="1:6" x14ac:dyDescent="0.35">
      <c r="A1659" t="s">
        <v>256</v>
      </c>
      <c r="B1659" t="s">
        <v>257</v>
      </c>
      <c r="C1659">
        <v>1960</v>
      </c>
      <c r="E1659">
        <v>3846</v>
      </c>
      <c r="F1659">
        <v>155598</v>
      </c>
    </row>
    <row r="1660" spans="1:6" x14ac:dyDescent="0.35">
      <c r="A1660" t="s">
        <v>256</v>
      </c>
      <c r="B1660" t="s">
        <v>257</v>
      </c>
      <c r="C1660">
        <v>1961</v>
      </c>
      <c r="E1660">
        <v>3748</v>
      </c>
      <c r="F1660">
        <v>148952</v>
      </c>
    </row>
    <row r="1661" spans="1:6" x14ac:dyDescent="0.35">
      <c r="A1661" t="s">
        <v>256</v>
      </c>
      <c r="B1661" t="s">
        <v>257</v>
      </c>
      <c r="C1661">
        <v>1962</v>
      </c>
      <c r="E1661">
        <v>3598</v>
      </c>
      <c r="F1661">
        <v>150706</v>
      </c>
    </row>
    <row r="1662" spans="1:6" x14ac:dyDescent="0.35">
      <c r="A1662" t="s">
        <v>256</v>
      </c>
      <c r="B1662" t="s">
        <v>257</v>
      </c>
      <c r="C1662">
        <v>1963</v>
      </c>
      <c r="E1662">
        <v>3604</v>
      </c>
      <c r="F1662">
        <v>146814</v>
      </c>
    </row>
    <row r="1663" spans="1:6" x14ac:dyDescent="0.35">
      <c r="A1663" t="s">
        <v>256</v>
      </c>
      <c r="B1663" t="s">
        <v>257</v>
      </c>
      <c r="C1663">
        <v>1964</v>
      </c>
      <c r="E1663">
        <v>3596</v>
      </c>
      <c r="F1663">
        <v>151909</v>
      </c>
    </row>
    <row r="1664" spans="1:6" x14ac:dyDescent="0.35">
      <c r="A1664" t="s">
        <v>256</v>
      </c>
      <c r="B1664" t="s">
        <v>257</v>
      </c>
      <c r="C1664">
        <v>1965</v>
      </c>
      <c r="E1664">
        <v>3522</v>
      </c>
      <c r="F1664">
        <v>150256</v>
      </c>
    </row>
    <row r="1665" spans="1:6" x14ac:dyDescent="0.35">
      <c r="A1665" t="s">
        <v>256</v>
      </c>
      <c r="B1665" t="s">
        <v>257</v>
      </c>
      <c r="C1665">
        <v>1966</v>
      </c>
      <c r="E1665">
        <v>3568</v>
      </c>
      <c r="F1665">
        <v>153497</v>
      </c>
    </row>
    <row r="1666" spans="1:6" x14ac:dyDescent="0.35">
      <c r="A1666" t="s">
        <v>256</v>
      </c>
      <c r="B1666" t="s">
        <v>257</v>
      </c>
      <c r="C1666">
        <v>1967</v>
      </c>
      <c r="E1666">
        <v>3722</v>
      </c>
      <c r="F1666">
        <v>161479</v>
      </c>
    </row>
    <row r="1667" spans="1:6" x14ac:dyDescent="0.35">
      <c r="A1667" t="s">
        <v>256</v>
      </c>
      <c r="B1667" t="s">
        <v>257</v>
      </c>
      <c r="C1667">
        <v>1968</v>
      </c>
      <c r="E1667">
        <v>3688</v>
      </c>
      <c r="F1667">
        <v>158846</v>
      </c>
    </row>
    <row r="1668" spans="1:6" x14ac:dyDescent="0.35">
      <c r="A1668" t="s">
        <v>256</v>
      </c>
      <c r="B1668" t="s">
        <v>257</v>
      </c>
      <c r="C1668">
        <v>1969</v>
      </c>
      <c r="E1668">
        <v>3346</v>
      </c>
      <c r="F1668">
        <v>152920</v>
      </c>
    </row>
    <row r="1669" spans="1:6" x14ac:dyDescent="0.35">
      <c r="A1669" t="s">
        <v>256</v>
      </c>
      <c r="B1669" t="s">
        <v>257</v>
      </c>
      <c r="C1669">
        <v>1970</v>
      </c>
      <c r="E1669">
        <v>3070</v>
      </c>
      <c r="F1669">
        <v>143726</v>
      </c>
    </row>
    <row r="1670" spans="1:6" x14ac:dyDescent="0.35">
      <c r="A1670" t="s">
        <v>256</v>
      </c>
      <c r="B1670" t="s">
        <v>257</v>
      </c>
      <c r="C1670">
        <v>1971</v>
      </c>
      <c r="E1670">
        <v>2942</v>
      </c>
      <c r="F1670">
        <v>140032</v>
      </c>
    </row>
    <row r="1671" spans="1:6" x14ac:dyDescent="0.35">
      <c r="A1671" t="s">
        <v>256</v>
      </c>
      <c r="B1671" t="s">
        <v>257</v>
      </c>
      <c r="C1671">
        <v>1972</v>
      </c>
      <c r="E1671">
        <v>2938</v>
      </c>
      <c r="F1671">
        <v>139718</v>
      </c>
    </row>
    <row r="1672" spans="1:6" x14ac:dyDescent="0.35">
      <c r="A1672" t="s">
        <v>256</v>
      </c>
      <c r="B1672" t="s">
        <v>257</v>
      </c>
      <c r="C1672">
        <v>1973</v>
      </c>
      <c r="E1672">
        <v>2778</v>
      </c>
      <c r="F1672">
        <v>136415</v>
      </c>
    </row>
    <row r="1673" spans="1:6" x14ac:dyDescent="0.35">
      <c r="A1673" t="s">
        <v>256</v>
      </c>
      <c r="B1673" t="s">
        <v>257</v>
      </c>
      <c r="C1673">
        <v>1974</v>
      </c>
      <c r="E1673">
        <v>2954</v>
      </c>
      <c r="F1673">
        <v>142784</v>
      </c>
    </row>
    <row r="1674" spans="1:6" x14ac:dyDescent="0.35">
      <c r="A1674" t="s">
        <v>256</v>
      </c>
      <c r="B1674" t="s">
        <v>257</v>
      </c>
      <c r="C1674">
        <v>1975</v>
      </c>
      <c r="E1674">
        <v>2736</v>
      </c>
      <c r="F1674">
        <v>141172</v>
      </c>
    </row>
    <row r="1675" spans="1:6" x14ac:dyDescent="0.35">
      <c r="A1675" t="s">
        <v>256</v>
      </c>
      <c r="B1675" t="s">
        <v>257</v>
      </c>
      <c r="C1675">
        <v>1976</v>
      </c>
      <c r="E1675">
        <v>2644</v>
      </c>
      <c r="F1675">
        <v>145681</v>
      </c>
    </row>
    <row r="1676" spans="1:6" x14ac:dyDescent="0.35">
      <c r="A1676" t="s">
        <v>256</v>
      </c>
      <c r="B1676" t="s">
        <v>257</v>
      </c>
      <c r="C1676">
        <v>1977</v>
      </c>
      <c r="E1676">
        <v>2594</v>
      </c>
      <c r="F1676">
        <v>142632</v>
      </c>
    </row>
    <row r="1677" spans="1:6" x14ac:dyDescent="0.35">
      <c r="A1677" t="s">
        <v>256</v>
      </c>
      <c r="B1677" t="s">
        <v>257</v>
      </c>
      <c r="C1677">
        <v>1978</v>
      </c>
      <c r="E1677">
        <v>2528</v>
      </c>
      <c r="F1677">
        <v>145512</v>
      </c>
    </row>
    <row r="1678" spans="1:6" x14ac:dyDescent="0.35">
      <c r="A1678" t="s">
        <v>256</v>
      </c>
      <c r="B1678" t="s">
        <v>257</v>
      </c>
      <c r="C1678">
        <v>1979</v>
      </c>
      <c r="E1678">
        <v>2664</v>
      </c>
      <c r="F1678">
        <v>146704</v>
      </c>
    </row>
    <row r="1679" spans="1:6" x14ac:dyDescent="0.35">
      <c r="A1679" t="s">
        <v>256</v>
      </c>
      <c r="B1679" t="s">
        <v>257</v>
      </c>
      <c r="C1679">
        <v>1980</v>
      </c>
      <c r="E1679">
        <v>2742</v>
      </c>
      <c r="F1679">
        <v>146723</v>
      </c>
    </row>
    <row r="1680" spans="1:6" x14ac:dyDescent="0.35">
      <c r="A1680" t="s">
        <v>256</v>
      </c>
      <c r="B1680" t="s">
        <v>257</v>
      </c>
      <c r="C1680">
        <v>1981</v>
      </c>
      <c r="E1680">
        <v>2502</v>
      </c>
      <c r="F1680">
        <v>139734</v>
      </c>
    </row>
    <row r="1681" spans="1:6" x14ac:dyDescent="0.35">
      <c r="A1681" t="s">
        <v>256</v>
      </c>
      <c r="B1681" t="s">
        <v>257</v>
      </c>
      <c r="C1681">
        <v>1982</v>
      </c>
      <c r="E1681">
        <v>2516</v>
      </c>
      <c r="F1681">
        <v>135901</v>
      </c>
    </row>
    <row r="1682" spans="1:6" x14ac:dyDescent="0.35">
      <c r="A1682" t="s">
        <v>256</v>
      </c>
      <c r="B1682" t="s">
        <v>257</v>
      </c>
      <c r="C1682">
        <v>1983</v>
      </c>
      <c r="E1682">
        <v>2740</v>
      </c>
      <c r="F1682">
        <v>130994</v>
      </c>
    </row>
    <row r="1683" spans="1:6" x14ac:dyDescent="0.35">
      <c r="A1683" t="s">
        <v>256</v>
      </c>
      <c r="B1683" t="s">
        <v>257</v>
      </c>
      <c r="C1683">
        <v>1984</v>
      </c>
      <c r="E1683">
        <v>2674</v>
      </c>
      <c r="F1683">
        <v>124121</v>
      </c>
    </row>
    <row r="1684" spans="1:6" x14ac:dyDescent="0.35">
      <c r="A1684" t="s">
        <v>256</v>
      </c>
      <c r="B1684" t="s">
        <v>257</v>
      </c>
      <c r="C1684">
        <v>1985</v>
      </c>
      <c r="E1684">
        <v>2004</v>
      </c>
      <c r="F1684">
        <v>115382</v>
      </c>
    </row>
    <row r="1685" spans="1:6" x14ac:dyDescent="0.35">
      <c r="A1685" t="s">
        <v>256</v>
      </c>
      <c r="B1685" t="s">
        <v>257</v>
      </c>
      <c r="C1685">
        <v>1986</v>
      </c>
      <c r="E1685">
        <v>2202</v>
      </c>
      <c r="F1685">
        <v>111482</v>
      </c>
    </row>
    <row r="1686" spans="1:6" x14ac:dyDescent="0.35">
      <c r="A1686" t="s">
        <v>256</v>
      </c>
      <c r="B1686" t="s">
        <v>257</v>
      </c>
      <c r="C1686">
        <v>1987</v>
      </c>
      <c r="E1686">
        <v>2052</v>
      </c>
      <c r="F1686">
        <v>105144</v>
      </c>
    </row>
    <row r="1687" spans="1:6" x14ac:dyDescent="0.35">
      <c r="A1687" t="s">
        <v>256</v>
      </c>
      <c r="B1687" t="s">
        <v>257</v>
      </c>
      <c r="C1687">
        <v>1988</v>
      </c>
      <c r="E1687">
        <v>2212</v>
      </c>
      <c r="F1687">
        <v>105971</v>
      </c>
    </row>
    <row r="1688" spans="1:6" x14ac:dyDescent="0.35">
      <c r="A1688" t="s">
        <v>256</v>
      </c>
      <c r="B1688" t="s">
        <v>257</v>
      </c>
      <c r="C1688">
        <v>1989</v>
      </c>
      <c r="E1688">
        <v>2106</v>
      </c>
      <c r="F1688">
        <v>100209</v>
      </c>
    </row>
    <row r="1689" spans="1:6" x14ac:dyDescent="0.35">
      <c r="A1689" t="s">
        <v>256</v>
      </c>
      <c r="B1689" t="s">
        <v>257</v>
      </c>
      <c r="C1689">
        <v>1990</v>
      </c>
      <c r="E1689">
        <v>2248</v>
      </c>
      <c r="F1689">
        <v>100658</v>
      </c>
    </row>
    <row r="1690" spans="1:6" x14ac:dyDescent="0.35">
      <c r="A1690" t="s">
        <v>256</v>
      </c>
      <c r="B1690" t="s">
        <v>257</v>
      </c>
      <c r="C1690">
        <v>1991</v>
      </c>
      <c r="E1690">
        <v>2270</v>
      </c>
      <c r="F1690">
        <v>100936</v>
      </c>
    </row>
    <row r="1691" spans="1:6" x14ac:dyDescent="0.35">
      <c r="A1691" t="s">
        <v>256</v>
      </c>
      <c r="B1691" t="s">
        <v>257</v>
      </c>
      <c r="C1691">
        <v>1992</v>
      </c>
      <c r="E1691">
        <v>2606</v>
      </c>
      <c r="F1691">
        <v>102016</v>
      </c>
    </row>
    <row r="1692" spans="1:6" x14ac:dyDescent="0.35">
      <c r="A1692" t="s">
        <v>256</v>
      </c>
      <c r="B1692" t="s">
        <v>257</v>
      </c>
      <c r="C1692">
        <v>1993</v>
      </c>
      <c r="E1692">
        <v>2828</v>
      </c>
      <c r="F1692">
        <v>99479</v>
      </c>
    </row>
    <row r="1693" spans="1:6" x14ac:dyDescent="0.35">
      <c r="A1693" t="s">
        <v>256</v>
      </c>
      <c r="B1693" t="s">
        <v>257</v>
      </c>
      <c r="C1693">
        <v>1994</v>
      </c>
      <c r="E1693">
        <v>2664</v>
      </c>
      <c r="F1693">
        <v>101587</v>
      </c>
    </row>
    <row r="1694" spans="1:6" x14ac:dyDescent="0.35">
      <c r="A1694" t="s">
        <v>256</v>
      </c>
      <c r="B1694" t="s">
        <v>257</v>
      </c>
      <c r="C1694">
        <v>1995</v>
      </c>
      <c r="E1694">
        <v>2938</v>
      </c>
      <c r="F1694">
        <v>99042</v>
      </c>
    </row>
    <row r="1695" spans="1:6" x14ac:dyDescent="0.35">
      <c r="A1695" t="s">
        <v>256</v>
      </c>
      <c r="B1695" t="s">
        <v>257</v>
      </c>
      <c r="C1695">
        <v>1996</v>
      </c>
      <c r="E1695">
        <v>3128</v>
      </c>
      <c r="F1695">
        <v>98044</v>
      </c>
    </row>
    <row r="1696" spans="1:6" x14ac:dyDescent="0.35">
      <c r="A1696" t="s">
        <v>256</v>
      </c>
      <c r="B1696" t="s">
        <v>257</v>
      </c>
      <c r="C1696">
        <v>1997</v>
      </c>
      <c r="E1696">
        <v>3244</v>
      </c>
      <c r="F1696">
        <v>99244</v>
      </c>
    </row>
    <row r="1697" spans="1:6" x14ac:dyDescent="0.35">
      <c r="A1697" t="s">
        <v>256</v>
      </c>
      <c r="B1697" t="s">
        <v>257</v>
      </c>
      <c r="C1697">
        <v>1998</v>
      </c>
      <c r="E1697">
        <v>3758</v>
      </c>
      <c r="F1697">
        <v>97559</v>
      </c>
    </row>
    <row r="1698" spans="1:6" x14ac:dyDescent="0.35">
      <c r="A1698" t="s">
        <v>256</v>
      </c>
      <c r="B1698" t="s">
        <v>257</v>
      </c>
      <c r="C1698">
        <v>1999</v>
      </c>
      <c r="E1698">
        <v>3890</v>
      </c>
      <c r="F1698">
        <v>97096</v>
      </c>
    </row>
    <row r="1699" spans="1:6" x14ac:dyDescent="0.35">
      <c r="A1699" t="s">
        <v>256</v>
      </c>
      <c r="B1699" t="s">
        <v>257</v>
      </c>
      <c r="C1699">
        <v>2000</v>
      </c>
      <c r="E1699">
        <v>4060</v>
      </c>
      <c r="F1699">
        <v>99448</v>
      </c>
    </row>
    <row r="1700" spans="1:6" x14ac:dyDescent="0.35">
      <c r="A1700" t="s">
        <v>256</v>
      </c>
      <c r="B1700" t="s">
        <v>257</v>
      </c>
      <c r="C1700">
        <v>2001</v>
      </c>
      <c r="E1700">
        <v>4346</v>
      </c>
      <c r="F1700">
        <v>98262</v>
      </c>
    </row>
    <row r="1701" spans="1:6" x14ac:dyDescent="0.35">
      <c r="A1701" t="s">
        <v>256</v>
      </c>
      <c r="B1701" t="s">
        <v>257</v>
      </c>
      <c r="C1701">
        <v>2002</v>
      </c>
      <c r="E1701">
        <v>4134</v>
      </c>
      <c r="F1701">
        <v>99717</v>
      </c>
    </row>
    <row r="1702" spans="1:6" x14ac:dyDescent="0.35">
      <c r="A1702" t="s">
        <v>256</v>
      </c>
      <c r="B1702" t="s">
        <v>257</v>
      </c>
      <c r="C1702">
        <v>2003</v>
      </c>
      <c r="E1702">
        <v>4390</v>
      </c>
      <c r="F1702">
        <v>100276</v>
      </c>
    </row>
    <row r="1703" spans="1:6" x14ac:dyDescent="0.35">
      <c r="A1703" t="s">
        <v>256</v>
      </c>
      <c r="B1703" t="s">
        <v>257</v>
      </c>
      <c r="C1703">
        <v>2004</v>
      </c>
      <c r="E1703">
        <v>4586</v>
      </c>
      <c r="F1703">
        <v>101261</v>
      </c>
    </row>
    <row r="1704" spans="1:6" x14ac:dyDescent="0.35">
      <c r="A1704" t="s">
        <v>256</v>
      </c>
      <c r="B1704" t="s">
        <v>257</v>
      </c>
      <c r="C1704">
        <v>2005</v>
      </c>
      <c r="E1704">
        <v>4732</v>
      </c>
      <c r="F1704">
        <v>102991</v>
      </c>
    </row>
    <row r="1705" spans="1:6" x14ac:dyDescent="0.35">
      <c r="A1705" t="s">
        <v>256</v>
      </c>
      <c r="B1705" t="s">
        <v>257</v>
      </c>
      <c r="C1705">
        <v>2006</v>
      </c>
      <c r="E1705">
        <v>4882</v>
      </c>
      <c r="F1705">
        <v>107226</v>
      </c>
    </row>
    <row r="1706" spans="1:6" x14ac:dyDescent="0.35">
      <c r="A1706" t="s">
        <v>256</v>
      </c>
      <c r="B1706" t="s">
        <v>257</v>
      </c>
      <c r="C1706">
        <v>2007</v>
      </c>
      <c r="E1706">
        <v>5234</v>
      </c>
      <c r="F1706">
        <v>106905</v>
      </c>
    </row>
    <row r="1707" spans="1:6" x14ac:dyDescent="0.35">
      <c r="A1707" t="s">
        <v>256</v>
      </c>
      <c r="B1707" t="s">
        <v>257</v>
      </c>
      <c r="C1707">
        <v>2008</v>
      </c>
      <c r="E1707">
        <v>5318</v>
      </c>
      <c r="F1707">
        <v>113114</v>
      </c>
    </row>
    <row r="1708" spans="1:6" x14ac:dyDescent="0.35">
      <c r="A1708" t="s">
        <v>256</v>
      </c>
      <c r="B1708" t="s">
        <v>257</v>
      </c>
      <c r="C1708">
        <v>2009</v>
      </c>
      <c r="E1708">
        <v>5798</v>
      </c>
      <c r="F1708">
        <v>112304</v>
      </c>
    </row>
    <row r="1709" spans="1:6" x14ac:dyDescent="0.35">
      <c r="A1709" t="s">
        <v>256</v>
      </c>
      <c r="B1709" t="s">
        <v>257</v>
      </c>
      <c r="C1709">
        <v>2010</v>
      </c>
      <c r="E1709">
        <v>5726</v>
      </c>
      <c r="F1709">
        <v>109127</v>
      </c>
    </row>
    <row r="1710" spans="1:6" x14ac:dyDescent="0.35">
      <c r="A1710" t="s">
        <v>256</v>
      </c>
      <c r="B1710" t="s">
        <v>257</v>
      </c>
      <c r="C1710">
        <v>2011</v>
      </c>
      <c r="E1710">
        <v>4992</v>
      </c>
      <c r="F1710">
        <v>101598</v>
      </c>
    </row>
    <row r="1711" spans="1:6" x14ac:dyDescent="0.35">
      <c r="A1711" t="s">
        <v>256</v>
      </c>
      <c r="B1711" t="s">
        <v>257</v>
      </c>
      <c r="C1711">
        <v>2012</v>
      </c>
      <c r="E1711">
        <v>4712</v>
      </c>
      <c r="F1711">
        <v>95807</v>
      </c>
    </row>
    <row r="1712" spans="1:6" x14ac:dyDescent="0.35">
      <c r="A1712" t="s">
        <v>256</v>
      </c>
      <c r="B1712" t="s">
        <v>257</v>
      </c>
      <c r="C1712">
        <v>2013</v>
      </c>
      <c r="E1712">
        <v>4614</v>
      </c>
      <c r="F1712">
        <v>89638</v>
      </c>
    </row>
    <row r="1713" spans="1:6" x14ac:dyDescent="0.35">
      <c r="A1713" t="s">
        <v>256</v>
      </c>
      <c r="B1713" t="s">
        <v>257</v>
      </c>
      <c r="C1713">
        <v>2014</v>
      </c>
      <c r="E1713">
        <v>4356</v>
      </c>
      <c r="F1713">
        <v>87951</v>
      </c>
    </row>
    <row r="1714" spans="1:6" x14ac:dyDescent="0.35">
      <c r="A1714" t="s">
        <v>256</v>
      </c>
      <c r="B1714" t="s">
        <v>257</v>
      </c>
      <c r="C1714">
        <v>2015</v>
      </c>
      <c r="E1714">
        <v>4670</v>
      </c>
      <c r="F1714">
        <v>87374</v>
      </c>
    </row>
    <row r="1715" spans="1:6" x14ac:dyDescent="0.35">
      <c r="A1715" t="s">
        <v>256</v>
      </c>
      <c r="B1715" t="s">
        <v>257</v>
      </c>
      <c r="C1715">
        <v>2016</v>
      </c>
      <c r="E1715">
        <v>4546</v>
      </c>
      <c r="F1715">
        <v>88583</v>
      </c>
    </row>
    <row r="1716" spans="1:6" x14ac:dyDescent="0.35">
      <c r="A1716" t="s">
        <v>256</v>
      </c>
      <c r="B1716" t="s">
        <v>257</v>
      </c>
      <c r="C1716">
        <v>2017</v>
      </c>
      <c r="E1716">
        <v>4438</v>
      </c>
      <c r="F1716">
        <v>84394</v>
      </c>
    </row>
    <row r="1717" spans="1:6" x14ac:dyDescent="0.35">
      <c r="A1717" t="s">
        <v>256</v>
      </c>
      <c r="B1717" t="s">
        <v>257</v>
      </c>
      <c r="C1717">
        <v>2018</v>
      </c>
      <c r="E1717">
        <v>4472</v>
      </c>
      <c r="F1717">
        <v>82222</v>
      </c>
    </row>
    <row r="1718" spans="1:6" x14ac:dyDescent="0.35">
      <c r="A1718" t="s">
        <v>256</v>
      </c>
      <c r="B1718" t="s">
        <v>257</v>
      </c>
      <c r="C1718">
        <v>2019</v>
      </c>
      <c r="E1718">
        <v>4212</v>
      </c>
      <c r="F1718">
        <v>79906</v>
      </c>
    </row>
    <row r="1719" spans="1:6" x14ac:dyDescent="0.35">
      <c r="A1719" t="s">
        <v>258</v>
      </c>
      <c r="B1719" t="s">
        <v>259</v>
      </c>
      <c r="C1719">
        <v>1850</v>
      </c>
      <c r="D1719">
        <v>34</v>
      </c>
      <c r="F1719">
        <v>2280</v>
      </c>
    </row>
    <row r="1720" spans="1:6" x14ac:dyDescent="0.35">
      <c r="A1720" t="s">
        <v>258</v>
      </c>
      <c r="B1720" t="s">
        <v>259</v>
      </c>
      <c r="C1720">
        <v>1851</v>
      </c>
      <c r="D1720">
        <v>20</v>
      </c>
      <c r="F1720">
        <v>2336</v>
      </c>
    </row>
    <row r="1721" spans="1:6" x14ac:dyDescent="0.35">
      <c r="A1721" t="s">
        <v>258</v>
      </c>
      <c r="B1721" t="s">
        <v>259</v>
      </c>
      <c r="C1721">
        <v>1852</v>
      </c>
      <c r="D1721">
        <v>46</v>
      </c>
      <c r="F1721">
        <v>2357</v>
      </c>
    </row>
    <row r="1722" spans="1:6" x14ac:dyDescent="0.35">
      <c r="A1722" t="s">
        <v>258</v>
      </c>
      <c r="B1722" t="s">
        <v>259</v>
      </c>
      <c r="C1722">
        <v>1853</v>
      </c>
    </row>
    <row r="1723" spans="1:6" x14ac:dyDescent="0.35">
      <c r="A1723" t="s">
        <v>258</v>
      </c>
      <c r="B1723" t="s">
        <v>259</v>
      </c>
      <c r="C1723">
        <v>1854</v>
      </c>
      <c r="D1723">
        <v>39</v>
      </c>
      <c r="F1723">
        <v>2476</v>
      </c>
    </row>
    <row r="1724" spans="1:6" x14ac:dyDescent="0.35">
      <c r="A1724" t="s">
        <v>258</v>
      </c>
      <c r="B1724" t="s">
        <v>259</v>
      </c>
      <c r="C1724">
        <v>1855</v>
      </c>
      <c r="D1724">
        <v>38</v>
      </c>
      <c r="F1724">
        <v>2423</v>
      </c>
    </row>
    <row r="1725" spans="1:6" x14ac:dyDescent="0.35">
      <c r="A1725" t="s">
        <v>258</v>
      </c>
      <c r="B1725" t="s">
        <v>259</v>
      </c>
      <c r="C1725">
        <v>1856</v>
      </c>
      <c r="D1725">
        <v>43</v>
      </c>
      <c r="F1725">
        <v>2388</v>
      </c>
    </row>
    <row r="1726" spans="1:6" x14ac:dyDescent="0.35">
      <c r="A1726" t="s">
        <v>258</v>
      </c>
      <c r="B1726" t="s">
        <v>259</v>
      </c>
      <c r="C1726">
        <v>1857</v>
      </c>
      <c r="D1726">
        <v>30</v>
      </c>
      <c r="F1726">
        <v>2685</v>
      </c>
    </row>
    <row r="1727" spans="1:6" x14ac:dyDescent="0.35">
      <c r="A1727" t="s">
        <v>258</v>
      </c>
      <c r="B1727" t="s">
        <v>259</v>
      </c>
      <c r="C1727">
        <v>1858</v>
      </c>
      <c r="D1727">
        <v>38</v>
      </c>
      <c r="F1727">
        <v>2858</v>
      </c>
    </row>
    <row r="1728" spans="1:6" x14ac:dyDescent="0.35">
      <c r="A1728" t="s">
        <v>258</v>
      </c>
      <c r="B1728" t="s">
        <v>259</v>
      </c>
      <c r="C1728">
        <v>1859</v>
      </c>
      <c r="D1728">
        <v>46</v>
      </c>
      <c r="F1728">
        <v>2585</v>
      </c>
    </row>
    <row r="1729" spans="1:6" x14ac:dyDescent="0.35">
      <c r="A1729" t="s">
        <v>258</v>
      </c>
      <c r="B1729" t="s">
        <v>259</v>
      </c>
      <c r="C1729">
        <v>1860</v>
      </c>
      <c r="D1729">
        <v>27</v>
      </c>
      <c r="F1729">
        <v>2406</v>
      </c>
    </row>
    <row r="1730" spans="1:6" x14ac:dyDescent="0.35">
      <c r="A1730" t="s">
        <v>258</v>
      </c>
      <c r="B1730" t="s">
        <v>259</v>
      </c>
      <c r="C1730">
        <v>1861</v>
      </c>
      <c r="D1730">
        <v>36</v>
      </c>
      <c r="F1730">
        <v>2450</v>
      </c>
    </row>
    <row r="1731" spans="1:6" x14ac:dyDescent="0.35">
      <c r="A1731" t="s">
        <v>258</v>
      </c>
      <c r="B1731" t="s">
        <v>259</v>
      </c>
      <c r="C1731">
        <v>1862</v>
      </c>
      <c r="D1731">
        <v>32</v>
      </c>
      <c r="F1731">
        <v>2626</v>
      </c>
    </row>
    <row r="1732" spans="1:6" x14ac:dyDescent="0.35">
      <c r="A1732" t="s">
        <v>258</v>
      </c>
      <c r="B1732" t="s">
        <v>259</v>
      </c>
      <c r="C1732">
        <v>1863</v>
      </c>
      <c r="D1732">
        <v>35</v>
      </c>
      <c r="F1732">
        <v>2572</v>
      </c>
    </row>
    <row r="1733" spans="1:6" x14ac:dyDescent="0.35">
      <c r="A1733" t="s">
        <v>258</v>
      </c>
      <c r="B1733" t="s">
        <v>259</v>
      </c>
      <c r="C1733">
        <v>1864</v>
      </c>
      <c r="D1733">
        <v>52</v>
      </c>
      <c r="F1733">
        <v>2656</v>
      </c>
    </row>
    <row r="1734" spans="1:6" x14ac:dyDescent="0.35">
      <c r="A1734" t="s">
        <v>258</v>
      </c>
      <c r="B1734" t="s">
        <v>259</v>
      </c>
      <c r="C1734">
        <v>1865</v>
      </c>
      <c r="D1734">
        <v>37</v>
      </c>
      <c r="F1734">
        <v>2677</v>
      </c>
    </row>
    <row r="1735" spans="1:6" x14ac:dyDescent="0.35">
      <c r="A1735" t="s">
        <v>258</v>
      </c>
      <c r="B1735" t="s">
        <v>259</v>
      </c>
      <c r="C1735">
        <v>1866</v>
      </c>
      <c r="D1735">
        <v>41</v>
      </c>
      <c r="F1735">
        <v>2577</v>
      </c>
    </row>
    <row r="1736" spans="1:6" x14ac:dyDescent="0.35">
      <c r="A1736" t="s">
        <v>258</v>
      </c>
      <c r="B1736" t="s">
        <v>259</v>
      </c>
      <c r="C1736">
        <v>1867</v>
      </c>
      <c r="D1736">
        <v>46</v>
      </c>
      <c r="F1736">
        <v>2645</v>
      </c>
    </row>
    <row r="1737" spans="1:6" x14ac:dyDescent="0.35">
      <c r="A1737" t="s">
        <v>258</v>
      </c>
      <c r="B1737" t="s">
        <v>259</v>
      </c>
      <c r="C1737">
        <v>1868</v>
      </c>
      <c r="D1737">
        <v>37</v>
      </c>
      <c r="F1737">
        <v>2375</v>
      </c>
    </row>
    <row r="1738" spans="1:6" x14ac:dyDescent="0.35">
      <c r="A1738" t="s">
        <v>258</v>
      </c>
      <c r="B1738" t="s">
        <v>259</v>
      </c>
      <c r="C1738">
        <v>1869</v>
      </c>
      <c r="D1738">
        <v>35</v>
      </c>
      <c r="F1738">
        <v>2107</v>
      </c>
    </row>
    <row r="1739" spans="1:6" x14ac:dyDescent="0.35">
      <c r="A1739" t="s">
        <v>258</v>
      </c>
      <c r="B1739" t="s">
        <v>259</v>
      </c>
      <c r="C1739">
        <v>1870</v>
      </c>
      <c r="D1739">
        <v>46</v>
      </c>
      <c r="F1739">
        <v>2184</v>
      </c>
    </row>
    <row r="1740" spans="1:6" x14ac:dyDescent="0.35">
      <c r="A1740" t="s">
        <v>258</v>
      </c>
      <c r="B1740" t="s">
        <v>259</v>
      </c>
      <c r="C1740">
        <v>1871</v>
      </c>
      <c r="D1740">
        <v>43</v>
      </c>
      <c r="F1740">
        <v>2190</v>
      </c>
    </row>
    <row r="1741" spans="1:6" x14ac:dyDescent="0.35">
      <c r="A1741" t="s">
        <v>258</v>
      </c>
      <c r="B1741" t="s">
        <v>259</v>
      </c>
      <c r="C1741">
        <v>1872</v>
      </c>
      <c r="D1741">
        <v>34</v>
      </c>
      <c r="F1741">
        <v>2197</v>
      </c>
    </row>
    <row r="1742" spans="1:6" x14ac:dyDescent="0.35">
      <c r="A1742" t="s">
        <v>258</v>
      </c>
      <c r="B1742" t="s">
        <v>259</v>
      </c>
      <c r="C1742">
        <v>1873</v>
      </c>
      <c r="D1742">
        <v>36</v>
      </c>
      <c r="F1742">
        <v>2365</v>
      </c>
    </row>
    <row r="1743" spans="1:6" x14ac:dyDescent="0.35">
      <c r="A1743" t="s">
        <v>258</v>
      </c>
      <c r="B1743" t="s">
        <v>259</v>
      </c>
      <c r="C1743">
        <v>1874</v>
      </c>
      <c r="D1743">
        <v>25</v>
      </c>
      <c r="F1743">
        <v>2296</v>
      </c>
    </row>
    <row r="1744" spans="1:6" x14ac:dyDescent="0.35">
      <c r="A1744" t="s">
        <v>258</v>
      </c>
      <c r="B1744" t="s">
        <v>259</v>
      </c>
      <c r="C1744">
        <v>1875</v>
      </c>
      <c r="D1744">
        <v>46</v>
      </c>
      <c r="F1744">
        <v>2254</v>
      </c>
    </row>
    <row r="1745" spans="1:6" x14ac:dyDescent="0.35">
      <c r="A1745" t="s">
        <v>258</v>
      </c>
      <c r="B1745" t="s">
        <v>259</v>
      </c>
      <c r="C1745">
        <v>1876</v>
      </c>
      <c r="D1745">
        <v>37</v>
      </c>
      <c r="F1745">
        <v>2350</v>
      </c>
    </row>
    <row r="1746" spans="1:6" x14ac:dyDescent="0.35">
      <c r="A1746" t="s">
        <v>258</v>
      </c>
      <c r="B1746" t="s">
        <v>259</v>
      </c>
      <c r="C1746">
        <v>1877</v>
      </c>
      <c r="D1746">
        <v>39</v>
      </c>
      <c r="F1746">
        <v>2178</v>
      </c>
    </row>
    <row r="1747" spans="1:6" x14ac:dyDescent="0.35">
      <c r="A1747" t="s">
        <v>258</v>
      </c>
      <c r="B1747" t="s">
        <v>259</v>
      </c>
      <c r="C1747">
        <v>1878</v>
      </c>
      <c r="D1747">
        <v>47</v>
      </c>
      <c r="F1747">
        <v>2343</v>
      </c>
    </row>
    <row r="1748" spans="1:6" x14ac:dyDescent="0.35">
      <c r="A1748" t="s">
        <v>258</v>
      </c>
      <c r="B1748" t="s">
        <v>259</v>
      </c>
      <c r="C1748">
        <v>1879</v>
      </c>
      <c r="D1748">
        <v>31</v>
      </c>
      <c r="F1748">
        <v>2260</v>
      </c>
    </row>
    <row r="1749" spans="1:6" x14ac:dyDescent="0.35">
      <c r="A1749" t="s">
        <v>258</v>
      </c>
      <c r="B1749" t="s">
        <v>259</v>
      </c>
      <c r="C1749">
        <v>1880</v>
      </c>
      <c r="D1749">
        <v>34</v>
      </c>
      <c r="F1749">
        <v>2273</v>
      </c>
    </row>
    <row r="1750" spans="1:6" x14ac:dyDescent="0.35">
      <c r="A1750" t="s">
        <v>258</v>
      </c>
      <c r="B1750" t="s">
        <v>259</v>
      </c>
      <c r="C1750">
        <v>1881</v>
      </c>
      <c r="D1750">
        <v>57</v>
      </c>
      <c r="F1750">
        <v>2323</v>
      </c>
    </row>
    <row r="1751" spans="1:6" x14ac:dyDescent="0.35">
      <c r="A1751" t="s">
        <v>258</v>
      </c>
      <c r="B1751" t="s">
        <v>259</v>
      </c>
      <c r="C1751">
        <v>1882</v>
      </c>
      <c r="D1751">
        <v>36</v>
      </c>
      <c r="F1751">
        <v>2315</v>
      </c>
    </row>
    <row r="1752" spans="1:6" x14ac:dyDescent="0.35">
      <c r="A1752" t="s">
        <v>258</v>
      </c>
      <c r="B1752" t="s">
        <v>259</v>
      </c>
      <c r="C1752">
        <v>1883</v>
      </c>
      <c r="D1752">
        <v>31</v>
      </c>
      <c r="F1752">
        <v>2119</v>
      </c>
    </row>
    <row r="1753" spans="1:6" x14ac:dyDescent="0.35">
      <c r="A1753" t="s">
        <v>258</v>
      </c>
      <c r="B1753" t="s">
        <v>259</v>
      </c>
      <c r="C1753">
        <v>1884</v>
      </c>
      <c r="D1753">
        <v>32</v>
      </c>
      <c r="F1753">
        <v>2318</v>
      </c>
    </row>
    <row r="1754" spans="1:6" x14ac:dyDescent="0.35">
      <c r="A1754" t="s">
        <v>258</v>
      </c>
      <c r="B1754" t="s">
        <v>259</v>
      </c>
      <c r="C1754">
        <v>1885</v>
      </c>
      <c r="D1754">
        <v>40</v>
      </c>
      <c r="F1754">
        <v>2253</v>
      </c>
    </row>
    <row r="1755" spans="1:6" x14ac:dyDescent="0.35">
      <c r="A1755" t="s">
        <v>258</v>
      </c>
      <c r="B1755" t="s">
        <v>259</v>
      </c>
      <c r="C1755">
        <v>1886</v>
      </c>
      <c r="D1755">
        <v>31</v>
      </c>
      <c r="F1755">
        <v>2152</v>
      </c>
    </row>
    <row r="1756" spans="1:6" x14ac:dyDescent="0.35">
      <c r="A1756" t="s">
        <v>258</v>
      </c>
      <c r="B1756" t="s">
        <v>259</v>
      </c>
      <c r="C1756">
        <v>1887</v>
      </c>
      <c r="D1756">
        <v>35</v>
      </c>
      <c r="F1756">
        <v>2010</v>
      </c>
    </row>
    <row r="1757" spans="1:6" x14ac:dyDescent="0.35">
      <c r="A1757" t="s">
        <v>258</v>
      </c>
      <c r="B1757" t="s">
        <v>259</v>
      </c>
      <c r="C1757">
        <v>1888</v>
      </c>
      <c r="D1757">
        <v>33</v>
      </c>
      <c r="F1757">
        <v>1925</v>
      </c>
    </row>
    <row r="1758" spans="1:6" x14ac:dyDescent="0.35">
      <c r="A1758" t="s">
        <v>258</v>
      </c>
      <c r="B1758" t="s">
        <v>259</v>
      </c>
      <c r="C1758">
        <v>1889</v>
      </c>
      <c r="D1758">
        <v>48</v>
      </c>
      <c r="F1758">
        <v>2169</v>
      </c>
    </row>
    <row r="1759" spans="1:6" x14ac:dyDescent="0.35">
      <c r="A1759" t="s">
        <v>258</v>
      </c>
      <c r="B1759" t="s">
        <v>259</v>
      </c>
      <c r="C1759">
        <v>1890</v>
      </c>
      <c r="D1759">
        <v>49</v>
      </c>
      <c r="F1759">
        <v>2167</v>
      </c>
    </row>
    <row r="1760" spans="1:6" x14ac:dyDescent="0.35">
      <c r="A1760" t="s">
        <v>258</v>
      </c>
      <c r="B1760" t="s">
        <v>259</v>
      </c>
      <c r="C1760">
        <v>1891</v>
      </c>
      <c r="D1760">
        <v>47</v>
      </c>
      <c r="F1760">
        <v>2343</v>
      </c>
    </row>
    <row r="1761" spans="1:6" x14ac:dyDescent="0.35">
      <c r="A1761" t="s">
        <v>258</v>
      </c>
      <c r="B1761" t="s">
        <v>259</v>
      </c>
      <c r="C1761">
        <v>1892</v>
      </c>
      <c r="D1761">
        <v>39</v>
      </c>
      <c r="F1761">
        <v>2272</v>
      </c>
    </row>
    <row r="1762" spans="1:6" x14ac:dyDescent="0.35">
      <c r="A1762" t="s">
        <v>258</v>
      </c>
      <c r="B1762" t="s">
        <v>259</v>
      </c>
      <c r="C1762">
        <v>1893</v>
      </c>
      <c r="D1762">
        <v>44</v>
      </c>
      <c r="F1762">
        <v>2316</v>
      </c>
    </row>
    <row r="1763" spans="1:6" x14ac:dyDescent="0.35">
      <c r="A1763" t="s">
        <v>258</v>
      </c>
      <c r="B1763" t="s">
        <v>259</v>
      </c>
      <c r="C1763">
        <v>1894</v>
      </c>
      <c r="D1763">
        <v>38</v>
      </c>
      <c r="F1763">
        <v>2175</v>
      </c>
    </row>
    <row r="1764" spans="1:6" x14ac:dyDescent="0.35">
      <c r="A1764" t="s">
        <v>258</v>
      </c>
      <c r="B1764" t="s">
        <v>259</v>
      </c>
      <c r="C1764">
        <v>1895</v>
      </c>
      <c r="D1764">
        <v>39</v>
      </c>
      <c r="F1764">
        <v>2479</v>
      </c>
    </row>
    <row r="1765" spans="1:6" x14ac:dyDescent="0.35">
      <c r="A1765" t="s">
        <v>258</v>
      </c>
      <c r="B1765" t="s">
        <v>259</v>
      </c>
      <c r="C1765">
        <v>1896</v>
      </c>
      <c r="D1765">
        <v>47</v>
      </c>
      <c r="F1765">
        <v>2329</v>
      </c>
    </row>
    <row r="1766" spans="1:6" x14ac:dyDescent="0.35">
      <c r="A1766" t="s">
        <v>258</v>
      </c>
      <c r="B1766" t="s">
        <v>259</v>
      </c>
      <c r="C1766">
        <v>1897</v>
      </c>
      <c r="D1766">
        <v>39</v>
      </c>
      <c r="F1766">
        <v>2376</v>
      </c>
    </row>
    <row r="1767" spans="1:6" x14ac:dyDescent="0.35">
      <c r="A1767" t="s">
        <v>258</v>
      </c>
      <c r="B1767" t="s">
        <v>259</v>
      </c>
      <c r="C1767">
        <v>1898</v>
      </c>
      <c r="D1767">
        <v>45</v>
      </c>
      <c r="F1767">
        <v>2265</v>
      </c>
    </row>
    <row r="1768" spans="1:6" x14ac:dyDescent="0.35">
      <c r="A1768" t="s">
        <v>258</v>
      </c>
      <c r="B1768" t="s">
        <v>259</v>
      </c>
      <c r="C1768">
        <v>1899</v>
      </c>
      <c r="D1768">
        <v>37</v>
      </c>
      <c r="F1768">
        <v>2246</v>
      </c>
    </row>
    <row r="1769" spans="1:6" x14ac:dyDescent="0.35">
      <c r="A1769" t="s">
        <v>258</v>
      </c>
      <c r="B1769" t="s">
        <v>259</v>
      </c>
      <c r="C1769">
        <v>1900</v>
      </c>
      <c r="D1769">
        <v>35</v>
      </c>
      <c r="F1769">
        <v>2235</v>
      </c>
    </row>
    <row r="1770" spans="1:6" x14ac:dyDescent="0.35">
      <c r="A1770" t="s">
        <v>258</v>
      </c>
      <c r="B1770" t="s">
        <v>259</v>
      </c>
      <c r="C1770">
        <v>1901</v>
      </c>
      <c r="D1770">
        <v>30</v>
      </c>
      <c r="F1770">
        <v>2193</v>
      </c>
    </row>
    <row r="1771" spans="1:6" x14ac:dyDescent="0.35">
      <c r="A1771" t="s">
        <v>258</v>
      </c>
      <c r="B1771" t="s">
        <v>259</v>
      </c>
      <c r="C1771">
        <v>1902</v>
      </c>
      <c r="D1771">
        <v>42</v>
      </c>
      <c r="F1771">
        <v>2206</v>
      </c>
    </row>
    <row r="1772" spans="1:6" x14ac:dyDescent="0.35">
      <c r="A1772" t="s">
        <v>258</v>
      </c>
      <c r="B1772" t="s">
        <v>259</v>
      </c>
      <c r="C1772">
        <v>1903</v>
      </c>
      <c r="D1772">
        <v>36</v>
      </c>
      <c r="F1772">
        <v>2259</v>
      </c>
    </row>
    <row r="1773" spans="1:6" x14ac:dyDescent="0.35">
      <c r="A1773" t="s">
        <v>258</v>
      </c>
      <c r="B1773" t="s">
        <v>259</v>
      </c>
      <c r="C1773">
        <v>1904</v>
      </c>
      <c r="D1773">
        <v>42</v>
      </c>
      <c r="F1773">
        <v>2273</v>
      </c>
    </row>
    <row r="1774" spans="1:6" x14ac:dyDescent="0.35">
      <c r="A1774" t="s">
        <v>258</v>
      </c>
      <c r="B1774" t="s">
        <v>259</v>
      </c>
      <c r="C1774">
        <v>1905</v>
      </c>
      <c r="D1774">
        <v>26</v>
      </c>
      <c r="F1774">
        <v>2278</v>
      </c>
    </row>
    <row r="1775" spans="1:6" x14ac:dyDescent="0.35">
      <c r="A1775" t="s">
        <v>258</v>
      </c>
      <c r="B1775" t="s">
        <v>259</v>
      </c>
      <c r="C1775">
        <v>1906</v>
      </c>
      <c r="D1775">
        <v>38</v>
      </c>
      <c r="F1775">
        <v>2342</v>
      </c>
    </row>
    <row r="1776" spans="1:6" x14ac:dyDescent="0.35">
      <c r="A1776" t="s">
        <v>258</v>
      </c>
      <c r="B1776" t="s">
        <v>259</v>
      </c>
      <c r="C1776">
        <v>1907</v>
      </c>
      <c r="D1776">
        <v>53</v>
      </c>
      <c r="F1776">
        <v>2264</v>
      </c>
    </row>
    <row r="1777" spans="1:6" x14ac:dyDescent="0.35">
      <c r="A1777" t="s">
        <v>258</v>
      </c>
      <c r="B1777" t="s">
        <v>259</v>
      </c>
      <c r="C1777">
        <v>1908</v>
      </c>
      <c r="D1777">
        <v>27</v>
      </c>
      <c r="F1777">
        <v>2293</v>
      </c>
    </row>
    <row r="1778" spans="1:6" x14ac:dyDescent="0.35">
      <c r="A1778" t="s">
        <v>258</v>
      </c>
      <c r="B1778" t="s">
        <v>259</v>
      </c>
      <c r="C1778">
        <v>1909</v>
      </c>
      <c r="D1778">
        <v>45</v>
      </c>
      <c r="F1778">
        <v>2259</v>
      </c>
    </row>
    <row r="1779" spans="1:6" x14ac:dyDescent="0.35">
      <c r="A1779" t="s">
        <v>258</v>
      </c>
      <c r="B1779" t="s">
        <v>259</v>
      </c>
      <c r="C1779">
        <v>1910</v>
      </c>
      <c r="D1779">
        <v>35</v>
      </c>
      <c r="F1779">
        <v>2164</v>
      </c>
    </row>
    <row r="1780" spans="1:6" x14ac:dyDescent="0.35">
      <c r="A1780" t="s">
        <v>258</v>
      </c>
      <c r="B1780" t="s">
        <v>259</v>
      </c>
      <c r="C1780">
        <v>1911</v>
      </c>
      <c r="D1780">
        <v>35</v>
      </c>
      <c r="F1780">
        <v>2194</v>
      </c>
    </row>
    <row r="1781" spans="1:6" x14ac:dyDescent="0.35">
      <c r="A1781" t="s">
        <v>258</v>
      </c>
      <c r="B1781" t="s">
        <v>259</v>
      </c>
      <c r="C1781">
        <v>1912</v>
      </c>
      <c r="D1781">
        <v>33</v>
      </c>
      <c r="F1781">
        <v>2241</v>
      </c>
    </row>
    <row r="1782" spans="1:6" x14ac:dyDescent="0.35">
      <c r="A1782" t="s">
        <v>258</v>
      </c>
      <c r="B1782" t="s">
        <v>259</v>
      </c>
      <c r="C1782">
        <v>1913</v>
      </c>
      <c r="D1782">
        <v>34</v>
      </c>
      <c r="F1782">
        <v>2229</v>
      </c>
    </row>
    <row r="1783" spans="1:6" x14ac:dyDescent="0.35">
      <c r="A1783" t="s">
        <v>258</v>
      </c>
      <c r="B1783" t="s">
        <v>259</v>
      </c>
      <c r="C1783">
        <v>1914</v>
      </c>
      <c r="D1783">
        <v>25</v>
      </c>
      <c r="F1783">
        <v>2345</v>
      </c>
    </row>
    <row r="1784" spans="1:6" x14ac:dyDescent="0.35">
      <c r="A1784" t="s">
        <v>258</v>
      </c>
      <c r="B1784" t="s">
        <v>259</v>
      </c>
      <c r="C1784">
        <v>1915</v>
      </c>
      <c r="D1784">
        <v>41</v>
      </c>
      <c r="F1784">
        <v>2443</v>
      </c>
    </row>
    <row r="1785" spans="1:6" x14ac:dyDescent="0.35">
      <c r="A1785" t="s">
        <v>258</v>
      </c>
      <c r="B1785" t="s">
        <v>259</v>
      </c>
      <c r="C1785">
        <v>1916</v>
      </c>
      <c r="D1785">
        <v>32</v>
      </c>
      <c r="F1785">
        <v>2405</v>
      </c>
    </row>
    <row r="1786" spans="1:6" x14ac:dyDescent="0.35">
      <c r="A1786" t="s">
        <v>258</v>
      </c>
      <c r="B1786" t="s">
        <v>259</v>
      </c>
      <c r="C1786">
        <v>1917</v>
      </c>
      <c r="D1786">
        <v>39</v>
      </c>
      <c r="F1786">
        <v>2399</v>
      </c>
    </row>
    <row r="1787" spans="1:6" x14ac:dyDescent="0.35">
      <c r="A1787" t="s">
        <v>258</v>
      </c>
      <c r="B1787" t="s">
        <v>259</v>
      </c>
      <c r="C1787">
        <v>1918</v>
      </c>
      <c r="D1787">
        <v>47</v>
      </c>
      <c r="F1787">
        <v>2425</v>
      </c>
    </row>
    <row r="1788" spans="1:6" x14ac:dyDescent="0.35">
      <c r="A1788" t="s">
        <v>258</v>
      </c>
      <c r="B1788" t="s">
        <v>259</v>
      </c>
      <c r="C1788">
        <v>1919</v>
      </c>
      <c r="D1788">
        <v>35</v>
      </c>
      <c r="F1788">
        <v>2330</v>
      </c>
    </row>
    <row r="1789" spans="1:6" x14ac:dyDescent="0.35">
      <c r="A1789" t="s">
        <v>258</v>
      </c>
      <c r="B1789" t="s">
        <v>259</v>
      </c>
      <c r="C1789">
        <v>1920</v>
      </c>
      <c r="D1789">
        <v>42</v>
      </c>
      <c r="F1789">
        <v>2615</v>
      </c>
    </row>
    <row r="1790" spans="1:6" x14ac:dyDescent="0.35">
      <c r="A1790" t="s">
        <v>258</v>
      </c>
      <c r="B1790" t="s">
        <v>259</v>
      </c>
      <c r="C1790">
        <v>1921</v>
      </c>
      <c r="D1790">
        <v>42</v>
      </c>
      <c r="F1790">
        <v>2595</v>
      </c>
    </row>
    <row r="1791" spans="1:6" x14ac:dyDescent="0.35">
      <c r="A1791" t="s">
        <v>258</v>
      </c>
      <c r="B1791" t="s">
        <v>259</v>
      </c>
      <c r="C1791">
        <v>1922</v>
      </c>
      <c r="D1791">
        <v>30</v>
      </c>
      <c r="F1791">
        <v>2538</v>
      </c>
    </row>
    <row r="1792" spans="1:6" x14ac:dyDescent="0.35">
      <c r="A1792" t="s">
        <v>258</v>
      </c>
      <c r="B1792" t="s">
        <v>259</v>
      </c>
      <c r="C1792">
        <v>1923</v>
      </c>
      <c r="D1792">
        <v>35</v>
      </c>
      <c r="F1792">
        <v>2590</v>
      </c>
    </row>
    <row r="1793" spans="1:6" x14ac:dyDescent="0.35">
      <c r="A1793" t="s">
        <v>258</v>
      </c>
      <c r="B1793" t="s">
        <v>259</v>
      </c>
      <c r="C1793">
        <v>1924</v>
      </c>
      <c r="D1793">
        <v>42</v>
      </c>
      <c r="F1793">
        <v>2508</v>
      </c>
    </row>
    <row r="1794" spans="1:6" x14ac:dyDescent="0.35">
      <c r="A1794" t="s">
        <v>258</v>
      </c>
      <c r="B1794" t="s">
        <v>259</v>
      </c>
      <c r="C1794">
        <v>1925</v>
      </c>
      <c r="D1794">
        <v>32</v>
      </c>
      <c r="F1794">
        <v>2557</v>
      </c>
    </row>
    <row r="1795" spans="1:6" x14ac:dyDescent="0.35">
      <c r="A1795" t="s">
        <v>258</v>
      </c>
      <c r="B1795" t="s">
        <v>259</v>
      </c>
      <c r="C1795">
        <v>1926</v>
      </c>
      <c r="D1795">
        <v>48</v>
      </c>
      <c r="F1795">
        <v>2650</v>
      </c>
    </row>
    <row r="1796" spans="1:6" x14ac:dyDescent="0.35">
      <c r="A1796" t="s">
        <v>258</v>
      </c>
      <c r="B1796" t="s">
        <v>259</v>
      </c>
      <c r="C1796">
        <v>1927</v>
      </c>
      <c r="D1796">
        <v>42</v>
      </c>
      <c r="F1796">
        <v>2631</v>
      </c>
    </row>
    <row r="1797" spans="1:6" x14ac:dyDescent="0.35">
      <c r="A1797" t="s">
        <v>258</v>
      </c>
      <c r="B1797" t="s">
        <v>259</v>
      </c>
      <c r="C1797">
        <v>1928</v>
      </c>
      <c r="D1797">
        <v>40</v>
      </c>
      <c r="F1797">
        <v>2520</v>
      </c>
    </row>
    <row r="1798" spans="1:6" x14ac:dyDescent="0.35">
      <c r="A1798" t="s">
        <v>258</v>
      </c>
      <c r="B1798" t="s">
        <v>259</v>
      </c>
      <c r="C1798">
        <v>1929</v>
      </c>
      <c r="D1798">
        <v>44</v>
      </c>
      <c r="F1798">
        <v>2638</v>
      </c>
    </row>
    <row r="1799" spans="1:6" x14ac:dyDescent="0.35">
      <c r="A1799" t="s">
        <v>258</v>
      </c>
      <c r="B1799" t="s">
        <v>259</v>
      </c>
      <c r="C1799">
        <v>1930</v>
      </c>
      <c r="D1799">
        <v>41</v>
      </c>
      <c r="F1799">
        <v>2789</v>
      </c>
    </row>
    <row r="1800" spans="1:6" x14ac:dyDescent="0.35">
      <c r="A1800" t="s">
        <v>258</v>
      </c>
      <c r="B1800" t="s">
        <v>259</v>
      </c>
      <c r="C1800">
        <v>1931</v>
      </c>
      <c r="D1800">
        <v>34</v>
      </c>
      <c r="F1800">
        <v>2800</v>
      </c>
    </row>
    <row r="1801" spans="1:6" x14ac:dyDescent="0.35">
      <c r="A1801" t="s">
        <v>258</v>
      </c>
      <c r="B1801" t="s">
        <v>259</v>
      </c>
      <c r="C1801">
        <v>1932</v>
      </c>
      <c r="D1801">
        <v>27</v>
      </c>
      <c r="F1801">
        <v>2695</v>
      </c>
    </row>
    <row r="1802" spans="1:6" x14ac:dyDescent="0.35">
      <c r="A1802" t="s">
        <v>258</v>
      </c>
      <c r="B1802" t="s">
        <v>259</v>
      </c>
      <c r="C1802">
        <v>1933</v>
      </c>
      <c r="D1802">
        <v>34</v>
      </c>
      <c r="F1802">
        <v>2515</v>
      </c>
    </row>
    <row r="1803" spans="1:6" x14ac:dyDescent="0.35">
      <c r="A1803" t="s">
        <v>258</v>
      </c>
      <c r="B1803" t="s">
        <v>259</v>
      </c>
      <c r="C1803">
        <v>1934</v>
      </c>
      <c r="D1803">
        <v>42</v>
      </c>
      <c r="F1803">
        <v>2569</v>
      </c>
    </row>
    <row r="1804" spans="1:6" x14ac:dyDescent="0.35">
      <c r="A1804" t="s">
        <v>258</v>
      </c>
      <c r="B1804" t="s">
        <v>259</v>
      </c>
      <c r="C1804">
        <v>1935</v>
      </c>
      <c r="D1804">
        <v>25</v>
      </c>
      <c r="F1804">
        <v>2558</v>
      </c>
    </row>
    <row r="1805" spans="1:6" x14ac:dyDescent="0.35">
      <c r="A1805" t="s">
        <v>258</v>
      </c>
      <c r="B1805" t="s">
        <v>259</v>
      </c>
      <c r="C1805">
        <v>1936</v>
      </c>
      <c r="D1805">
        <v>24</v>
      </c>
      <c r="F1805">
        <v>2557</v>
      </c>
    </row>
    <row r="1806" spans="1:6" x14ac:dyDescent="0.35">
      <c r="A1806" t="s">
        <v>258</v>
      </c>
      <c r="B1806" t="s">
        <v>259</v>
      </c>
      <c r="C1806">
        <v>1937</v>
      </c>
      <c r="D1806">
        <v>34</v>
      </c>
      <c r="F1806">
        <v>2387</v>
      </c>
    </row>
    <row r="1807" spans="1:6" x14ac:dyDescent="0.35">
      <c r="A1807" t="s">
        <v>258</v>
      </c>
      <c r="B1807" t="s">
        <v>259</v>
      </c>
      <c r="C1807">
        <v>1938</v>
      </c>
      <c r="D1807">
        <v>34</v>
      </c>
      <c r="F1807">
        <v>2365</v>
      </c>
    </row>
    <row r="1808" spans="1:6" x14ac:dyDescent="0.35">
      <c r="A1808" t="s">
        <v>258</v>
      </c>
      <c r="B1808" t="s">
        <v>259</v>
      </c>
      <c r="C1808">
        <v>1939</v>
      </c>
      <c r="D1808">
        <v>36</v>
      </c>
      <c r="F1808">
        <v>2328</v>
      </c>
    </row>
    <row r="1809" spans="1:6" x14ac:dyDescent="0.35">
      <c r="A1809" t="s">
        <v>258</v>
      </c>
      <c r="B1809" t="s">
        <v>259</v>
      </c>
      <c r="C1809">
        <v>1940</v>
      </c>
      <c r="D1809">
        <v>25</v>
      </c>
      <c r="F1809">
        <v>2481</v>
      </c>
    </row>
    <row r="1810" spans="1:6" x14ac:dyDescent="0.35">
      <c r="A1810" t="s">
        <v>258</v>
      </c>
      <c r="B1810" t="s">
        <v>259</v>
      </c>
      <c r="C1810">
        <v>1941</v>
      </c>
      <c r="D1810">
        <v>33</v>
      </c>
      <c r="F1810">
        <v>2621</v>
      </c>
    </row>
    <row r="1811" spans="1:6" x14ac:dyDescent="0.35">
      <c r="A1811" t="s">
        <v>258</v>
      </c>
      <c r="B1811" t="s">
        <v>259</v>
      </c>
      <c r="C1811">
        <v>1942</v>
      </c>
      <c r="D1811">
        <v>39</v>
      </c>
      <c r="F1811">
        <v>3003</v>
      </c>
    </row>
    <row r="1812" spans="1:6" x14ac:dyDescent="0.35">
      <c r="A1812" t="s">
        <v>258</v>
      </c>
      <c r="B1812" t="s">
        <v>259</v>
      </c>
      <c r="C1812">
        <v>1943</v>
      </c>
      <c r="D1812">
        <v>56</v>
      </c>
      <c r="F1812">
        <v>3126</v>
      </c>
    </row>
    <row r="1813" spans="1:6" x14ac:dyDescent="0.35">
      <c r="A1813" t="s">
        <v>258</v>
      </c>
      <c r="B1813" t="s">
        <v>259</v>
      </c>
      <c r="C1813">
        <v>1944</v>
      </c>
      <c r="D1813">
        <v>41</v>
      </c>
      <c r="F1813">
        <v>3225</v>
      </c>
    </row>
    <row r="1814" spans="1:6" x14ac:dyDescent="0.35">
      <c r="A1814" t="s">
        <v>258</v>
      </c>
      <c r="B1814" t="s">
        <v>259</v>
      </c>
      <c r="C1814">
        <v>1945</v>
      </c>
      <c r="D1814">
        <v>37</v>
      </c>
      <c r="F1814">
        <v>3425</v>
      </c>
    </row>
    <row r="1815" spans="1:6" x14ac:dyDescent="0.35">
      <c r="A1815" t="s">
        <v>258</v>
      </c>
      <c r="B1815" t="s">
        <v>259</v>
      </c>
      <c r="C1815">
        <v>1946</v>
      </c>
      <c r="D1815">
        <v>39</v>
      </c>
      <c r="F1815">
        <v>3426</v>
      </c>
    </row>
    <row r="1816" spans="1:6" x14ac:dyDescent="0.35">
      <c r="A1816" t="s">
        <v>258</v>
      </c>
      <c r="B1816" t="s">
        <v>259</v>
      </c>
      <c r="C1816">
        <v>1947</v>
      </c>
      <c r="D1816">
        <v>51</v>
      </c>
      <c r="F1816">
        <v>3657</v>
      </c>
    </row>
    <row r="1817" spans="1:6" x14ac:dyDescent="0.35">
      <c r="A1817" t="s">
        <v>258</v>
      </c>
      <c r="B1817" t="s">
        <v>259</v>
      </c>
      <c r="C1817">
        <v>1948</v>
      </c>
      <c r="D1817">
        <v>47</v>
      </c>
      <c r="F1817">
        <v>3805</v>
      </c>
    </row>
    <row r="1818" spans="1:6" x14ac:dyDescent="0.35">
      <c r="A1818" t="s">
        <v>258</v>
      </c>
      <c r="B1818" t="s">
        <v>259</v>
      </c>
      <c r="C1818">
        <v>1949</v>
      </c>
      <c r="D1818">
        <v>36</v>
      </c>
      <c r="F1818">
        <v>3876</v>
      </c>
    </row>
    <row r="1819" spans="1:6" x14ac:dyDescent="0.35">
      <c r="A1819" t="s">
        <v>258</v>
      </c>
      <c r="B1819" t="s">
        <v>259</v>
      </c>
      <c r="C1819">
        <v>1950</v>
      </c>
      <c r="D1819">
        <v>42</v>
      </c>
      <c r="F1819">
        <v>4075</v>
      </c>
    </row>
    <row r="1820" spans="1:6" x14ac:dyDescent="0.35">
      <c r="A1820" t="s">
        <v>258</v>
      </c>
      <c r="B1820" t="s">
        <v>259</v>
      </c>
      <c r="C1820">
        <v>1951</v>
      </c>
      <c r="D1820">
        <v>42</v>
      </c>
      <c r="E1820">
        <v>84</v>
      </c>
      <c r="F1820">
        <v>3977</v>
      </c>
    </row>
    <row r="1821" spans="1:6" x14ac:dyDescent="0.35">
      <c r="A1821" t="s">
        <v>258</v>
      </c>
      <c r="B1821" t="s">
        <v>259</v>
      </c>
      <c r="C1821">
        <v>1952</v>
      </c>
      <c r="D1821">
        <v>45</v>
      </c>
      <c r="E1821">
        <v>90</v>
      </c>
      <c r="F1821">
        <v>4063</v>
      </c>
    </row>
    <row r="1822" spans="1:6" x14ac:dyDescent="0.35">
      <c r="A1822" t="s">
        <v>258</v>
      </c>
      <c r="B1822" t="s">
        <v>259</v>
      </c>
      <c r="C1822">
        <v>1953</v>
      </c>
      <c r="D1822">
        <v>45</v>
      </c>
      <c r="E1822">
        <v>90</v>
      </c>
      <c r="F1822">
        <v>4223</v>
      </c>
    </row>
    <row r="1823" spans="1:6" x14ac:dyDescent="0.35">
      <c r="A1823" t="s">
        <v>258</v>
      </c>
      <c r="B1823" t="s">
        <v>259</v>
      </c>
      <c r="C1823">
        <v>1954</v>
      </c>
      <c r="D1823">
        <v>40</v>
      </c>
      <c r="E1823">
        <v>80</v>
      </c>
      <c r="F1823">
        <v>4267</v>
      </c>
    </row>
    <row r="1824" spans="1:6" x14ac:dyDescent="0.35">
      <c r="A1824" t="s">
        <v>258</v>
      </c>
      <c r="B1824" t="s">
        <v>259</v>
      </c>
      <c r="C1824">
        <v>1955</v>
      </c>
      <c r="D1824">
        <v>53</v>
      </c>
      <c r="E1824">
        <v>106</v>
      </c>
      <c r="F1824">
        <v>4459</v>
      </c>
    </row>
    <row r="1825" spans="1:6" x14ac:dyDescent="0.35">
      <c r="A1825" t="s">
        <v>258</v>
      </c>
      <c r="B1825" t="s">
        <v>259</v>
      </c>
      <c r="C1825">
        <v>1956</v>
      </c>
      <c r="D1825">
        <v>51</v>
      </c>
      <c r="E1825">
        <v>102</v>
      </c>
      <c r="F1825">
        <v>4566</v>
      </c>
    </row>
    <row r="1826" spans="1:6" x14ac:dyDescent="0.35">
      <c r="A1826" t="s">
        <v>258</v>
      </c>
      <c r="B1826" t="s">
        <v>259</v>
      </c>
      <c r="C1826">
        <v>1957</v>
      </c>
      <c r="D1826">
        <v>42</v>
      </c>
      <c r="E1826">
        <v>84</v>
      </c>
      <c r="F1826">
        <v>4703</v>
      </c>
    </row>
    <row r="1827" spans="1:6" x14ac:dyDescent="0.35">
      <c r="A1827" t="s">
        <v>258</v>
      </c>
      <c r="B1827" t="s">
        <v>259</v>
      </c>
      <c r="C1827">
        <v>1958</v>
      </c>
      <c r="D1827">
        <v>42</v>
      </c>
      <c r="E1827">
        <v>84</v>
      </c>
      <c r="F1827">
        <v>4620</v>
      </c>
    </row>
    <row r="1828" spans="1:6" x14ac:dyDescent="0.35">
      <c r="A1828" t="s">
        <v>258</v>
      </c>
      <c r="B1828" t="s">
        <v>259</v>
      </c>
      <c r="C1828">
        <v>1959</v>
      </c>
      <c r="D1828">
        <v>48</v>
      </c>
      <c r="E1828">
        <v>96</v>
      </c>
      <c r="F1828">
        <v>4795</v>
      </c>
    </row>
    <row r="1829" spans="1:6" x14ac:dyDescent="0.35">
      <c r="A1829" t="s">
        <v>258</v>
      </c>
      <c r="B1829" t="s">
        <v>259</v>
      </c>
      <c r="C1829">
        <v>1960</v>
      </c>
      <c r="D1829">
        <v>53</v>
      </c>
      <c r="E1829">
        <v>106</v>
      </c>
      <c r="F1829">
        <v>4870</v>
      </c>
    </row>
    <row r="1830" spans="1:6" x14ac:dyDescent="0.35">
      <c r="A1830" t="s">
        <v>258</v>
      </c>
      <c r="B1830" t="s">
        <v>259</v>
      </c>
      <c r="C1830">
        <v>1961</v>
      </c>
      <c r="D1830">
        <v>50</v>
      </c>
      <c r="E1830">
        <v>100</v>
      </c>
      <c r="F1830">
        <v>4534</v>
      </c>
    </row>
    <row r="1831" spans="1:6" x14ac:dyDescent="0.35">
      <c r="A1831" t="s">
        <v>258</v>
      </c>
      <c r="B1831" t="s">
        <v>259</v>
      </c>
      <c r="C1831">
        <v>1962</v>
      </c>
      <c r="D1831">
        <v>38</v>
      </c>
      <c r="E1831">
        <v>76</v>
      </c>
      <c r="F1831">
        <v>4693</v>
      </c>
    </row>
    <row r="1832" spans="1:6" x14ac:dyDescent="0.35">
      <c r="A1832" t="s">
        <v>258</v>
      </c>
      <c r="B1832" t="s">
        <v>259</v>
      </c>
      <c r="C1832">
        <v>1963</v>
      </c>
      <c r="D1832">
        <v>45</v>
      </c>
      <c r="E1832">
        <v>90</v>
      </c>
      <c r="F1832">
        <v>4795</v>
      </c>
    </row>
    <row r="1833" spans="1:6" x14ac:dyDescent="0.35">
      <c r="A1833" t="s">
        <v>258</v>
      </c>
      <c r="B1833" t="s">
        <v>259</v>
      </c>
      <c r="C1833">
        <v>1964</v>
      </c>
      <c r="D1833">
        <v>67</v>
      </c>
      <c r="E1833">
        <v>134</v>
      </c>
      <c r="F1833">
        <v>4708</v>
      </c>
    </row>
    <row r="1834" spans="1:6" x14ac:dyDescent="0.35">
      <c r="A1834" t="s">
        <v>258</v>
      </c>
      <c r="B1834" t="s">
        <v>259</v>
      </c>
      <c r="C1834">
        <v>1965</v>
      </c>
      <c r="D1834">
        <v>63</v>
      </c>
      <c r="E1834">
        <v>126</v>
      </c>
      <c r="F1834">
        <v>4666</v>
      </c>
    </row>
    <row r="1835" spans="1:6" x14ac:dyDescent="0.35">
      <c r="A1835" t="s">
        <v>258</v>
      </c>
      <c r="B1835" t="s">
        <v>259</v>
      </c>
      <c r="C1835">
        <v>1966</v>
      </c>
      <c r="D1835">
        <v>40</v>
      </c>
      <c r="E1835">
        <v>80</v>
      </c>
      <c r="F1835">
        <v>4667</v>
      </c>
    </row>
    <row r="1836" spans="1:6" x14ac:dyDescent="0.35">
      <c r="A1836" t="s">
        <v>258</v>
      </c>
      <c r="B1836" t="s">
        <v>259</v>
      </c>
      <c r="C1836">
        <v>1967</v>
      </c>
      <c r="D1836">
        <v>39</v>
      </c>
      <c r="E1836">
        <v>78</v>
      </c>
      <c r="F1836">
        <v>4370</v>
      </c>
    </row>
    <row r="1837" spans="1:6" x14ac:dyDescent="0.35">
      <c r="A1837" t="s">
        <v>258</v>
      </c>
      <c r="B1837" t="s">
        <v>259</v>
      </c>
      <c r="C1837">
        <v>1968</v>
      </c>
      <c r="D1837">
        <v>43</v>
      </c>
      <c r="E1837">
        <v>86</v>
      </c>
      <c r="F1837">
        <v>4193</v>
      </c>
    </row>
    <row r="1838" spans="1:6" x14ac:dyDescent="0.35">
      <c r="A1838" t="s">
        <v>258</v>
      </c>
      <c r="B1838" t="s">
        <v>259</v>
      </c>
      <c r="C1838">
        <v>1969</v>
      </c>
      <c r="D1838">
        <v>38</v>
      </c>
      <c r="E1838">
        <v>76</v>
      </c>
      <c r="F1838">
        <v>4186</v>
      </c>
    </row>
    <row r="1839" spans="1:6" x14ac:dyDescent="0.35">
      <c r="A1839" t="s">
        <v>258</v>
      </c>
      <c r="B1839" t="s">
        <v>259</v>
      </c>
      <c r="C1839">
        <v>1970</v>
      </c>
      <c r="D1839">
        <v>29</v>
      </c>
      <c r="E1839">
        <v>58</v>
      </c>
      <c r="F1839">
        <v>4002</v>
      </c>
    </row>
    <row r="1840" spans="1:6" x14ac:dyDescent="0.35">
      <c r="A1840" t="s">
        <v>258</v>
      </c>
      <c r="B1840" t="s">
        <v>259</v>
      </c>
      <c r="C1840">
        <v>1971</v>
      </c>
      <c r="D1840">
        <v>40</v>
      </c>
      <c r="E1840">
        <v>80</v>
      </c>
      <c r="F1840">
        <v>4235</v>
      </c>
    </row>
    <row r="1841" spans="1:6" x14ac:dyDescent="0.35">
      <c r="A1841" t="s">
        <v>258</v>
      </c>
      <c r="B1841" t="s">
        <v>259</v>
      </c>
      <c r="C1841">
        <v>1972</v>
      </c>
      <c r="D1841">
        <v>37</v>
      </c>
      <c r="E1841">
        <v>74</v>
      </c>
      <c r="F1841">
        <v>4652</v>
      </c>
    </row>
    <row r="1842" spans="1:6" x14ac:dyDescent="0.35">
      <c r="A1842" t="s">
        <v>258</v>
      </c>
      <c r="B1842" t="s">
        <v>259</v>
      </c>
      <c r="C1842">
        <v>1973</v>
      </c>
      <c r="D1842">
        <v>46</v>
      </c>
      <c r="E1842">
        <v>92</v>
      </c>
      <c r="F1842">
        <v>4549</v>
      </c>
    </row>
    <row r="1843" spans="1:6" x14ac:dyDescent="0.35">
      <c r="A1843" t="s">
        <v>258</v>
      </c>
      <c r="B1843" t="s">
        <v>259</v>
      </c>
      <c r="C1843">
        <v>1974</v>
      </c>
      <c r="D1843">
        <v>35</v>
      </c>
      <c r="E1843">
        <v>70</v>
      </c>
      <c r="F1843">
        <v>4240</v>
      </c>
    </row>
    <row r="1844" spans="1:6" x14ac:dyDescent="0.35">
      <c r="A1844" t="s">
        <v>258</v>
      </c>
      <c r="B1844" t="s">
        <v>259</v>
      </c>
      <c r="C1844">
        <v>1975</v>
      </c>
      <c r="D1844">
        <v>46</v>
      </c>
      <c r="E1844">
        <v>92</v>
      </c>
      <c r="F1844">
        <v>4322</v>
      </c>
    </row>
    <row r="1845" spans="1:6" x14ac:dyDescent="0.35">
      <c r="A1845" t="s">
        <v>258</v>
      </c>
      <c r="B1845" t="s">
        <v>259</v>
      </c>
      <c r="C1845">
        <v>1976</v>
      </c>
      <c r="D1845">
        <v>25</v>
      </c>
      <c r="E1845">
        <v>50</v>
      </c>
      <c r="F1845">
        <v>4268</v>
      </c>
    </row>
    <row r="1846" spans="1:6" x14ac:dyDescent="0.35">
      <c r="A1846" t="s">
        <v>258</v>
      </c>
      <c r="B1846" t="s">
        <v>259</v>
      </c>
      <c r="C1846">
        <v>1977</v>
      </c>
      <c r="D1846">
        <v>37</v>
      </c>
      <c r="E1846">
        <v>74</v>
      </c>
      <c r="F1846">
        <v>3944</v>
      </c>
    </row>
    <row r="1847" spans="1:6" x14ac:dyDescent="0.35">
      <c r="A1847" t="s">
        <v>258</v>
      </c>
      <c r="B1847" t="s">
        <v>259</v>
      </c>
      <c r="C1847">
        <v>1978</v>
      </c>
      <c r="D1847">
        <v>43</v>
      </c>
      <c r="E1847">
        <v>86</v>
      </c>
      <c r="F1847">
        <v>4103</v>
      </c>
    </row>
    <row r="1848" spans="1:6" x14ac:dyDescent="0.35">
      <c r="A1848" t="s">
        <v>258</v>
      </c>
      <c r="B1848" t="s">
        <v>259</v>
      </c>
      <c r="C1848">
        <v>1979</v>
      </c>
      <c r="D1848">
        <v>38</v>
      </c>
      <c r="E1848">
        <v>76</v>
      </c>
      <c r="F1848">
        <v>4416</v>
      </c>
    </row>
    <row r="1849" spans="1:6" x14ac:dyDescent="0.35">
      <c r="A1849" t="s">
        <v>258</v>
      </c>
      <c r="B1849" t="s">
        <v>259</v>
      </c>
      <c r="C1849">
        <v>1980</v>
      </c>
      <c r="D1849">
        <v>39</v>
      </c>
      <c r="E1849">
        <v>78</v>
      </c>
      <c r="F1849">
        <v>4471</v>
      </c>
    </row>
    <row r="1850" spans="1:6" x14ac:dyDescent="0.35">
      <c r="A1850" t="s">
        <v>258</v>
      </c>
      <c r="B1850" t="s">
        <v>259</v>
      </c>
      <c r="C1850">
        <v>1981</v>
      </c>
      <c r="D1850">
        <v>43</v>
      </c>
      <c r="E1850">
        <v>86</v>
      </c>
      <c r="F1850">
        <v>4280</v>
      </c>
    </row>
    <row r="1851" spans="1:6" x14ac:dyDescent="0.35">
      <c r="A1851" t="s">
        <v>258</v>
      </c>
      <c r="B1851" t="s">
        <v>259</v>
      </c>
      <c r="C1851">
        <v>1982</v>
      </c>
      <c r="D1851">
        <v>43</v>
      </c>
      <c r="E1851">
        <v>86</v>
      </c>
      <c r="F1851">
        <v>4268</v>
      </c>
    </row>
    <row r="1852" spans="1:6" x14ac:dyDescent="0.35">
      <c r="A1852" t="s">
        <v>258</v>
      </c>
      <c r="B1852" t="s">
        <v>259</v>
      </c>
      <c r="C1852">
        <v>1983</v>
      </c>
      <c r="D1852">
        <v>36</v>
      </c>
      <c r="E1852">
        <v>72</v>
      </c>
      <c r="F1852">
        <v>4310</v>
      </c>
    </row>
    <row r="1853" spans="1:6" x14ac:dyDescent="0.35">
      <c r="A1853" t="s">
        <v>258</v>
      </c>
      <c r="B1853" t="s">
        <v>259</v>
      </c>
      <c r="C1853">
        <v>1984</v>
      </c>
      <c r="D1853">
        <v>47</v>
      </c>
      <c r="E1853">
        <v>94</v>
      </c>
      <c r="F1853">
        <v>4036</v>
      </c>
    </row>
    <row r="1854" spans="1:6" x14ac:dyDescent="0.35">
      <c r="A1854" t="s">
        <v>258</v>
      </c>
      <c r="B1854" t="s">
        <v>259</v>
      </c>
      <c r="C1854">
        <v>1985</v>
      </c>
      <c r="D1854">
        <v>47</v>
      </c>
      <c r="E1854">
        <v>94</v>
      </c>
      <c r="F1854">
        <v>3762</v>
      </c>
    </row>
    <row r="1855" spans="1:6" x14ac:dyDescent="0.35">
      <c r="A1855" t="s">
        <v>258</v>
      </c>
      <c r="B1855" t="s">
        <v>259</v>
      </c>
      <c r="C1855">
        <v>1986</v>
      </c>
      <c r="D1855">
        <v>35</v>
      </c>
      <c r="E1855">
        <v>70</v>
      </c>
      <c r="F1855">
        <v>3829</v>
      </c>
    </row>
    <row r="1856" spans="1:6" x14ac:dyDescent="0.35">
      <c r="A1856" t="s">
        <v>258</v>
      </c>
      <c r="B1856" t="s">
        <v>259</v>
      </c>
      <c r="C1856">
        <v>1987</v>
      </c>
      <c r="D1856">
        <v>31</v>
      </c>
      <c r="E1856">
        <v>62</v>
      </c>
      <c r="F1856">
        <v>4146</v>
      </c>
    </row>
    <row r="1857" spans="1:6" x14ac:dyDescent="0.35">
      <c r="A1857" t="s">
        <v>258</v>
      </c>
      <c r="B1857" t="s">
        <v>259</v>
      </c>
      <c r="C1857">
        <v>1988</v>
      </c>
      <c r="D1857">
        <v>40</v>
      </c>
      <c r="E1857">
        <v>80</v>
      </c>
      <c r="F1857">
        <v>4604</v>
      </c>
    </row>
    <row r="1858" spans="1:6" x14ac:dyDescent="0.35">
      <c r="A1858" t="s">
        <v>258</v>
      </c>
      <c r="B1858" t="s">
        <v>259</v>
      </c>
      <c r="C1858">
        <v>1989</v>
      </c>
      <c r="D1858">
        <v>41</v>
      </c>
      <c r="E1858">
        <v>82</v>
      </c>
      <c r="F1858">
        <v>4481</v>
      </c>
    </row>
    <row r="1859" spans="1:6" x14ac:dyDescent="0.35">
      <c r="A1859" t="s">
        <v>258</v>
      </c>
      <c r="B1859" t="s">
        <v>259</v>
      </c>
      <c r="C1859">
        <v>1990</v>
      </c>
      <c r="D1859">
        <v>48</v>
      </c>
      <c r="E1859">
        <v>96</v>
      </c>
      <c r="F1859">
        <v>4682</v>
      </c>
    </row>
    <row r="1860" spans="1:6" x14ac:dyDescent="0.35">
      <c r="A1860" t="s">
        <v>258</v>
      </c>
      <c r="B1860" t="s">
        <v>259</v>
      </c>
      <c r="C1860">
        <v>1991</v>
      </c>
      <c r="D1860">
        <v>67</v>
      </c>
      <c r="E1860">
        <v>134</v>
      </c>
      <c r="F1860">
        <v>4412</v>
      </c>
    </row>
    <row r="1861" spans="1:6" x14ac:dyDescent="0.35">
      <c r="A1861" t="s">
        <v>258</v>
      </c>
      <c r="B1861" t="s">
        <v>259</v>
      </c>
      <c r="C1861">
        <v>1992</v>
      </c>
      <c r="D1861">
        <v>71</v>
      </c>
      <c r="E1861">
        <v>142</v>
      </c>
      <c r="F1861">
        <v>4471</v>
      </c>
    </row>
    <row r="1862" spans="1:6" x14ac:dyDescent="0.35">
      <c r="A1862" t="s">
        <v>258</v>
      </c>
      <c r="B1862" t="s">
        <v>259</v>
      </c>
      <c r="C1862">
        <v>1993</v>
      </c>
      <c r="D1862">
        <v>62</v>
      </c>
      <c r="E1862">
        <v>124</v>
      </c>
      <c r="F1862">
        <v>4496</v>
      </c>
    </row>
    <row r="1863" spans="1:6" x14ac:dyDescent="0.35">
      <c r="A1863" t="s">
        <v>258</v>
      </c>
      <c r="B1863" t="s">
        <v>259</v>
      </c>
      <c r="C1863">
        <v>1994</v>
      </c>
      <c r="D1863">
        <v>79</v>
      </c>
      <c r="E1863">
        <v>158</v>
      </c>
      <c r="F1863">
        <v>4281</v>
      </c>
    </row>
    <row r="1864" spans="1:6" x14ac:dyDescent="0.35">
      <c r="A1864" t="s">
        <v>258</v>
      </c>
      <c r="B1864" t="s">
        <v>259</v>
      </c>
      <c r="C1864">
        <v>1995</v>
      </c>
      <c r="D1864">
        <v>82</v>
      </c>
      <c r="E1864">
        <v>164</v>
      </c>
      <c r="F1864">
        <v>4118</v>
      </c>
    </row>
    <row r="1865" spans="1:6" x14ac:dyDescent="0.35">
      <c r="A1865" t="s">
        <v>258</v>
      </c>
      <c r="B1865" t="s">
        <v>259</v>
      </c>
      <c r="C1865">
        <v>1996</v>
      </c>
      <c r="D1865">
        <v>67</v>
      </c>
      <c r="E1865">
        <v>134</v>
      </c>
      <c r="F1865">
        <v>4209</v>
      </c>
    </row>
    <row r="1866" spans="1:6" x14ac:dyDescent="0.35">
      <c r="A1866" t="s">
        <v>258</v>
      </c>
      <c r="B1866" t="s">
        <v>259</v>
      </c>
      <c r="C1866">
        <v>1997</v>
      </c>
      <c r="D1866">
        <v>83</v>
      </c>
      <c r="E1866">
        <v>166</v>
      </c>
      <c r="F1866">
        <v>3986</v>
      </c>
    </row>
    <row r="1867" spans="1:6" x14ac:dyDescent="0.35">
      <c r="A1867" t="s">
        <v>258</v>
      </c>
      <c r="B1867" t="s">
        <v>259</v>
      </c>
      <c r="C1867">
        <v>1998</v>
      </c>
      <c r="D1867">
        <v>75</v>
      </c>
      <c r="E1867">
        <v>150</v>
      </c>
      <c r="F1867">
        <v>4025</v>
      </c>
    </row>
    <row r="1868" spans="1:6" x14ac:dyDescent="0.35">
      <c r="A1868" t="s">
        <v>258</v>
      </c>
      <c r="B1868" t="s">
        <v>259</v>
      </c>
      <c r="C1868">
        <v>1999</v>
      </c>
      <c r="D1868">
        <v>81</v>
      </c>
      <c r="E1868">
        <v>162</v>
      </c>
      <c r="F1868">
        <v>3945</v>
      </c>
    </row>
    <row r="1869" spans="1:6" x14ac:dyDescent="0.35">
      <c r="A1869" t="s">
        <v>258</v>
      </c>
      <c r="B1869" t="s">
        <v>259</v>
      </c>
      <c r="C1869">
        <v>2000</v>
      </c>
      <c r="D1869">
        <v>73</v>
      </c>
      <c r="E1869">
        <v>146</v>
      </c>
      <c r="F1869">
        <v>4178</v>
      </c>
    </row>
    <row r="1870" spans="1:6" x14ac:dyDescent="0.35">
      <c r="A1870" t="s">
        <v>258</v>
      </c>
      <c r="B1870" t="s">
        <v>259</v>
      </c>
      <c r="C1870">
        <v>2001</v>
      </c>
      <c r="D1870">
        <v>68</v>
      </c>
      <c r="E1870">
        <v>136</v>
      </c>
      <c r="F1870">
        <v>3963</v>
      </c>
    </row>
    <row r="1871" spans="1:6" x14ac:dyDescent="0.35">
      <c r="A1871" t="s">
        <v>258</v>
      </c>
      <c r="B1871" t="s">
        <v>259</v>
      </c>
      <c r="C1871">
        <v>2002</v>
      </c>
      <c r="D1871">
        <v>81</v>
      </c>
      <c r="E1871">
        <v>162</v>
      </c>
      <c r="F1871">
        <v>3882</v>
      </c>
    </row>
    <row r="1872" spans="1:6" x14ac:dyDescent="0.35">
      <c r="A1872" t="s">
        <v>258</v>
      </c>
      <c r="B1872" t="s">
        <v>259</v>
      </c>
      <c r="C1872">
        <v>2003</v>
      </c>
      <c r="D1872">
        <v>74</v>
      </c>
      <c r="E1872">
        <v>148</v>
      </c>
      <c r="F1872">
        <v>3993</v>
      </c>
    </row>
    <row r="1873" spans="1:6" x14ac:dyDescent="0.35">
      <c r="A1873" t="s">
        <v>258</v>
      </c>
      <c r="B1873" t="s">
        <v>259</v>
      </c>
      <c r="C1873">
        <v>2004</v>
      </c>
      <c r="D1873">
        <v>76</v>
      </c>
      <c r="E1873">
        <v>152</v>
      </c>
      <c r="F1873">
        <v>4097</v>
      </c>
    </row>
    <row r="1874" spans="1:6" x14ac:dyDescent="0.35">
      <c r="A1874" t="s">
        <v>258</v>
      </c>
      <c r="B1874" t="s">
        <v>259</v>
      </c>
      <c r="C1874">
        <v>2005</v>
      </c>
      <c r="D1874">
        <v>66</v>
      </c>
      <c r="E1874">
        <v>132</v>
      </c>
      <c r="F1874">
        <v>4147</v>
      </c>
    </row>
    <row r="1875" spans="1:6" x14ac:dyDescent="0.35">
      <c r="A1875" t="s">
        <v>258</v>
      </c>
      <c r="B1875" t="s">
        <v>259</v>
      </c>
      <c r="C1875">
        <v>2006</v>
      </c>
      <c r="D1875">
        <v>92</v>
      </c>
      <c r="E1875">
        <v>184</v>
      </c>
      <c r="F1875">
        <v>4243</v>
      </c>
    </row>
    <row r="1876" spans="1:6" x14ac:dyDescent="0.35">
      <c r="A1876" t="s">
        <v>258</v>
      </c>
      <c r="B1876" t="s">
        <v>259</v>
      </c>
      <c r="C1876">
        <v>2007</v>
      </c>
      <c r="D1876">
        <v>77</v>
      </c>
      <c r="E1876">
        <v>154</v>
      </c>
      <c r="F1876">
        <v>4404</v>
      </c>
    </row>
    <row r="1877" spans="1:6" x14ac:dyDescent="0.35">
      <c r="A1877" t="s">
        <v>258</v>
      </c>
      <c r="B1877" t="s">
        <v>259</v>
      </c>
      <c r="C1877">
        <v>2008</v>
      </c>
      <c r="D1877">
        <v>78</v>
      </c>
      <c r="E1877">
        <v>156</v>
      </c>
      <c r="F1877">
        <v>4687</v>
      </c>
    </row>
    <row r="1878" spans="1:6" x14ac:dyDescent="0.35">
      <c r="A1878" t="s">
        <v>258</v>
      </c>
      <c r="B1878" t="s">
        <v>259</v>
      </c>
      <c r="C1878">
        <v>2009</v>
      </c>
      <c r="D1878">
        <v>73</v>
      </c>
      <c r="E1878">
        <v>146</v>
      </c>
      <c r="F1878">
        <v>4889</v>
      </c>
    </row>
    <row r="1879" spans="1:6" x14ac:dyDescent="0.35">
      <c r="A1879" t="s">
        <v>258</v>
      </c>
      <c r="B1879" t="s">
        <v>259</v>
      </c>
      <c r="C1879">
        <v>2010</v>
      </c>
      <c r="D1879">
        <v>67</v>
      </c>
      <c r="E1879">
        <v>134</v>
      </c>
      <c r="F1879">
        <v>4782</v>
      </c>
    </row>
    <row r="1880" spans="1:6" x14ac:dyDescent="0.35">
      <c r="A1880" t="s">
        <v>258</v>
      </c>
      <c r="B1880" t="s">
        <v>259</v>
      </c>
      <c r="C1880">
        <v>2011</v>
      </c>
      <c r="D1880">
        <v>59</v>
      </c>
      <c r="E1880">
        <v>118</v>
      </c>
      <c r="F1880">
        <v>4378</v>
      </c>
    </row>
    <row r="1881" spans="1:6" x14ac:dyDescent="0.35">
      <c r="A1881" t="s">
        <v>258</v>
      </c>
      <c r="B1881" t="s">
        <v>259</v>
      </c>
      <c r="C1881">
        <v>2012</v>
      </c>
      <c r="D1881">
        <v>67</v>
      </c>
      <c r="E1881">
        <v>134</v>
      </c>
      <c r="F1881">
        <v>4409</v>
      </c>
    </row>
    <row r="1882" spans="1:6" x14ac:dyDescent="0.35">
      <c r="A1882" t="s">
        <v>258</v>
      </c>
      <c r="B1882" t="s">
        <v>259</v>
      </c>
      <c r="C1882">
        <v>2013</v>
      </c>
      <c r="D1882">
        <v>64</v>
      </c>
      <c r="E1882">
        <v>128</v>
      </c>
      <c r="F1882">
        <v>4193</v>
      </c>
    </row>
    <row r="1883" spans="1:6" x14ac:dyDescent="0.35">
      <c r="A1883" t="s">
        <v>258</v>
      </c>
      <c r="B1883" t="s">
        <v>259</v>
      </c>
      <c r="C1883">
        <v>2014</v>
      </c>
      <c r="D1883">
        <v>70</v>
      </c>
      <c r="E1883">
        <v>140</v>
      </c>
      <c r="F1883">
        <v>4246</v>
      </c>
    </row>
    <row r="1884" spans="1:6" x14ac:dyDescent="0.35">
      <c r="A1884" t="s">
        <v>258</v>
      </c>
      <c r="B1884" t="s">
        <v>259</v>
      </c>
      <c r="C1884">
        <v>2015</v>
      </c>
      <c r="D1884">
        <v>71</v>
      </c>
      <c r="E1884">
        <v>142</v>
      </c>
      <c r="F1884">
        <v>3992</v>
      </c>
    </row>
    <row r="1885" spans="1:6" x14ac:dyDescent="0.35">
      <c r="A1885" t="s">
        <v>258</v>
      </c>
      <c r="B1885" t="s">
        <v>259</v>
      </c>
      <c r="C1885">
        <v>2016</v>
      </c>
      <c r="D1885">
        <v>67</v>
      </c>
      <c r="E1885">
        <v>134</v>
      </c>
      <c r="F1885">
        <v>3904</v>
      </c>
    </row>
    <row r="1886" spans="1:6" x14ac:dyDescent="0.35">
      <c r="A1886" t="s">
        <v>258</v>
      </c>
      <c r="B1886" t="s">
        <v>259</v>
      </c>
      <c r="C1886">
        <v>2017</v>
      </c>
      <c r="E1886">
        <v>107</v>
      </c>
      <c r="F1886">
        <v>3968</v>
      </c>
    </row>
    <row r="1887" spans="1:6" x14ac:dyDescent="0.35">
      <c r="A1887" t="s">
        <v>258</v>
      </c>
      <c r="B1887" t="s">
        <v>259</v>
      </c>
      <c r="C1887">
        <v>2018</v>
      </c>
      <c r="E1887">
        <v>110</v>
      </c>
      <c r="F1887">
        <v>4123</v>
      </c>
    </row>
    <row r="1888" spans="1:6" x14ac:dyDescent="0.35">
      <c r="A1888" t="s">
        <v>258</v>
      </c>
      <c r="B1888" t="s">
        <v>259</v>
      </c>
      <c r="C1888">
        <v>2019</v>
      </c>
      <c r="E1888">
        <v>134</v>
      </c>
      <c r="F1888">
        <v>4329</v>
      </c>
    </row>
    <row r="1889" spans="1:6" x14ac:dyDescent="0.35">
      <c r="A1889" t="s">
        <v>258</v>
      </c>
      <c r="B1889" t="s">
        <v>259</v>
      </c>
      <c r="C1889">
        <v>2020</v>
      </c>
      <c r="E1889">
        <v>106</v>
      </c>
      <c r="F1889">
        <v>4415</v>
      </c>
    </row>
    <row r="1890" spans="1:6" x14ac:dyDescent="0.35">
      <c r="A1890" t="s">
        <v>260</v>
      </c>
      <c r="B1890" t="s">
        <v>261</v>
      </c>
      <c r="C1890">
        <v>1868</v>
      </c>
      <c r="D1890">
        <v>10269</v>
      </c>
      <c r="F1890">
        <v>900858</v>
      </c>
    </row>
    <row r="1891" spans="1:6" x14ac:dyDescent="0.35">
      <c r="A1891" t="s">
        <v>260</v>
      </c>
      <c r="B1891" t="s">
        <v>261</v>
      </c>
      <c r="C1891">
        <v>1869</v>
      </c>
      <c r="D1891">
        <v>8513</v>
      </c>
      <c r="F1891">
        <v>958338</v>
      </c>
    </row>
    <row r="1892" spans="1:6" x14ac:dyDescent="0.35">
      <c r="A1892" t="s">
        <v>260</v>
      </c>
      <c r="B1892" t="s">
        <v>261</v>
      </c>
      <c r="C1892">
        <v>1870</v>
      </c>
      <c r="D1892">
        <v>10701</v>
      </c>
      <c r="F1892">
        <v>954353</v>
      </c>
    </row>
    <row r="1893" spans="1:6" x14ac:dyDescent="0.35">
      <c r="A1893" t="s">
        <v>260</v>
      </c>
      <c r="B1893" t="s">
        <v>261</v>
      </c>
      <c r="C1893">
        <v>1871</v>
      </c>
      <c r="D1893">
        <v>11553</v>
      </c>
      <c r="F1893">
        <v>962945</v>
      </c>
    </row>
    <row r="1894" spans="1:6" x14ac:dyDescent="0.35">
      <c r="A1894" t="s">
        <v>260</v>
      </c>
      <c r="B1894" t="s">
        <v>261</v>
      </c>
      <c r="C1894">
        <v>1872</v>
      </c>
      <c r="D1894">
        <v>12101</v>
      </c>
      <c r="F1894">
        <v>1025542</v>
      </c>
    </row>
    <row r="1895" spans="1:6" x14ac:dyDescent="0.35">
      <c r="A1895" t="s">
        <v>260</v>
      </c>
      <c r="B1895" t="s">
        <v>261</v>
      </c>
      <c r="C1895">
        <v>1873</v>
      </c>
      <c r="D1895">
        <v>11551</v>
      </c>
      <c r="F1895">
        <v>989944</v>
      </c>
    </row>
    <row r="1896" spans="1:6" x14ac:dyDescent="0.35">
      <c r="A1896" t="s">
        <v>260</v>
      </c>
      <c r="B1896" t="s">
        <v>261</v>
      </c>
      <c r="C1896">
        <v>1874</v>
      </c>
      <c r="D1896">
        <v>11500</v>
      </c>
      <c r="F1896">
        <v>955216</v>
      </c>
    </row>
    <row r="1897" spans="1:6" x14ac:dyDescent="0.35">
      <c r="A1897" t="s">
        <v>260</v>
      </c>
      <c r="B1897" t="s">
        <v>261</v>
      </c>
      <c r="C1897">
        <v>1875</v>
      </c>
      <c r="D1897">
        <v>13063</v>
      </c>
      <c r="F1897">
        <v>1038637</v>
      </c>
    </row>
    <row r="1898" spans="1:6" x14ac:dyDescent="0.35">
      <c r="A1898" t="s">
        <v>260</v>
      </c>
      <c r="B1898" t="s">
        <v>261</v>
      </c>
      <c r="C1898">
        <v>1876</v>
      </c>
      <c r="D1898">
        <v>13438</v>
      </c>
      <c r="F1898">
        <v>1089440</v>
      </c>
    </row>
    <row r="1899" spans="1:6" x14ac:dyDescent="0.35">
      <c r="A1899" t="s">
        <v>260</v>
      </c>
      <c r="B1899" t="s">
        <v>261</v>
      </c>
      <c r="C1899">
        <v>1877</v>
      </c>
      <c r="D1899">
        <v>12373</v>
      </c>
      <c r="F1899">
        <v>1035193</v>
      </c>
    </row>
    <row r="1900" spans="1:6" x14ac:dyDescent="0.35">
      <c r="A1900" t="s">
        <v>260</v>
      </c>
      <c r="B1900" t="s">
        <v>261</v>
      </c>
      <c r="C1900">
        <v>1878</v>
      </c>
      <c r="D1900">
        <v>12244</v>
      </c>
      <c r="F1900">
        <v>1018838</v>
      </c>
    </row>
    <row r="1901" spans="1:6" x14ac:dyDescent="0.35">
      <c r="A1901" t="s">
        <v>260</v>
      </c>
      <c r="B1901" t="s">
        <v>261</v>
      </c>
      <c r="C1901">
        <v>1879</v>
      </c>
      <c r="D1901">
        <v>13354</v>
      </c>
      <c r="F1901">
        <v>1070525</v>
      </c>
    </row>
    <row r="1902" spans="1:6" x14ac:dyDescent="0.35">
      <c r="A1902" t="s">
        <v>260</v>
      </c>
      <c r="B1902" t="s">
        <v>261</v>
      </c>
      <c r="C1902">
        <v>1880</v>
      </c>
      <c r="D1902">
        <v>11485</v>
      </c>
      <c r="F1902">
        <v>964917</v>
      </c>
    </row>
    <row r="1903" spans="1:6" x14ac:dyDescent="0.35">
      <c r="A1903" t="s">
        <v>260</v>
      </c>
      <c r="B1903" t="s">
        <v>261</v>
      </c>
      <c r="C1903">
        <v>1881</v>
      </c>
      <c r="D1903">
        <v>14244</v>
      </c>
      <c r="F1903">
        <v>1087353</v>
      </c>
    </row>
    <row r="1904" spans="1:6" x14ac:dyDescent="0.35">
      <c r="A1904" t="s">
        <v>260</v>
      </c>
      <c r="B1904" t="s">
        <v>261</v>
      </c>
      <c r="C1904">
        <v>1882</v>
      </c>
      <c r="D1904">
        <v>13264</v>
      </c>
      <c r="F1904">
        <v>1069455</v>
      </c>
    </row>
    <row r="1905" spans="1:6" x14ac:dyDescent="0.35">
      <c r="A1905" t="s">
        <v>260</v>
      </c>
      <c r="B1905" t="s">
        <v>261</v>
      </c>
      <c r="C1905">
        <v>1883</v>
      </c>
      <c r="D1905">
        <v>12886</v>
      </c>
      <c r="F1905">
        <v>1082468</v>
      </c>
    </row>
    <row r="1906" spans="1:6" x14ac:dyDescent="0.35">
      <c r="A1906" t="s">
        <v>260</v>
      </c>
      <c r="B1906" t="s">
        <v>261</v>
      </c>
      <c r="C1906">
        <v>1884</v>
      </c>
      <c r="D1906">
        <v>13647</v>
      </c>
      <c r="F1906">
        <v>1141121</v>
      </c>
    </row>
    <row r="1907" spans="1:6" x14ac:dyDescent="0.35">
      <c r="A1907" t="s">
        <v>260</v>
      </c>
      <c r="B1907" t="s">
        <v>261</v>
      </c>
      <c r="C1907">
        <v>1885</v>
      </c>
      <c r="D1907">
        <v>13223</v>
      </c>
      <c r="F1907">
        <v>1138357</v>
      </c>
    </row>
    <row r="1908" spans="1:6" x14ac:dyDescent="0.35">
      <c r="A1908" t="s">
        <v>260</v>
      </c>
      <c r="B1908" t="s">
        <v>261</v>
      </c>
      <c r="C1908">
        <v>1886</v>
      </c>
      <c r="D1908">
        <v>12766</v>
      </c>
      <c r="F1908">
        <v>1100087</v>
      </c>
    </row>
    <row r="1909" spans="1:6" x14ac:dyDescent="0.35">
      <c r="A1909" t="s">
        <v>260</v>
      </c>
      <c r="B1909" t="s">
        <v>261</v>
      </c>
      <c r="C1909">
        <v>1887</v>
      </c>
      <c r="D1909">
        <v>13765</v>
      </c>
      <c r="F1909">
        <v>1167340</v>
      </c>
    </row>
    <row r="1910" spans="1:6" x14ac:dyDescent="0.35">
      <c r="A1910" t="s">
        <v>260</v>
      </c>
      <c r="B1910" t="s">
        <v>261</v>
      </c>
      <c r="C1910">
        <v>1888</v>
      </c>
      <c r="D1910">
        <v>13066</v>
      </c>
      <c r="F1910">
        <v>1134951</v>
      </c>
    </row>
    <row r="1911" spans="1:6" x14ac:dyDescent="0.35">
      <c r="A1911" t="s">
        <v>260</v>
      </c>
      <c r="B1911" t="s">
        <v>261</v>
      </c>
      <c r="C1911">
        <v>1889</v>
      </c>
      <c r="D1911">
        <v>13384</v>
      </c>
      <c r="F1911">
        <v>1165891</v>
      </c>
    </row>
    <row r="1912" spans="1:6" x14ac:dyDescent="0.35">
      <c r="A1912" t="s">
        <v>260</v>
      </c>
      <c r="B1912" t="s">
        <v>261</v>
      </c>
      <c r="C1912">
        <v>1890</v>
      </c>
      <c r="D1912">
        <v>12817</v>
      </c>
      <c r="F1912">
        <v>1099076</v>
      </c>
    </row>
    <row r="1913" spans="1:6" x14ac:dyDescent="0.35">
      <c r="A1913" t="s">
        <v>260</v>
      </c>
      <c r="B1913" t="s">
        <v>261</v>
      </c>
      <c r="C1913">
        <v>1891</v>
      </c>
      <c r="D1913">
        <v>13754</v>
      </c>
      <c r="F1913">
        <v>1148495</v>
      </c>
    </row>
    <row r="1914" spans="1:6" x14ac:dyDescent="0.35">
      <c r="A1914" t="s">
        <v>260</v>
      </c>
      <c r="B1914" t="s">
        <v>261</v>
      </c>
      <c r="C1914">
        <v>1892</v>
      </c>
      <c r="D1914">
        <v>13073</v>
      </c>
      <c r="F1914">
        <v>1128729</v>
      </c>
    </row>
    <row r="1915" spans="1:6" x14ac:dyDescent="0.35">
      <c r="A1915" t="s">
        <v>260</v>
      </c>
      <c r="B1915" t="s">
        <v>261</v>
      </c>
      <c r="C1915">
        <v>1893</v>
      </c>
      <c r="D1915">
        <v>13699</v>
      </c>
      <c r="F1915">
        <v>1144704</v>
      </c>
    </row>
    <row r="1916" spans="1:6" x14ac:dyDescent="0.35">
      <c r="A1916" t="s">
        <v>260</v>
      </c>
      <c r="B1916" t="s">
        <v>261</v>
      </c>
      <c r="C1916">
        <v>1894</v>
      </c>
      <c r="D1916">
        <v>13417</v>
      </c>
      <c r="F1916">
        <v>1121887</v>
      </c>
    </row>
    <row r="1917" spans="1:6" x14ac:dyDescent="0.35">
      <c r="A1917" t="s">
        <v>260</v>
      </c>
      <c r="B1917" t="s">
        <v>261</v>
      </c>
      <c r="C1917">
        <v>1895</v>
      </c>
      <c r="D1917">
        <v>12590</v>
      </c>
      <c r="F1917">
        <v>1112403</v>
      </c>
    </row>
    <row r="1918" spans="1:6" x14ac:dyDescent="0.35">
      <c r="A1918" t="s">
        <v>260</v>
      </c>
      <c r="B1918" t="s">
        <v>261</v>
      </c>
      <c r="C1918">
        <v>1896</v>
      </c>
      <c r="D1918">
        <v>12761</v>
      </c>
      <c r="F1918">
        <v>1115858</v>
      </c>
    </row>
    <row r="1919" spans="1:6" x14ac:dyDescent="0.35">
      <c r="A1919" t="s">
        <v>260</v>
      </c>
      <c r="B1919" t="s">
        <v>261</v>
      </c>
      <c r="C1919">
        <v>1897</v>
      </c>
      <c r="D1919">
        <v>13124</v>
      </c>
      <c r="F1919">
        <v>1122206</v>
      </c>
    </row>
    <row r="1920" spans="1:6" x14ac:dyDescent="0.35">
      <c r="A1920" t="s">
        <v>260</v>
      </c>
      <c r="B1920" t="s">
        <v>261</v>
      </c>
      <c r="C1920">
        <v>1898</v>
      </c>
      <c r="D1920">
        <v>12412</v>
      </c>
      <c r="F1920">
        <v>1089771</v>
      </c>
    </row>
    <row r="1921" spans="1:6" x14ac:dyDescent="0.35">
      <c r="A1921" t="s">
        <v>260</v>
      </c>
      <c r="B1921" t="s">
        <v>261</v>
      </c>
      <c r="C1921">
        <v>1899</v>
      </c>
      <c r="D1921">
        <v>12992</v>
      </c>
      <c r="F1921">
        <v>1107898</v>
      </c>
    </row>
    <row r="1922" spans="1:6" x14ac:dyDescent="0.35">
      <c r="A1922" t="s">
        <v>260</v>
      </c>
      <c r="B1922" t="s">
        <v>261</v>
      </c>
      <c r="C1922">
        <v>1900</v>
      </c>
      <c r="D1922">
        <v>12701</v>
      </c>
      <c r="F1922">
        <v>1087205</v>
      </c>
    </row>
    <row r="1923" spans="1:6" x14ac:dyDescent="0.35">
      <c r="A1923" t="s">
        <v>260</v>
      </c>
      <c r="B1923" t="s">
        <v>261</v>
      </c>
      <c r="C1923">
        <v>1901</v>
      </c>
      <c r="D1923">
        <v>12750</v>
      </c>
      <c r="F1923">
        <v>1077977</v>
      </c>
    </row>
    <row r="1924" spans="1:6" x14ac:dyDescent="0.35">
      <c r="A1924" t="s">
        <v>260</v>
      </c>
      <c r="B1924" t="s">
        <v>261</v>
      </c>
      <c r="C1924">
        <v>1902</v>
      </c>
      <c r="D1924">
        <v>13459</v>
      </c>
      <c r="F1924">
        <v>1114248</v>
      </c>
    </row>
    <row r="1925" spans="1:6" x14ac:dyDescent="0.35">
      <c r="A1925" t="s">
        <v>260</v>
      </c>
      <c r="B1925" t="s">
        <v>261</v>
      </c>
      <c r="C1925">
        <v>1903</v>
      </c>
      <c r="D1925">
        <v>12595</v>
      </c>
      <c r="F1925">
        <v>1063081</v>
      </c>
    </row>
    <row r="1926" spans="1:6" x14ac:dyDescent="0.35">
      <c r="A1926" t="s">
        <v>260</v>
      </c>
      <c r="B1926" t="s">
        <v>261</v>
      </c>
      <c r="C1926">
        <v>1904</v>
      </c>
      <c r="D1926">
        <v>13376</v>
      </c>
      <c r="F1926">
        <v>1107320</v>
      </c>
    </row>
    <row r="1927" spans="1:6" x14ac:dyDescent="0.35">
      <c r="A1927" t="s">
        <v>260</v>
      </c>
      <c r="B1927" t="s">
        <v>261</v>
      </c>
      <c r="C1927">
        <v>1905</v>
      </c>
      <c r="D1927">
        <v>12976</v>
      </c>
      <c r="F1927">
        <v>0</v>
      </c>
    </row>
    <row r="1928" spans="1:6" x14ac:dyDescent="0.35">
      <c r="A1928" t="s">
        <v>260</v>
      </c>
      <c r="B1928" t="s">
        <v>261</v>
      </c>
      <c r="C1928">
        <v>1906</v>
      </c>
      <c r="D1928">
        <v>12938</v>
      </c>
      <c r="F1928">
        <v>1092814</v>
      </c>
    </row>
    <row r="1929" spans="1:6" x14ac:dyDescent="0.35">
      <c r="A1929" t="s">
        <v>260</v>
      </c>
      <c r="B1929" t="s">
        <v>261</v>
      </c>
      <c r="C1929">
        <v>1907</v>
      </c>
      <c r="D1929">
        <v>12794</v>
      </c>
      <c r="F1929">
        <v>1084260</v>
      </c>
    </row>
    <row r="1930" spans="1:6" x14ac:dyDescent="0.35">
      <c r="A1930" t="s">
        <v>260</v>
      </c>
      <c r="B1930" t="s">
        <v>261</v>
      </c>
      <c r="C1930">
        <v>1908</v>
      </c>
      <c r="D1930">
        <v>13722</v>
      </c>
      <c r="F1930">
        <v>1162302</v>
      </c>
    </row>
    <row r="1931" spans="1:6" x14ac:dyDescent="0.35">
      <c r="A1931" t="s">
        <v>260</v>
      </c>
      <c r="B1931" t="s">
        <v>261</v>
      </c>
      <c r="C1931">
        <v>1909</v>
      </c>
      <c r="D1931">
        <v>13072</v>
      </c>
      <c r="F1931">
        <v>1139506</v>
      </c>
    </row>
    <row r="1932" spans="1:6" x14ac:dyDescent="0.35">
      <c r="A1932" t="s">
        <v>260</v>
      </c>
      <c r="B1932" t="s">
        <v>261</v>
      </c>
      <c r="C1932">
        <v>1910</v>
      </c>
      <c r="D1932">
        <v>13368</v>
      </c>
      <c r="F1932">
        <v>1167505</v>
      </c>
    </row>
    <row r="1933" spans="1:6" x14ac:dyDescent="0.35">
      <c r="A1933" t="s">
        <v>260</v>
      </c>
      <c r="B1933" t="s">
        <v>261</v>
      </c>
      <c r="C1933">
        <v>1911</v>
      </c>
      <c r="D1933">
        <v>12669</v>
      </c>
      <c r="F1933">
        <v>1115233</v>
      </c>
    </row>
    <row r="1934" spans="1:6" x14ac:dyDescent="0.35">
      <c r="A1934" t="s">
        <v>260</v>
      </c>
      <c r="B1934" t="s">
        <v>261</v>
      </c>
      <c r="C1934">
        <v>1912</v>
      </c>
      <c r="D1934">
        <v>13438</v>
      </c>
      <c r="F1934">
        <v>1154230</v>
      </c>
    </row>
    <row r="1935" spans="1:6" x14ac:dyDescent="0.35">
      <c r="A1935" t="s">
        <v>260</v>
      </c>
      <c r="B1935" t="s">
        <v>261</v>
      </c>
      <c r="C1935">
        <v>1913</v>
      </c>
      <c r="D1935">
        <v>13131</v>
      </c>
      <c r="F1935">
        <v>1142621</v>
      </c>
    </row>
    <row r="1936" spans="1:6" x14ac:dyDescent="0.35">
      <c r="A1936" t="s">
        <v>260</v>
      </c>
      <c r="B1936" t="s">
        <v>261</v>
      </c>
      <c r="C1936">
        <v>1914</v>
      </c>
      <c r="D1936">
        <v>13149</v>
      </c>
      <c r="F1936">
        <v>1134931</v>
      </c>
    </row>
    <row r="1937" spans="1:6" x14ac:dyDescent="0.35">
      <c r="A1937" t="s">
        <v>260</v>
      </c>
      <c r="B1937" t="s">
        <v>261</v>
      </c>
      <c r="C1937">
        <v>1915</v>
      </c>
      <c r="D1937">
        <v>12850</v>
      </c>
      <c r="F1937">
        <v>1130263</v>
      </c>
    </row>
    <row r="1938" spans="1:6" x14ac:dyDescent="0.35">
      <c r="A1938" t="s">
        <v>260</v>
      </c>
      <c r="B1938" t="s">
        <v>261</v>
      </c>
      <c r="C1938">
        <v>1916</v>
      </c>
      <c r="D1938">
        <v>9712</v>
      </c>
      <c r="F1938">
        <v>899104</v>
      </c>
    </row>
    <row r="1939" spans="1:6" x14ac:dyDescent="0.35">
      <c r="A1939" t="s">
        <v>260</v>
      </c>
      <c r="B1939" t="s">
        <v>261</v>
      </c>
      <c r="C1939">
        <v>1917</v>
      </c>
      <c r="D1939">
        <v>7867</v>
      </c>
      <c r="F1939">
        <v>705007</v>
      </c>
    </row>
    <row r="1940" spans="1:6" x14ac:dyDescent="0.35">
      <c r="A1940" t="s">
        <v>260</v>
      </c>
      <c r="B1940" t="s">
        <v>261</v>
      </c>
      <c r="C1940">
        <v>1918</v>
      </c>
      <c r="D1940">
        <v>7682</v>
      </c>
      <c r="F1940">
        <v>656981</v>
      </c>
    </row>
    <row r="1941" spans="1:6" x14ac:dyDescent="0.35">
      <c r="A1941" t="s">
        <v>260</v>
      </c>
      <c r="B1941" t="s">
        <v>261</v>
      </c>
      <c r="C1941">
        <v>1919</v>
      </c>
      <c r="D1941">
        <v>10875</v>
      </c>
      <c r="F1941">
        <v>784870</v>
      </c>
    </row>
    <row r="1942" spans="1:6" x14ac:dyDescent="0.35">
      <c r="A1942" t="s">
        <v>260</v>
      </c>
      <c r="B1942" t="s">
        <v>261</v>
      </c>
      <c r="C1942">
        <v>1920</v>
      </c>
      <c r="D1942">
        <v>14685</v>
      </c>
      <c r="F1942">
        <v>1180619</v>
      </c>
    </row>
    <row r="1943" spans="1:6" x14ac:dyDescent="0.35">
      <c r="A1943" t="s">
        <v>260</v>
      </c>
      <c r="B1943" t="s">
        <v>261</v>
      </c>
      <c r="C1943">
        <v>1921</v>
      </c>
      <c r="D1943">
        <v>13127</v>
      </c>
      <c r="F1943">
        <v>1145402</v>
      </c>
    </row>
    <row r="1944" spans="1:6" x14ac:dyDescent="0.35">
      <c r="A1944" t="s">
        <v>260</v>
      </c>
      <c r="B1944" t="s">
        <v>261</v>
      </c>
      <c r="C1944">
        <v>1922</v>
      </c>
      <c r="D1944">
        <v>13290</v>
      </c>
      <c r="F1944">
        <v>1153355</v>
      </c>
    </row>
    <row r="1945" spans="1:6" x14ac:dyDescent="0.35">
      <c r="A1945" t="s">
        <v>260</v>
      </c>
      <c r="B1945" t="s">
        <v>261</v>
      </c>
      <c r="C1945">
        <v>1923</v>
      </c>
      <c r="D1945">
        <v>12949</v>
      </c>
      <c r="F1945">
        <v>1131866</v>
      </c>
    </row>
    <row r="1946" spans="1:6" x14ac:dyDescent="0.35">
      <c r="A1946" t="s">
        <v>260</v>
      </c>
      <c r="B1946" t="s">
        <v>261</v>
      </c>
      <c r="C1946">
        <v>1924</v>
      </c>
      <c r="D1946">
        <v>13556</v>
      </c>
      <c r="F1946">
        <v>1145743</v>
      </c>
    </row>
    <row r="1947" spans="1:6" x14ac:dyDescent="0.35">
      <c r="A1947" t="s">
        <v>260</v>
      </c>
      <c r="B1947" t="s">
        <v>261</v>
      </c>
      <c r="C1947">
        <v>1925</v>
      </c>
      <c r="D1947">
        <v>13354</v>
      </c>
      <c r="F1947">
        <v>1130748</v>
      </c>
    </row>
    <row r="1948" spans="1:6" x14ac:dyDescent="0.35">
      <c r="A1948" t="s">
        <v>260</v>
      </c>
      <c r="B1948" t="s">
        <v>261</v>
      </c>
      <c r="C1948">
        <v>1926</v>
      </c>
      <c r="D1948">
        <v>12783</v>
      </c>
      <c r="F1948">
        <v>1112517</v>
      </c>
    </row>
    <row r="1949" spans="1:6" x14ac:dyDescent="0.35">
      <c r="A1949" t="s">
        <v>260</v>
      </c>
      <c r="B1949" t="s">
        <v>261</v>
      </c>
      <c r="C1949">
        <v>1927</v>
      </c>
      <c r="D1949">
        <v>13496</v>
      </c>
      <c r="F1949">
        <v>1108165</v>
      </c>
    </row>
    <row r="1950" spans="1:6" x14ac:dyDescent="0.35">
      <c r="A1950" t="s">
        <v>260</v>
      </c>
      <c r="B1950" t="s">
        <v>261</v>
      </c>
      <c r="C1950">
        <v>1928</v>
      </c>
      <c r="D1950">
        <v>12669</v>
      </c>
      <c r="F1950">
        <v>1086171</v>
      </c>
    </row>
    <row r="1951" spans="1:6" x14ac:dyDescent="0.35">
      <c r="A1951" t="s">
        <v>260</v>
      </c>
      <c r="B1951" t="s">
        <v>261</v>
      </c>
      <c r="C1951">
        <v>1929</v>
      </c>
      <c r="D1951">
        <v>12918</v>
      </c>
      <c r="F1951">
        <v>1049611</v>
      </c>
    </row>
    <row r="1952" spans="1:6" x14ac:dyDescent="0.35">
      <c r="A1952" t="s">
        <v>260</v>
      </c>
      <c r="B1952" t="s">
        <v>261</v>
      </c>
      <c r="C1952">
        <v>1930</v>
      </c>
      <c r="D1952">
        <v>15305</v>
      </c>
      <c r="F1952">
        <v>1101430</v>
      </c>
    </row>
    <row r="1953" spans="1:6" x14ac:dyDescent="0.35">
      <c r="A1953" t="s">
        <v>260</v>
      </c>
      <c r="B1953" t="s">
        <v>261</v>
      </c>
      <c r="C1953">
        <v>1931</v>
      </c>
      <c r="D1953">
        <v>13999</v>
      </c>
      <c r="F1953">
        <v>1034125</v>
      </c>
    </row>
    <row r="1954" spans="1:6" x14ac:dyDescent="0.35">
      <c r="A1954" t="s">
        <v>260</v>
      </c>
      <c r="B1954" t="s">
        <v>261</v>
      </c>
      <c r="C1954">
        <v>1932</v>
      </c>
      <c r="D1954">
        <v>13408</v>
      </c>
      <c r="F1954">
        <v>998574</v>
      </c>
    </row>
    <row r="1955" spans="1:6" x14ac:dyDescent="0.35">
      <c r="A1955" t="s">
        <v>260</v>
      </c>
      <c r="B1955" t="s">
        <v>261</v>
      </c>
      <c r="C1955">
        <v>1933</v>
      </c>
      <c r="D1955">
        <v>13991</v>
      </c>
      <c r="F1955">
        <v>1002820</v>
      </c>
    </row>
    <row r="1956" spans="1:6" x14ac:dyDescent="0.35">
      <c r="A1956" t="s">
        <v>260</v>
      </c>
      <c r="B1956" t="s">
        <v>261</v>
      </c>
      <c r="C1956">
        <v>1934</v>
      </c>
      <c r="D1956">
        <v>13345</v>
      </c>
      <c r="F1956">
        <v>1000113</v>
      </c>
    </row>
    <row r="1957" spans="1:6" x14ac:dyDescent="0.35">
      <c r="A1957" t="s">
        <v>260</v>
      </c>
      <c r="B1957" t="s">
        <v>261</v>
      </c>
      <c r="C1957">
        <v>1935</v>
      </c>
      <c r="D1957">
        <v>13700</v>
      </c>
      <c r="F1957">
        <v>1002679</v>
      </c>
    </row>
    <row r="1958" spans="1:6" x14ac:dyDescent="0.35">
      <c r="A1958" t="s">
        <v>260</v>
      </c>
      <c r="B1958" t="s">
        <v>261</v>
      </c>
      <c r="C1958">
        <v>1936</v>
      </c>
      <c r="D1958">
        <v>13145</v>
      </c>
      <c r="F1958">
        <v>968149</v>
      </c>
    </row>
    <row r="1959" spans="1:6" x14ac:dyDescent="0.35">
      <c r="A1959" t="s">
        <v>260</v>
      </c>
      <c r="B1959" t="s">
        <v>261</v>
      </c>
      <c r="C1959">
        <v>1937</v>
      </c>
      <c r="D1959">
        <v>13571</v>
      </c>
      <c r="F1959">
        <v>996840</v>
      </c>
    </row>
    <row r="1960" spans="1:6" x14ac:dyDescent="0.35">
      <c r="A1960" t="s">
        <v>260</v>
      </c>
      <c r="B1960" t="s">
        <v>261</v>
      </c>
      <c r="C1960">
        <v>1938</v>
      </c>
      <c r="D1960">
        <v>14040</v>
      </c>
      <c r="F1960">
        <v>1042845</v>
      </c>
    </row>
    <row r="1961" spans="1:6" x14ac:dyDescent="0.35">
      <c r="A1961" t="s">
        <v>260</v>
      </c>
      <c r="B1961" t="s">
        <v>261</v>
      </c>
      <c r="C1961">
        <v>1939</v>
      </c>
      <c r="D1961">
        <v>14591</v>
      </c>
      <c r="F1961">
        <v>1044144</v>
      </c>
    </row>
    <row r="1962" spans="1:6" x14ac:dyDescent="0.35">
      <c r="A1962" t="s">
        <v>260</v>
      </c>
      <c r="B1962" t="s">
        <v>261</v>
      </c>
      <c r="C1962">
        <v>1940</v>
      </c>
      <c r="D1962">
        <v>14032</v>
      </c>
      <c r="F1962">
        <v>1050187</v>
      </c>
    </row>
    <row r="1963" spans="1:6" x14ac:dyDescent="0.35">
      <c r="A1963" t="s">
        <v>260</v>
      </c>
      <c r="B1963" t="s">
        <v>261</v>
      </c>
      <c r="C1963">
        <v>1941</v>
      </c>
      <c r="D1963">
        <v>12686</v>
      </c>
      <c r="F1963">
        <v>939517</v>
      </c>
    </row>
    <row r="1964" spans="1:6" x14ac:dyDescent="0.35">
      <c r="A1964" t="s">
        <v>260</v>
      </c>
      <c r="B1964" t="s">
        <v>261</v>
      </c>
      <c r="C1964">
        <v>1942</v>
      </c>
      <c r="D1964">
        <v>12847</v>
      </c>
      <c r="F1964">
        <v>926717</v>
      </c>
    </row>
    <row r="1965" spans="1:6" x14ac:dyDescent="0.35">
      <c r="A1965" t="s">
        <v>260</v>
      </c>
      <c r="B1965" t="s">
        <v>261</v>
      </c>
      <c r="C1965">
        <v>1943</v>
      </c>
      <c r="D1965">
        <v>12290</v>
      </c>
      <c r="F1965">
        <v>882916</v>
      </c>
    </row>
    <row r="1966" spans="1:6" x14ac:dyDescent="0.35">
      <c r="A1966" t="s">
        <v>260</v>
      </c>
      <c r="B1966" t="s">
        <v>261</v>
      </c>
      <c r="C1966">
        <v>1944</v>
      </c>
      <c r="D1966">
        <v>10492</v>
      </c>
      <c r="F1966">
        <v>816275</v>
      </c>
    </row>
    <row r="1967" spans="1:6" x14ac:dyDescent="0.35">
      <c r="A1967" t="s">
        <v>260</v>
      </c>
      <c r="B1967" t="s">
        <v>261</v>
      </c>
      <c r="C1967">
        <v>1945</v>
      </c>
      <c r="D1967">
        <v>10736</v>
      </c>
      <c r="F1967">
        <v>819714</v>
      </c>
    </row>
    <row r="1968" spans="1:6" x14ac:dyDescent="0.35">
      <c r="A1968" t="s">
        <v>260</v>
      </c>
      <c r="B1968" t="s">
        <v>261</v>
      </c>
      <c r="C1968">
        <v>1946</v>
      </c>
      <c r="D1968">
        <v>13975</v>
      </c>
      <c r="F1968">
        <v>1039273</v>
      </c>
    </row>
    <row r="1969" spans="1:6" x14ac:dyDescent="0.35">
      <c r="A1969" t="s">
        <v>260</v>
      </c>
      <c r="B1969" t="s">
        <v>261</v>
      </c>
      <c r="C1969">
        <v>1947</v>
      </c>
      <c r="D1969">
        <v>13266</v>
      </c>
      <c r="F1969">
        <v>1017142</v>
      </c>
    </row>
    <row r="1970" spans="1:6" x14ac:dyDescent="0.35">
      <c r="A1970" t="s">
        <v>260</v>
      </c>
      <c r="B1970" t="s">
        <v>261</v>
      </c>
      <c r="C1970">
        <v>1948</v>
      </c>
      <c r="D1970">
        <v>13089</v>
      </c>
      <c r="F1970">
        <v>1013278</v>
      </c>
    </row>
    <row r="1971" spans="1:6" x14ac:dyDescent="0.35">
      <c r="A1971" t="s">
        <v>260</v>
      </c>
      <c r="B1971" t="s">
        <v>261</v>
      </c>
      <c r="C1971">
        <v>1949</v>
      </c>
      <c r="D1971">
        <v>11754</v>
      </c>
      <c r="F1971">
        <v>944018</v>
      </c>
    </row>
    <row r="1972" spans="1:6" x14ac:dyDescent="0.35">
      <c r="A1972" t="s">
        <v>260</v>
      </c>
      <c r="B1972" t="s">
        <v>261</v>
      </c>
      <c r="C1972">
        <v>1950</v>
      </c>
      <c r="D1972">
        <v>11651</v>
      </c>
      <c r="F1972">
        <v>915132</v>
      </c>
    </row>
    <row r="1973" spans="1:6" x14ac:dyDescent="0.35">
      <c r="A1973" t="s">
        <v>260</v>
      </c>
      <c r="B1973" t="s">
        <v>261</v>
      </c>
      <c r="C1973">
        <v>1951</v>
      </c>
      <c r="D1973">
        <v>10794</v>
      </c>
      <c r="F1973">
        <v>866501</v>
      </c>
    </row>
    <row r="1974" spans="1:6" x14ac:dyDescent="0.35">
      <c r="A1974" t="s">
        <v>260</v>
      </c>
      <c r="B1974" t="s">
        <v>261</v>
      </c>
      <c r="C1974">
        <v>1952</v>
      </c>
      <c r="D1974">
        <v>10974</v>
      </c>
      <c r="F1974">
        <v>848969</v>
      </c>
    </row>
    <row r="1975" spans="1:6" x14ac:dyDescent="0.35">
      <c r="A1975" t="s">
        <v>260</v>
      </c>
      <c r="B1975" t="s">
        <v>261</v>
      </c>
      <c r="C1975">
        <v>1953</v>
      </c>
      <c r="D1975">
        <v>10862</v>
      </c>
      <c r="F1975">
        <v>842982</v>
      </c>
    </row>
    <row r="1976" spans="1:6" x14ac:dyDescent="0.35">
      <c r="A1976" t="s">
        <v>260</v>
      </c>
      <c r="B1976" t="s">
        <v>261</v>
      </c>
      <c r="C1976">
        <v>1954</v>
      </c>
      <c r="D1976">
        <v>11108</v>
      </c>
      <c r="F1976">
        <v>874473</v>
      </c>
    </row>
    <row r="1977" spans="1:6" x14ac:dyDescent="0.35">
      <c r="A1977" t="s">
        <v>260</v>
      </c>
      <c r="B1977" t="s">
        <v>261</v>
      </c>
      <c r="C1977">
        <v>1955</v>
      </c>
      <c r="D1977">
        <v>11032</v>
      </c>
      <c r="F1977">
        <v>872270</v>
      </c>
    </row>
    <row r="1978" spans="1:6" x14ac:dyDescent="0.35">
      <c r="A1978" t="s">
        <v>260</v>
      </c>
      <c r="B1978" t="s">
        <v>261</v>
      </c>
      <c r="C1978">
        <v>1956</v>
      </c>
      <c r="D1978">
        <v>11040</v>
      </c>
      <c r="F1978">
        <v>875631</v>
      </c>
    </row>
    <row r="1979" spans="1:6" x14ac:dyDescent="0.35">
      <c r="A1979" t="s">
        <v>260</v>
      </c>
      <c r="B1979" t="s">
        <v>261</v>
      </c>
      <c r="C1979">
        <v>1957</v>
      </c>
      <c r="D1979">
        <v>11289</v>
      </c>
      <c r="F1979">
        <v>880557</v>
      </c>
    </row>
    <row r="1980" spans="1:6" x14ac:dyDescent="0.35">
      <c r="A1980" t="s">
        <v>260</v>
      </c>
      <c r="B1980" t="s">
        <v>261</v>
      </c>
      <c r="C1980">
        <v>1958</v>
      </c>
      <c r="D1980">
        <v>11192</v>
      </c>
      <c r="F1980">
        <v>870953</v>
      </c>
    </row>
    <row r="1981" spans="1:6" x14ac:dyDescent="0.35">
      <c r="A1981" t="s">
        <v>260</v>
      </c>
      <c r="B1981" t="s">
        <v>261</v>
      </c>
      <c r="C1981">
        <v>1959</v>
      </c>
      <c r="D1981">
        <v>11105</v>
      </c>
      <c r="F1981">
        <v>901743</v>
      </c>
    </row>
    <row r="1982" spans="1:6" x14ac:dyDescent="0.35">
      <c r="A1982" t="s">
        <v>260</v>
      </c>
      <c r="B1982" t="s">
        <v>261</v>
      </c>
      <c r="C1982">
        <v>1960</v>
      </c>
      <c r="D1982">
        <v>10889</v>
      </c>
      <c r="F1982">
        <v>910914</v>
      </c>
    </row>
    <row r="1983" spans="1:6" x14ac:dyDescent="0.35">
      <c r="A1983" t="s">
        <v>260</v>
      </c>
      <c r="B1983" t="s">
        <v>261</v>
      </c>
      <c r="C1983">
        <v>1961</v>
      </c>
      <c r="D1983">
        <v>10992</v>
      </c>
      <c r="F1983">
        <v>929511</v>
      </c>
    </row>
    <row r="1984" spans="1:6" x14ac:dyDescent="0.35">
      <c r="A1984" t="s">
        <v>260</v>
      </c>
      <c r="B1984" t="s">
        <v>261</v>
      </c>
      <c r="C1984">
        <v>1962</v>
      </c>
      <c r="D1984">
        <v>11081</v>
      </c>
      <c r="F1984">
        <v>936630</v>
      </c>
    </row>
    <row r="1985" spans="1:6" x14ac:dyDescent="0.35">
      <c r="A1985" t="s">
        <v>260</v>
      </c>
      <c r="B1985" t="s">
        <v>261</v>
      </c>
      <c r="C1985">
        <v>1963</v>
      </c>
      <c r="D1985">
        <v>11184</v>
      </c>
      <c r="F1985">
        <v>959077</v>
      </c>
    </row>
    <row r="1986" spans="1:6" x14ac:dyDescent="0.35">
      <c r="A1986" t="s">
        <v>260</v>
      </c>
      <c r="B1986" t="s">
        <v>261</v>
      </c>
      <c r="C1986">
        <v>1964</v>
      </c>
      <c r="D1986">
        <v>11772</v>
      </c>
      <c r="F1986">
        <v>1013718</v>
      </c>
    </row>
    <row r="1987" spans="1:6" x14ac:dyDescent="0.35">
      <c r="A1987" t="s">
        <v>260</v>
      </c>
      <c r="B1987" t="s">
        <v>261</v>
      </c>
      <c r="C1987">
        <v>1965</v>
      </c>
      <c r="D1987">
        <v>11121</v>
      </c>
      <c r="F1987">
        <v>987916</v>
      </c>
    </row>
    <row r="1988" spans="1:6" x14ac:dyDescent="0.35">
      <c r="A1988" t="s">
        <v>260</v>
      </c>
      <c r="B1988" t="s">
        <v>261</v>
      </c>
      <c r="C1988">
        <v>1966</v>
      </c>
      <c r="D1988">
        <v>10880</v>
      </c>
      <c r="F1988">
        <v>977156</v>
      </c>
    </row>
    <row r="1989" spans="1:6" x14ac:dyDescent="0.35">
      <c r="A1989" t="s">
        <v>260</v>
      </c>
      <c r="B1989" t="s">
        <v>261</v>
      </c>
      <c r="C1989">
        <v>1967</v>
      </c>
      <c r="D1989">
        <v>10418</v>
      </c>
      <c r="F1989">
        <v>944972</v>
      </c>
    </row>
    <row r="1990" spans="1:6" x14ac:dyDescent="0.35">
      <c r="A1990" t="s">
        <v>260</v>
      </c>
      <c r="B1990" t="s">
        <v>261</v>
      </c>
      <c r="C1990">
        <v>1968</v>
      </c>
      <c r="D1990">
        <v>9930</v>
      </c>
      <c r="F1990">
        <v>926265</v>
      </c>
    </row>
    <row r="1991" spans="1:6" x14ac:dyDescent="0.35">
      <c r="A1991" t="s">
        <v>260</v>
      </c>
      <c r="B1991" t="s">
        <v>261</v>
      </c>
      <c r="C1991">
        <v>1969</v>
      </c>
      <c r="D1991">
        <v>10051</v>
      </c>
      <c r="F1991">
        <v>927127</v>
      </c>
    </row>
    <row r="1992" spans="1:6" x14ac:dyDescent="0.35">
      <c r="A1992" t="s">
        <v>260</v>
      </c>
      <c r="B1992" t="s">
        <v>261</v>
      </c>
      <c r="C1992">
        <v>1970</v>
      </c>
      <c r="D1992">
        <v>9166</v>
      </c>
      <c r="F1992">
        <v>896945</v>
      </c>
    </row>
    <row r="1993" spans="1:6" x14ac:dyDescent="0.35">
      <c r="A1993" t="s">
        <v>260</v>
      </c>
      <c r="B1993" t="s">
        <v>261</v>
      </c>
      <c r="C1993">
        <v>1971</v>
      </c>
      <c r="D1993">
        <v>9217</v>
      </c>
      <c r="F1993">
        <v>900905</v>
      </c>
    </row>
    <row r="1994" spans="1:6" x14ac:dyDescent="0.35">
      <c r="A1994" t="s">
        <v>260</v>
      </c>
      <c r="B1994" t="s">
        <v>261</v>
      </c>
      <c r="C1994">
        <v>1972</v>
      </c>
      <c r="D1994">
        <v>8037</v>
      </c>
      <c r="F1994">
        <v>884330</v>
      </c>
    </row>
    <row r="1995" spans="1:6" x14ac:dyDescent="0.35">
      <c r="A1995" t="s">
        <v>260</v>
      </c>
      <c r="B1995" t="s">
        <v>261</v>
      </c>
      <c r="C1995">
        <v>1973</v>
      </c>
      <c r="D1995">
        <v>8423</v>
      </c>
      <c r="F1995">
        <v>869120</v>
      </c>
    </row>
    <row r="1996" spans="1:6" x14ac:dyDescent="0.35">
      <c r="A1996" t="s">
        <v>260</v>
      </c>
      <c r="B1996" t="s">
        <v>261</v>
      </c>
      <c r="C1996">
        <v>1974</v>
      </c>
      <c r="D1996">
        <v>8205</v>
      </c>
      <c r="F1996">
        <v>862918</v>
      </c>
    </row>
    <row r="1997" spans="1:6" x14ac:dyDescent="0.35">
      <c r="A1997" t="s">
        <v>260</v>
      </c>
      <c r="B1997" t="s">
        <v>261</v>
      </c>
      <c r="C1997">
        <v>1975</v>
      </c>
      <c r="D1997">
        <v>7982</v>
      </c>
      <c r="F1997">
        <v>820970</v>
      </c>
    </row>
    <row r="1998" spans="1:6" x14ac:dyDescent="0.35">
      <c r="A1998" t="s">
        <v>260</v>
      </c>
      <c r="B1998" t="s">
        <v>261</v>
      </c>
      <c r="C1998">
        <v>1976</v>
      </c>
      <c r="D1998">
        <v>7328</v>
      </c>
      <c r="F1998">
        <v>775106</v>
      </c>
    </row>
    <row r="1999" spans="1:6" x14ac:dyDescent="0.35">
      <c r="A1999" t="s">
        <v>260</v>
      </c>
      <c r="B1999" t="s">
        <v>261</v>
      </c>
      <c r="C1999">
        <v>1977</v>
      </c>
      <c r="D1999">
        <v>6806</v>
      </c>
      <c r="F1999">
        <v>734483</v>
      </c>
    </row>
    <row r="2000" spans="1:6" x14ac:dyDescent="0.35">
      <c r="A2000" t="s">
        <v>260</v>
      </c>
      <c r="B2000" t="s">
        <v>261</v>
      </c>
      <c r="C2000">
        <v>1978</v>
      </c>
      <c r="D2000">
        <v>6447</v>
      </c>
      <c r="F2000">
        <v>702404</v>
      </c>
    </row>
    <row r="2001" spans="1:6" x14ac:dyDescent="0.35">
      <c r="A2001" t="s">
        <v>260</v>
      </c>
      <c r="B2001" t="s">
        <v>261</v>
      </c>
      <c r="C2001">
        <v>1979</v>
      </c>
      <c r="D2001">
        <v>5823</v>
      </c>
      <c r="F2001">
        <v>664190</v>
      </c>
    </row>
    <row r="2002" spans="1:6" x14ac:dyDescent="0.35">
      <c r="A2002" t="s">
        <v>260</v>
      </c>
      <c r="B2002" t="s">
        <v>261</v>
      </c>
      <c r="C2002">
        <v>1980</v>
      </c>
      <c r="D2002">
        <v>5797</v>
      </c>
      <c r="F2002">
        <v>633966</v>
      </c>
    </row>
    <row r="2003" spans="1:6" x14ac:dyDescent="0.35">
      <c r="A2003" t="s">
        <v>260</v>
      </c>
      <c r="B2003" t="s">
        <v>261</v>
      </c>
      <c r="C2003">
        <v>1981</v>
      </c>
      <c r="D2003">
        <v>5777</v>
      </c>
      <c r="F2003">
        <v>616080</v>
      </c>
    </row>
    <row r="2004" spans="1:6" x14ac:dyDescent="0.35">
      <c r="A2004" t="s">
        <v>260</v>
      </c>
      <c r="B2004" t="s">
        <v>261</v>
      </c>
      <c r="C2004">
        <v>1982</v>
      </c>
      <c r="D2004">
        <v>5670</v>
      </c>
      <c r="F2004">
        <v>612274</v>
      </c>
    </row>
    <row r="2005" spans="1:6" x14ac:dyDescent="0.35">
      <c r="A2005" t="s">
        <v>260</v>
      </c>
      <c r="B2005" t="s">
        <v>261</v>
      </c>
      <c r="C2005">
        <v>1983</v>
      </c>
      <c r="D2005">
        <v>5657</v>
      </c>
      <c r="F2005">
        <v>594726</v>
      </c>
    </row>
    <row r="2006" spans="1:6" x14ac:dyDescent="0.35">
      <c r="A2006" t="s">
        <v>260</v>
      </c>
      <c r="B2006" t="s">
        <v>261</v>
      </c>
      <c r="C2006">
        <v>1984</v>
      </c>
      <c r="D2006">
        <v>5451</v>
      </c>
      <c r="F2006">
        <v>580885</v>
      </c>
    </row>
    <row r="2007" spans="1:6" x14ac:dyDescent="0.35">
      <c r="A2007" t="s">
        <v>260</v>
      </c>
      <c r="B2007" t="s">
        <v>261</v>
      </c>
      <c r="C2007">
        <v>1985</v>
      </c>
      <c r="D2007">
        <v>5300</v>
      </c>
      <c r="F2007">
        <v>570352</v>
      </c>
    </row>
    <row r="2008" spans="1:6" x14ac:dyDescent="0.35">
      <c r="A2008" t="s">
        <v>260</v>
      </c>
      <c r="B2008" t="s">
        <v>261</v>
      </c>
      <c r="C2008">
        <v>1986</v>
      </c>
      <c r="D2008">
        <v>5243</v>
      </c>
      <c r="F2008">
        <v>548227</v>
      </c>
    </row>
    <row r="2009" spans="1:6" x14ac:dyDescent="0.35">
      <c r="A2009" t="s">
        <v>260</v>
      </c>
      <c r="B2009" t="s">
        <v>261</v>
      </c>
      <c r="C2009">
        <v>1987</v>
      </c>
      <c r="D2009">
        <v>5246</v>
      </c>
      <c r="F2009">
        <v>544196</v>
      </c>
    </row>
    <row r="2010" spans="1:6" x14ac:dyDescent="0.35">
      <c r="A2010" t="s">
        <v>260</v>
      </c>
      <c r="B2010" t="s">
        <v>261</v>
      </c>
      <c r="C2010">
        <v>1988</v>
      </c>
      <c r="D2010">
        <v>5601</v>
      </c>
      <c r="F2010">
        <v>561565</v>
      </c>
    </row>
    <row r="2011" spans="1:6" x14ac:dyDescent="0.35">
      <c r="A2011" t="s">
        <v>260</v>
      </c>
      <c r="B2011" t="s">
        <v>261</v>
      </c>
      <c r="C2011">
        <v>1989</v>
      </c>
      <c r="D2011">
        <v>5675</v>
      </c>
      <c r="F2011">
        <v>552022</v>
      </c>
    </row>
    <row r="2012" spans="1:6" x14ac:dyDescent="0.35">
      <c r="A2012" t="s">
        <v>260</v>
      </c>
      <c r="B2012" t="s">
        <v>261</v>
      </c>
      <c r="C2012">
        <v>1990</v>
      </c>
      <c r="D2012">
        <v>5467</v>
      </c>
      <c r="F2012">
        <v>560780</v>
      </c>
    </row>
    <row r="2013" spans="1:6" x14ac:dyDescent="0.35">
      <c r="A2013" t="s">
        <v>260</v>
      </c>
      <c r="B2013" t="s">
        <v>261</v>
      </c>
      <c r="C2013">
        <v>1991</v>
      </c>
      <c r="D2013">
        <v>5809</v>
      </c>
      <c r="F2013">
        <v>553597</v>
      </c>
    </row>
    <row r="2014" spans="1:6" x14ac:dyDescent="0.35">
      <c r="A2014" t="s">
        <v>260</v>
      </c>
      <c r="B2014" t="s">
        <v>261</v>
      </c>
      <c r="C2014">
        <v>1992</v>
      </c>
      <c r="D2014">
        <v>5686</v>
      </c>
      <c r="F2014">
        <v>558570</v>
      </c>
    </row>
    <row r="2015" spans="1:6" x14ac:dyDescent="0.35">
      <c r="A2015" t="s">
        <v>260</v>
      </c>
      <c r="B2015" t="s">
        <v>261</v>
      </c>
      <c r="C2015">
        <v>1993</v>
      </c>
      <c r="D2015">
        <v>5741</v>
      </c>
      <c r="F2015">
        <v>539932</v>
      </c>
    </row>
    <row r="2016" spans="1:6" x14ac:dyDescent="0.35">
      <c r="A2016" t="s">
        <v>260</v>
      </c>
      <c r="B2016" t="s">
        <v>261</v>
      </c>
      <c r="C2016">
        <v>1994</v>
      </c>
      <c r="D2016">
        <v>5694</v>
      </c>
      <c r="F2016">
        <v>523340</v>
      </c>
    </row>
    <row r="2017" spans="1:6" x14ac:dyDescent="0.35">
      <c r="A2017" t="s">
        <v>260</v>
      </c>
      <c r="B2017" t="s">
        <v>261</v>
      </c>
      <c r="C2017">
        <v>1995</v>
      </c>
      <c r="D2017">
        <v>5885</v>
      </c>
      <c r="F2017">
        <v>515548</v>
      </c>
    </row>
    <row r="2018" spans="1:6" x14ac:dyDescent="0.35">
      <c r="A2018" t="s">
        <v>260</v>
      </c>
      <c r="B2018" t="s">
        <v>261</v>
      </c>
      <c r="C2018">
        <v>1996</v>
      </c>
      <c r="D2018">
        <v>5847</v>
      </c>
      <c r="F2018">
        <v>517995</v>
      </c>
    </row>
    <row r="2019" spans="1:6" x14ac:dyDescent="0.35">
      <c r="A2019" t="s">
        <v>260</v>
      </c>
      <c r="B2019" t="s">
        <v>261</v>
      </c>
      <c r="C2019">
        <v>1997</v>
      </c>
      <c r="F2019">
        <v>523528</v>
      </c>
    </row>
    <row r="2020" spans="1:6" x14ac:dyDescent="0.35">
      <c r="A2020" t="s">
        <v>260</v>
      </c>
      <c r="B2020" t="s">
        <v>261</v>
      </c>
      <c r="C2020">
        <v>1998</v>
      </c>
      <c r="F2020">
        <v>520518</v>
      </c>
    </row>
    <row r="2021" spans="1:6" x14ac:dyDescent="0.35">
      <c r="A2021" t="s">
        <v>260</v>
      </c>
      <c r="C2021">
        <v>1999</v>
      </c>
    </row>
    <row r="2022" spans="1:6" x14ac:dyDescent="0.35">
      <c r="A2022" t="s">
        <v>260</v>
      </c>
      <c r="C2022">
        <v>2000</v>
      </c>
    </row>
    <row r="2023" spans="1:6" x14ac:dyDescent="0.35">
      <c r="A2023" t="s">
        <v>260</v>
      </c>
      <c r="C2023">
        <v>2001</v>
      </c>
    </row>
    <row r="2024" spans="1:6" x14ac:dyDescent="0.35">
      <c r="A2024" t="s">
        <v>260</v>
      </c>
      <c r="B2024" t="s">
        <v>262</v>
      </c>
      <c r="C2024">
        <v>2002</v>
      </c>
    </row>
    <row r="2025" spans="1:6" x14ac:dyDescent="0.35">
      <c r="A2025" t="s">
        <v>260</v>
      </c>
      <c r="B2025" t="s">
        <v>262</v>
      </c>
      <c r="C2025">
        <v>2003</v>
      </c>
    </row>
    <row r="2026" spans="1:6" x14ac:dyDescent="0.35">
      <c r="A2026" t="s">
        <v>260</v>
      </c>
      <c r="B2026" t="s">
        <v>262</v>
      </c>
      <c r="C2026">
        <v>2004</v>
      </c>
    </row>
    <row r="2027" spans="1:6" x14ac:dyDescent="0.35">
      <c r="A2027" t="s">
        <v>260</v>
      </c>
      <c r="B2027" t="s">
        <v>262</v>
      </c>
      <c r="C2027">
        <v>2005</v>
      </c>
    </row>
    <row r="2028" spans="1:6" x14ac:dyDescent="0.35">
      <c r="A2028" t="s">
        <v>260</v>
      </c>
      <c r="B2028" t="s">
        <v>262</v>
      </c>
      <c r="C2028">
        <v>2006</v>
      </c>
    </row>
    <row r="2029" spans="1:6" x14ac:dyDescent="0.35">
      <c r="A2029" t="s">
        <v>260</v>
      </c>
      <c r="B2029" t="s">
        <v>262</v>
      </c>
      <c r="C2029">
        <v>2007</v>
      </c>
    </row>
    <row r="2030" spans="1:6" x14ac:dyDescent="0.35">
      <c r="A2030" t="s">
        <v>260</v>
      </c>
      <c r="B2030" t="s">
        <v>262</v>
      </c>
      <c r="C2030">
        <v>2008</v>
      </c>
    </row>
    <row r="2031" spans="1:6" x14ac:dyDescent="0.35">
      <c r="A2031" t="s">
        <v>260</v>
      </c>
      <c r="B2031" t="s">
        <v>262</v>
      </c>
      <c r="C2031">
        <v>2009</v>
      </c>
    </row>
    <row r="2032" spans="1:6" x14ac:dyDescent="0.35">
      <c r="A2032" t="s">
        <v>260</v>
      </c>
      <c r="B2032" t="s">
        <v>262</v>
      </c>
      <c r="C2032">
        <v>2010</v>
      </c>
    </row>
    <row r="2033" spans="1:3" x14ac:dyDescent="0.35">
      <c r="A2033" t="s">
        <v>260</v>
      </c>
      <c r="B2033" t="s">
        <v>262</v>
      </c>
      <c r="C2033">
        <v>2011</v>
      </c>
    </row>
    <row r="2034" spans="1:3" x14ac:dyDescent="0.35">
      <c r="A2034" t="s">
        <v>260</v>
      </c>
      <c r="B2034" t="s">
        <v>262</v>
      </c>
      <c r="C2034">
        <v>2012</v>
      </c>
    </row>
    <row r="2035" spans="1:3" x14ac:dyDescent="0.35">
      <c r="A2035" t="s">
        <v>260</v>
      </c>
      <c r="B2035" t="s">
        <v>262</v>
      </c>
      <c r="C2035">
        <v>2013</v>
      </c>
    </row>
    <row r="2036" spans="1:3" x14ac:dyDescent="0.35">
      <c r="A2036" t="s">
        <v>260</v>
      </c>
      <c r="B2036" t="s">
        <v>262</v>
      </c>
      <c r="C2036">
        <v>2014</v>
      </c>
    </row>
    <row r="2037" spans="1:3" x14ac:dyDescent="0.35">
      <c r="A2037" t="s">
        <v>260</v>
      </c>
      <c r="B2037" t="s">
        <v>262</v>
      </c>
      <c r="C2037">
        <v>2015</v>
      </c>
    </row>
    <row r="2038" spans="1:3" x14ac:dyDescent="0.35">
      <c r="A2038" t="s">
        <v>260</v>
      </c>
      <c r="B2038" t="s">
        <v>262</v>
      </c>
      <c r="C2038">
        <v>2016</v>
      </c>
    </row>
    <row r="2039" spans="1:3" x14ac:dyDescent="0.35">
      <c r="A2039" t="s">
        <v>260</v>
      </c>
      <c r="B2039" t="s">
        <v>262</v>
      </c>
      <c r="C2039">
        <v>2017</v>
      </c>
    </row>
    <row r="2040" spans="1:3" x14ac:dyDescent="0.35">
      <c r="A2040" t="s">
        <v>260</v>
      </c>
      <c r="B2040" t="s">
        <v>262</v>
      </c>
      <c r="C2040">
        <v>2018</v>
      </c>
    </row>
    <row r="2041" spans="1:3" x14ac:dyDescent="0.35">
      <c r="A2041" t="s">
        <v>260</v>
      </c>
      <c r="B2041" t="s">
        <v>262</v>
      </c>
      <c r="C2041">
        <v>2019</v>
      </c>
    </row>
    <row r="2042" spans="1:3" x14ac:dyDescent="0.35">
      <c r="A2042" t="s">
        <v>263</v>
      </c>
      <c r="B2042" t="s">
        <v>4</v>
      </c>
      <c r="C2042">
        <v>1923</v>
      </c>
    </row>
    <row r="2043" spans="1:3" x14ac:dyDescent="0.35">
      <c r="A2043" t="s">
        <v>263</v>
      </c>
      <c r="B2043" t="s">
        <v>4</v>
      </c>
      <c r="C2043">
        <v>1924</v>
      </c>
    </row>
    <row r="2044" spans="1:3" x14ac:dyDescent="0.35">
      <c r="A2044" t="s">
        <v>263</v>
      </c>
      <c r="B2044" t="s">
        <v>4</v>
      </c>
      <c r="C2044">
        <v>1925</v>
      </c>
    </row>
    <row r="2045" spans="1:3" x14ac:dyDescent="0.35">
      <c r="A2045" t="s">
        <v>263</v>
      </c>
      <c r="B2045" t="s">
        <v>4</v>
      </c>
      <c r="C2045">
        <v>1926</v>
      </c>
    </row>
    <row r="2046" spans="1:3" x14ac:dyDescent="0.35">
      <c r="A2046" t="s">
        <v>263</v>
      </c>
      <c r="B2046" t="s">
        <v>4</v>
      </c>
      <c r="C2046">
        <v>1927</v>
      </c>
    </row>
    <row r="2047" spans="1:3" x14ac:dyDescent="0.35">
      <c r="A2047" t="s">
        <v>263</v>
      </c>
      <c r="B2047" t="s">
        <v>4</v>
      </c>
      <c r="C2047">
        <v>1928</v>
      </c>
    </row>
    <row r="2048" spans="1:3" x14ac:dyDescent="0.35">
      <c r="A2048" t="s">
        <v>263</v>
      </c>
      <c r="B2048" t="s">
        <v>4</v>
      </c>
      <c r="C2048">
        <v>1929</v>
      </c>
    </row>
    <row r="2049" spans="1:3" x14ac:dyDescent="0.35">
      <c r="A2049" t="s">
        <v>263</v>
      </c>
      <c r="B2049" t="s">
        <v>4</v>
      </c>
      <c r="C2049">
        <v>1930</v>
      </c>
    </row>
    <row r="2050" spans="1:3" x14ac:dyDescent="0.35">
      <c r="A2050" t="s">
        <v>263</v>
      </c>
      <c r="B2050" t="s">
        <v>4</v>
      </c>
      <c r="C2050">
        <v>1931</v>
      </c>
    </row>
    <row r="2051" spans="1:3" x14ac:dyDescent="0.35">
      <c r="A2051" t="s">
        <v>263</v>
      </c>
      <c r="B2051" t="s">
        <v>4</v>
      </c>
      <c r="C2051">
        <v>1932</v>
      </c>
    </row>
    <row r="2052" spans="1:3" x14ac:dyDescent="0.35">
      <c r="A2052" t="s">
        <v>263</v>
      </c>
      <c r="B2052" t="s">
        <v>4</v>
      </c>
      <c r="C2052">
        <v>1933</v>
      </c>
    </row>
    <row r="2053" spans="1:3" x14ac:dyDescent="0.35">
      <c r="A2053" t="s">
        <v>263</v>
      </c>
      <c r="B2053" t="s">
        <v>4</v>
      </c>
      <c r="C2053">
        <v>1934</v>
      </c>
    </row>
    <row r="2054" spans="1:3" x14ac:dyDescent="0.35">
      <c r="A2054" t="s">
        <v>263</v>
      </c>
      <c r="B2054" t="s">
        <v>4</v>
      </c>
      <c r="C2054">
        <v>1935</v>
      </c>
    </row>
    <row r="2055" spans="1:3" x14ac:dyDescent="0.35">
      <c r="A2055" t="s">
        <v>263</v>
      </c>
      <c r="B2055" t="s">
        <v>4</v>
      </c>
      <c r="C2055">
        <v>1936</v>
      </c>
    </row>
    <row r="2056" spans="1:3" x14ac:dyDescent="0.35">
      <c r="A2056" t="s">
        <v>263</v>
      </c>
      <c r="C2056">
        <v>1937</v>
      </c>
    </row>
    <row r="2057" spans="1:3" x14ac:dyDescent="0.35">
      <c r="A2057" t="s">
        <v>263</v>
      </c>
      <c r="C2057">
        <v>1938</v>
      </c>
    </row>
    <row r="2058" spans="1:3" x14ac:dyDescent="0.35">
      <c r="A2058" t="s">
        <v>263</v>
      </c>
      <c r="C2058">
        <v>1939</v>
      </c>
    </row>
    <row r="2059" spans="1:3" x14ac:dyDescent="0.35">
      <c r="A2059" t="s">
        <v>263</v>
      </c>
      <c r="C2059">
        <v>1940</v>
      </c>
    </row>
    <row r="2060" spans="1:3" x14ac:dyDescent="0.35">
      <c r="A2060" t="s">
        <v>263</v>
      </c>
      <c r="C2060">
        <v>1941</v>
      </c>
    </row>
    <row r="2061" spans="1:3" x14ac:dyDescent="0.35">
      <c r="A2061" t="s">
        <v>263</v>
      </c>
      <c r="C2061">
        <v>1942</v>
      </c>
    </row>
    <row r="2062" spans="1:3" x14ac:dyDescent="0.35">
      <c r="A2062" t="s">
        <v>263</v>
      </c>
      <c r="C2062">
        <v>1943</v>
      </c>
    </row>
    <row r="2063" spans="1:3" x14ac:dyDescent="0.35">
      <c r="A2063" t="s">
        <v>263</v>
      </c>
      <c r="C2063">
        <v>1944</v>
      </c>
    </row>
    <row r="2064" spans="1:3" x14ac:dyDescent="0.35">
      <c r="A2064" t="s">
        <v>263</v>
      </c>
      <c r="C2064">
        <v>1945</v>
      </c>
    </row>
    <row r="2065" spans="1:5" x14ac:dyDescent="0.35">
      <c r="A2065" t="s">
        <v>263</v>
      </c>
      <c r="C2065">
        <v>1946</v>
      </c>
    </row>
    <row r="2066" spans="1:5" x14ac:dyDescent="0.35">
      <c r="A2066" t="s">
        <v>263</v>
      </c>
      <c r="C2066">
        <v>1947</v>
      </c>
    </row>
    <row r="2067" spans="1:5" x14ac:dyDescent="0.35">
      <c r="A2067" t="s">
        <v>263</v>
      </c>
      <c r="C2067">
        <v>1948</v>
      </c>
    </row>
    <row r="2068" spans="1:5" x14ac:dyDescent="0.35">
      <c r="A2068" t="s">
        <v>263</v>
      </c>
      <c r="C2068">
        <v>1949</v>
      </c>
    </row>
    <row r="2069" spans="1:5" x14ac:dyDescent="0.35">
      <c r="A2069" t="s">
        <v>263</v>
      </c>
      <c r="C2069">
        <v>1950</v>
      </c>
    </row>
    <row r="2070" spans="1:5" x14ac:dyDescent="0.35">
      <c r="A2070" t="s">
        <v>263</v>
      </c>
      <c r="B2070" t="s">
        <v>15</v>
      </c>
      <c r="C2070">
        <v>1951</v>
      </c>
      <c r="D2070">
        <v>15143</v>
      </c>
      <c r="E2070">
        <v>30286</v>
      </c>
    </row>
    <row r="2071" spans="1:5" x14ac:dyDescent="0.35">
      <c r="A2071" t="s">
        <v>263</v>
      </c>
      <c r="B2071" t="s">
        <v>15</v>
      </c>
      <c r="C2071">
        <v>1952</v>
      </c>
      <c r="D2071">
        <v>14007</v>
      </c>
      <c r="E2071">
        <v>28014</v>
      </c>
    </row>
    <row r="2072" spans="1:5" x14ac:dyDescent="0.35">
      <c r="A2072" t="s">
        <v>263</v>
      </c>
      <c r="B2072" t="s">
        <v>15</v>
      </c>
      <c r="C2072">
        <v>1953</v>
      </c>
      <c r="D2072">
        <v>13053</v>
      </c>
      <c r="E2072">
        <v>26106</v>
      </c>
    </row>
    <row r="2073" spans="1:5" x14ac:dyDescent="0.35">
      <c r="A2073" t="s">
        <v>263</v>
      </c>
      <c r="B2073" t="s">
        <v>15</v>
      </c>
      <c r="C2073">
        <v>1954</v>
      </c>
      <c r="D2073">
        <v>12655</v>
      </c>
      <c r="E2073">
        <v>25310</v>
      </c>
    </row>
    <row r="2074" spans="1:5" x14ac:dyDescent="0.35">
      <c r="A2074" t="s">
        <v>263</v>
      </c>
      <c r="B2074" t="s">
        <v>15</v>
      </c>
      <c r="C2074">
        <v>1955</v>
      </c>
      <c r="D2074">
        <v>12042</v>
      </c>
      <c r="E2074">
        <v>24084</v>
      </c>
    </row>
    <row r="2075" spans="1:5" x14ac:dyDescent="0.35">
      <c r="A2075" t="s">
        <v>263</v>
      </c>
      <c r="B2075" t="s">
        <v>15</v>
      </c>
      <c r="C2075">
        <v>1956</v>
      </c>
      <c r="D2075">
        <v>11725</v>
      </c>
      <c r="E2075">
        <v>23450</v>
      </c>
    </row>
    <row r="2076" spans="1:5" x14ac:dyDescent="0.35">
      <c r="A2076" t="s">
        <v>263</v>
      </c>
      <c r="B2076" t="s">
        <v>15</v>
      </c>
      <c r="C2076">
        <v>1957</v>
      </c>
      <c r="D2076">
        <v>11407</v>
      </c>
      <c r="E2076">
        <v>22814</v>
      </c>
    </row>
    <row r="2077" spans="1:5" x14ac:dyDescent="0.35">
      <c r="A2077" t="s">
        <v>263</v>
      </c>
      <c r="B2077" t="s">
        <v>15</v>
      </c>
      <c r="C2077">
        <v>1958</v>
      </c>
      <c r="D2077">
        <v>11817</v>
      </c>
      <c r="E2077">
        <v>23634</v>
      </c>
    </row>
    <row r="2078" spans="1:5" x14ac:dyDescent="0.35">
      <c r="A2078" t="s">
        <v>263</v>
      </c>
      <c r="B2078" t="s">
        <v>15</v>
      </c>
      <c r="C2078">
        <v>1959</v>
      </c>
      <c r="D2078">
        <v>11579</v>
      </c>
      <c r="E2078">
        <v>23158</v>
      </c>
    </row>
    <row r="2079" spans="1:5" x14ac:dyDescent="0.35">
      <c r="A2079" t="s">
        <v>263</v>
      </c>
      <c r="B2079" t="s">
        <v>15</v>
      </c>
      <c r="C2079">
        <v>1960</v>
      </c>
      <c r="D2079">
        <v>11159</v>
      </c>
      <c r="E2079">
        <v>22318</v>
      </c>
    </row>
    <row r="2080" spans="1:5" x14ac:dyDescent="0.35">
      <c r="A2080" t="s">
        <v>263</v>
      </c>
      <c r="B2080" t="s">
        <v>15</v>
      </c>
      <c r="C2080">
        <v>1961</v>
      </c>
      <c r="D2080">
        <v>11394</v>
      </c>
      <c r="E2080">
        <v>22788</v>
      </c>
    </row>
    <row r="2081" spans="1:5" x14ac:dyDescent="0.35">
      <c r="A2081" t="s">
        <v>263</v>
      </c>
      <c r="B2081" t="s">
        <v>15</v>
      </c>
      <c r="C2081">
        <v>1962</v>
      </c>
      <c r="D2081">
        <v>11454</v>
      </c>
      <c r="E2081">
        <v>22908</v>
      </c>
    </row>
    <row r="2082" spans="1:5" x14ac:dyDescent="0.35">
      <c r="A2082" t="s">
        <v>263</v>
      </c>
      <c r="B2082" t="s">
        <v>15</v>
      </c>
      <c r="C2082">
        <v>1963</v>
      </c>
      <c r="D2082">
        <v>11638</v>
      </c>
      <c r="E2082">
        <v>23276</v>
      </c>
    </row>
    <row r="2083" spans="1:5" x14ac:dyDescent="0.35">
      <c r="A2083" t="s">
        <v>263</v>
      </c>
      <c r="B2083" t="s">
        <v>15</v>
      </c>
      <c r="C2083">
        <v>1964</v>
      </c>
      <c r="D2083">
        <v>12168</v>
      </c>
      <c r="E2083">
        <v>24336</v>
      </c>
    </row>
    <row r="2084" spans="1:5" x14ac:dyDescent="0.35">
      <c r="A2084" t="s">
        <v>263</v>
      </c>
      <c r="B2084" t="s">
        <v>15</v>
      </c>
      <c r="C2084">
        <v>1965</v>
      </c>
      <c r="D2084">
        <v>12266</v>
      </c>
      <c r="E2084">
        <v>24532</v>
      </c>
    </row>
    <row r="2085" spans="1:5" x14ac:dyDescent="0.35">
      <c r="A2085" t="s">
        <v>263</v>
      </c>
      <c r="B2085" t="s">
        <v>15</v>
      </c>
      <c r="C2085">
        <v>1966</v>
      </c>
      <c r="D2085">
        <v>9848</v>
      </c>
      <c r="E2085">
        <v>19696</v>
      </c>
    </row>
    <row r="2086" spans="1:5" x14ac:dyDescent="0.35">
      <c r="A2086" t="s">
        <v>263</v>
      </c>
      <c r="B2086" t="s">
        <v>15</v>
      </c>
      <c r="C2086">
        <v>1967</v>
      </c>
      <c r="D2086">
        <v>13212</v>
      </c>
      <c r="E2086">
        <v>26424</v>
      </c>
    </row>
    <row r="2087" spans="1:5" x14ac:dyDescent="0.35">
      <c r="A2087" t="s">
        <v>263</v>
      </c>
      <c r="B2087" t="s">
        <v>15</v>
      </c>
      <c r="C2087">
        <v>1968</v>
      </c>
      <c r="D2087">
        <v>12347</v>
      </c>
      <c r="E2087">
        <v>24694</v>
      </c>
    </row>
    <row r="2088" spans="1:5" x14ac:dyDescent="0.35">
      <c r="A2088" t="s">
        <v>263</v>
      </c>
      <c r="C2088">
        <v>1969</v>
      </c>
    </row>
    <row r="2089" spans="1:5" x14ac:dyDescent="0.35">
      <c r="A2089" t="s">
        <v>263</v>
      </c>
      <c r="C2089">
        <v>1970</v>
      </c>
    </row>
    <row r="2090" spans="1:5" x14ac:dyDescent="0.35">
      <c r="A2090" t="s">
        <v>263</v>
      </c>
      <c r="C2090">
        <v>1971</v>
      </c>
    </row>
    <row r="2091" spans="1:5" x14ac:dyDescent="0.35">
      <c r="A2091" t="s">
        <v>263</v>
      </c>
      <c r="C2091">
        <v>1972</v>
      </c>
    </row>
    <row r="2092" spans="1:5" x14ac:dyDescent="0.35">
      <c r="A2092" t="s">
        <v>263</v>
      </c>
      <c r="C2092">
        <v>1973</v>
      </c>
    </row>
    <row r="2093" spans="1:5" x14ac:dyDescent="0.35">
      <c r="A2093" t="s">
        <v>263</v>
      </c>
      <c r="B2093" t="s">
        <v>15</v>
      </c>
      <c r="C2093">
        <v>1974</v>
      </c>
      <c r="D2093">
        <v>12392</v>
      </c>
      <c r="E2093">
        <v>24784</v>
      </c>
    </row>
    <row r="2094" spans="1:5" x14ac:dyDescent="0.35">
      <c r="A2094" t="s">
        <v>263</v>
      </c>
      <c r="B2094" t="s">
        <v>15</v>
      </c>
      <c r="C2094">
        <v>1975</v>
      </c>
      <c r="E2094">
        <v>23610</v>
      </c>
    </row>
    <row r="2095" spans="1:5" x14ac:dyDescent="0.35">
      <c r="A2095" t="s">
        <v>263</v>
      </c>
      <c r="B2095" t="s">
        <v>15</v>
      </c>
      <c r="C2095">
        <v>1976</v>
      </c>
      <c r="E2095">
        <v>22537</v>
      </c>
    </row>
    <row r="2096" spans="1:5" x14ac:dyDescent="0.35">
      <c r="A2096" t="s">
        <v>263</v>
      </c>
      <c r="B2096" t="s">
        <v>15</v>
      </c>
      <c r="C2096">
        <v>1977</v>
      </c>
      <c r="E2096">
        <v>22953</v>
      </c>
    </row>
    <row r="2097" spans="1:5" x14ac:dyDescent="0.35">
      <c r="A2097" t="s">
        <v>263</v>
      </c>
      <c r="B2097" t="s">
        <v>15</v>
      </c>
      <c r="C2097">
        <v>1978</v>
      </c>
      <c r="E2097">
        <v>22188</v>
      </c>
    </row>
    <row r="2098" spans="1:5" x14ac:dyDescent="0.35">
      <c r="A2098" t="s">
        <v>263</v>
      </c>
      <c r="B2098" t="s">
        <v>15</v>
      </c>
      <c r="C2098">
        <v>1979</v>
      </c>
      <c r="E2098">
        <v>22007</v>
      </c>
    </row>
    <row r="2099" spans="1:5" x14ac:dyDescent="0.35">
      <c r="A2099" t="s">
        <v>263</v>
      </c>
      <c r="B2099" t="s">
        <v>15</v>
      </c>
      <c r="C2099">
        <v>1980</v>
      </c>
      <c r="E2099">
        <v>21165</v>
      </c>
    </row>
    <row r="2100" spans="1:5" x14ac:dyDescent="0.35">
      <c r="A2100" t="s">
        <v>263</v>
      </c>
      <c r="B2100" t="s">
        <v>15</v>
      </c>
      <c r="C2100">
        <v>1981</v>
      </c>
      <c r="E2100">
        <v>20852</v>
      </c>
    </row>
    <row r="2101" spans="1:5" x14ac:dyDescent="0.35">
      <c r="A2101" t="s">
        <v>263</v>
      </c>
      <c r="B2101" t="s">
        <v>15</v>
      </c>
      <c r="C2101">
        <v>1982</v>
      </c>
      <c r="E2101">
        <v>20796</v>
      </c>
    </row>
    <row r="2102" spans="1:5" x14ac:dyDescent="0.35">
      <c r="A2102" t="s">
        <v>263</v>
      </c>
      <c r="B2102" t="s">
        <v>15</v>
      </c>
      <c r="C2102">
        <v>1983</v>
      </c>
      <c r="E2102">
        <v>20597</v>
      </c>
    </row>
    <row r="2103" spans="1:5" x14ac:dyDescent="0.35">
      <c r="A2103" t="s">
        <v>263</v>
      </c>
      <c r="B2103" t="s">
        <v>15</v>
      </c>
      <c r="C2103">
        <v>1984</v>
      </c>
      <c r="E2103">
        <v>20421</v>
      </c>
    </row>
    <row r="2104" spans="1:5" x14ac:dyDescent="0.35">
      <c r="A2104" t="s">
        <v>263</v>
      </c>
      <c r="B2104" t="s">
        <v>15</v>
      </c>
      <c r="C2104">
        <v>1985</v>
      </c>
      <c r="E2104">
        <v>19611</v>
      </c>
    </row>
    <row r="2105" spans="1:5" x14ac:dyDescent="0.35">
      <c r="A2105" t="s">
        <v>263</v>
      </c>
      <c r="B2105" t="s">
        <v>15</v>
      </c>
      <c r="C2105">
        <v>1986</v>
      </c>
      <c r="E2105">
        <v>18798</v>
      </c>
    </row>
    <row r="2106" spans="1:5" x14ac:dyDescent="0.35">
      <c r="A2106" t="s">
        <v>263</v>
      </c>
      <c r="B2106" t="s">
        <v>15</v>
      </c>
      <c r="C2106">
        <v>1987</v>
      </c>
      <c r="E2106">
        <v>18636</v>
      </c>
    </row>
    <row r="2107" spans="1:5" x14ac:dyDescent="0.35">
      <c r="A2107" t="s">
        <v>263</v>
      </c>
      <c r="B2107" t="s">
        <v>15</v>
      </c>
      <c r="C2107">
        <v>1988</v>
      </c>
      <c r="E2107">
        <v>18472</v>
      </c>
    </row>
    <row r="2108" spans="1:5" x14ac:dyDescent="0.35">
      <c r="A2108" t="s">
        <v>263</v>
      </c>
      <c r="B2108" t="s">
        <v>15</v>
      </c>
      <c r="C2108">
        <v>1989</v>
      </c>
      <c r="E2108">
        <v>18147</v>
      </c>
    </row>
    <row r="2109" spans="1:5" x14ac:dyDescent="0.35">
      <c r="A2109" t="s">
        <v>263</v>
      </c>
      <c r="B2109" t="s">
        <v>15</v>
      </c>
      <c r="C2109">
        <v>1990</v>
      </c>
      <c r="E2109">
        <v>17865</v>
      </c>
    </row>
    <row r="2110" spans="1:5" x14ac:dyDescent="0.35">
      <c r="A2110" t="s">
        <v>263</v>
      </c>
      <c r="B2110" t="s">
        <v>15</v>
      </c>
      <c r="C2110">
        <v>1991</v>
      </c>
      <c r="E2110">
        <v>18284</v>
      </c>
    </row>
    <row r="2111" spans="1:5" x14ac:dyDescent="0.35">
      <c r="A2111" t="s">
        <v>263</v>
      </c>
      <c r="B2111" t="s">
        <v>15</v>
      </c>
      <c r="C2111">
        <v>1992</v>
      </c>
      <c r="E2111">
        <v>18856</v>
      </c>
    </row>
    <row r="2112" spans="1:5" x14ac:dyDescent="0.35">
      <c r="A2112" t="s">
        <v>263</v>
      </c>
      <c r="B2112" t="s">
        <v>15</v>
      </c>
      <c r="C2112">
        <v>1993</v>
      </c>
      <c r="E2112">
        <v>19288</v>
      </c>
    </row>
    <row r="2113" spans="1:6" x14ac:dyDescent="0.35">
      <c r="A2113" t="s">
        <v>263</v>
      </c>
      <c r="B2113" t="s">
        <v>15</v>
      </c>
      <c r="C2113">
        <v>1994</v>
      </c>
      <c r="E2113">
        <v>21324</v>
      </c>
    </row>
    <row r="2114" spans="1:6" x14ac:dyDescent="0.35">
      <c r="A2114" t="s">
        <v>263</v>
      </c>
      <c r="B2114" t="s">
        <v>15</v>
      </c>
      <c r="C2114">
        <v>1995</v>
      </c>
      <c r="D2114">
        <v>10529</v>
      </c>
      <c r="E2114">
        <v>21058</v>
      </c>
      <c r="F2114">
        <v>1204082</v>
      </c>
    </row>
    <row r="2115" spans="1:6" x14ac:dyDescent="0.35">
      <c r="A2115" t="s">
        <v>263</v>
      </c>
      <c r="B2115" t="s">
        <v>15</v>
      </c>
      <c r="C2115">
        <v>1996</v>
      </c>
      <c r="E2115">
        <v>22188</v>
      </c>
    </row>
    <row r="2116" spans="1:6" x14ac:dyDescent="0.35">
      <c r="A2116" t="s">
        <v>263</v>
      </c>
      <c r="C2116">
        <v>1997</v>
      </c>
    </row>
    <row r="2117" spans="1:6" x14ac:dyDescent="0.35">
      <c r="A2117" t="s">
        <v>263</v>
      </c>
      <c r="C2117">
        <v>1998</v>
      </c>
    </row>
    <row r="2118" spans="1:6" x14ac:dyDescent="0.35">
      <c r="A2118" t="s">
        <v>263</v>
      </c>
      <c r="C2118">
        <v>1999</v>
      </c>
    </row>
    <row r="2119" spans="1:6" x14ac:dyDescent="0.35">
      <c r="A2119" t="s">
        <v>263</v>
      </c>
      <c r="B2119" t="s">
        <v>264</v>
      </c>
      <c r="C2119">
        <v>2000</v>
      </c>
      <c r="D2119">
        <v>12107</v>
      </c>
      <c r="F2119">
        <v>1203627</v>
      </c>
    </row>
    <row r="2120" spans="1:6" x14ac:dyDescent="0.35">
      <c r="A2120" t="s">
        <v>263</v>
      </c>
      <c r="B2120" t="s">
        <v>264</v>
      </c>
      <c r="C2120">
        <v>2001</v>
      </c>
      <c r="D2120">
        <v>11919</v>
      </c>
      <c r="F2120">
        <v>1183323</v>
      </c>
    </row>
    <row r="2121" spans="1:6" x14ac:dyDescent="0.35">
      <c r="A2121" t="s">
        <v>263</v>
      </c>
      <c r="B2121" t="s">
        <v>264</v>
      </c>
      <c r="C2121">
        <v>2002</v>
      </c>
      <c r="D2121">
        <v>12633</v>
      </c>
      <c r="F2121">
        <v>1164518</v>
      </c>
    </row>
    <row r="2122" spans="1:6" x14ac:dyDescent="0.35">
      <c r="A2122" t="s">
        <v>263</v>
      </c>
      <c r="B2122" t="s">
        <v>264</v>
      </c>
      <c r="C2122">
        <v>2003</v>
      </c>
      <c r="D2122">
        <v>12743</v>
      </c>
      <c r="F2122">
        <v>1132508</v>
      </c>
    </row>
    <row r="2123" spans="1:6" x14ac:dyDescent="0.35">
      <c r="A2123" t="s">
        <v>263</v>
      </c>
      <c r="B2123" t="s">
        <v>264</v>
      </c>
      <c r="C2123">
        <v>2004</v>
      </c>
      <c r="D2123">
        <v>12900</v>
      </c>
      <c r="F2123">
        <v>1118308</v>
      </c>
    </row>
    <row r="2124" spans="1:6" x14ac:dyDescent="0.35">
      <c r="A2124" t="s">
        <v>263</v>
      </c>
      <c r="B2124" t="s">
        <v>264</v>
      </c>
      <c r="C2124">
        <v>2005</v>
      </c>
      <c r="D2124">
        <v>12455</v>
      </c>
      <c r="F2124">
        <v>1068633</v>
      </c>
    </row>
    <row r="2125" spans="1:6" x14ac:dyDescent="0.35">
      <c r="A2125" t="s">
        <v>263</v>
      </c>
      <c r="B2125" t="s">
        <v>264</v>
      </c>
      <c r="C2125">
        <v>2006</v>
      </c>
      <c r="D2125">
        <v>12631</v>
      </c>
      <c r="F2125">
        <v>1097536</v>
      </c>
    </row>
    <row r="2126" spans="1:6" x14ac:dyDescent="0.35">
      <c r="A2126" t="s">
        <v>263</v>
      </c>
      <c r="B2126" t="s">
        <v>264</v>
      </c>
      <c r="C2126">
        <v>2007</v>
      </c>
      <c r="D2126">
        <v>12394</v>
      </c>
      <c r="F2126">
        <v>1093632</v>
      </c>
    </row>
    <row r="2127" spans="1:6" x14ac:dyDescent="0.35">
      <c r="A2127" t="s">
        <v>263</v>
      </c>
      <c r="B2127" t="s">
        <v>264</v>
      </c>
      <c r="C2127">
        <v>2008</v>
      </c>
      <c r="D2127">
        <v>11496</v>
      </c>
      <c r="F2127">
        <v>1095749</v>
      </c>
    </row>
    <row r="2128" spans="1:6" x14ac:dyDescent="0.35">
      <c r="A2128" t="s">
        <v>263</v>
      </c>
      <c r="B2128" t="s">
        <v>264</v>
      </c>
      <c r="C2128">
        <v>2009</v>
      </c>
      <c r="D2128">
        <v>10803</v>
      </c>
      <c r="F2128">
        <v>1074920</v>
      </c>
    </row>
    <row r="2129" spans="1:6" x14ac:dyDescent="0.35">
      <c r="A2129" t="s">
        <v>263</v>
      </c>
      <c r="B2129" t="s">
        <v>264</v>
      </c>
      <c r="C2129">
        <v>2010</v>
      </c>
      <c r="D2129">
        <v>10394</v>
      </c>
      <c r="F2129">
        <v>1076563</v>
      </c>
    </row>
    <row r="2130" spans="1:6" x14ac:dyDescent="0.35">
      <c r="A2130" t="s">
        <v>263</v>
      </c>
      <c r="B2130" t="s">
        <v>264</v>
      </c>
      <c r="C2130">
        <v>2011</v>
      </c>
      <c r="D2130">
        <v>10124</v>
      </c>
      <c r="F2130">
        <v>1055833</v>
      </c>
    </row>
    <row r="2131" spans="1:6" x14ac:dyDescent="0.35">
      <c r="A2131" t="s">
        <v>263</v>
      </c>
      <c r="B2131" t="s">
        <v>264</v>
      </c>
      <c r="C2131">
        <v>2012</v>
      </c>
      <c r="D2131">
        <v>10333</v>
      </c>
      <c r="F2131">
        <v>1040832</v>
      </c>
    </row>
    <row r="2132" spans="1:6" x14ac:dyDescent="0.35">
      <c r="A2132" t="s">
        <v>263</v>
      </c>
      <c r="B2132" t="s">
        <v>264</v>
      </c>
      <c r="C2132">
        <v>2013</v>
      </c>
      <c r="D2132">
        <v>10328</v>
      </c>
      <c r="F2132">
        <v>1032764</v>
      </c>
    </row>
    <row r="2133" spans="1:6" x14ac:dyDescent="0.35">
      <c r="A2133" t="s">
        <v>263</v>
      </c>
      <c r="B2133" t="s">
        <v>264</v>
      </c>
      <c r="C2133">
        <v>2014</v>
      </c>
      <c r="D2133">
        <v>10074</v>
      </c>
      <c r="F2133">
        <v>1006528</v>
      </c>
    </row>
    <row r="2134" spans="1:6" x14ac:dyDescent="0.35">
      <c r="A2134" t="s">
        <v>263</v>
      </c>
      <c r="B2134" t="s">
        <v>264</v>
      </c>
      <c r="C2134">
        <v>2015</v>
      </c>
      <c r="D2134">
        <v>10067</v>
      </c>
      <c r="F2134">
        <v>1007792</v>
      </c>
    </row>
    <row r="2135" spans="1:6" x14ac:dyDescent="0.35">
      <c r="A2135" t="s">
        <v>263</v>
      </c>
      <c r="B2135" t="s">
        <v>264</v>
      </c>
      <c r="C2135">
        <v>2016</v>
      </c>
      <c r="D2135">
        <v>10000</v>
      </c>
      <c r="F2135">
        <v>977780</v>
      </c>
    </row>
    <row r="2136" spans="1:6" x14ac:dyDescent="0.35">
      <c r="A2136" t="s">
        <v>263</v>
      </c>
      <c r="B2136" t="s">
        <v>264</v>
      </c>
      <c r="C2136">
        <v>2017</v>
      </c>
      <c r="D2136">
        <v>9769</v>
      </c>
      <c r="F2136">
        <v>946532</v>
      </c>
    </row>
    <row r="2137" spans="1:6" x14ac:dyDescent="0.35">
      <c r="A2137" t="s">
        <v>263</v>
      </c>
      <c r="B2137" t="s">
        <v>264</v>
      </c>
      <c r="C2137">
        <v>2018</v>
      </c>
      <c r="D2137">
        <v>9620</v>
      </c>
      <c r="F2137">
        <v>918387</v>
      </c>
    </row>
    <row r="2138" spans="1:6" x14ac:dyDescent="0.35">
      <c r="A2138" t="s">
        <v>263</v>
      </c>
      <c r="B2138" t="s">
        <v>264</v>
      </c>
      <c r="C2138">
        <v>2019</v>
      </c>
      <c r="D2138">
        <v>8937</v>
      </c>
      <c r="F2138">
        <v>866378</v>
      </c>
    </row>
    <row r="2139" spans="1:6" x14ac:dyDescent="0.35">
      <c r="A2139" t="s">
        <v>805</v>
      </c>
      <c r="B2139" t="s">
        <v>21</v>
      </c>
      <c r="C2139">
        <v>1983</v>
      </c>
      <c r="E2139">
        <v>7524</v>
      </c>
      <c r="F2139">
        <v>755444</v>
      </c>
    </row>
    <row r="2140" spans="1:6" x14ac:dyDescent="0.35">
      <c r="A2140" t="s">
        <v>805</v>
      </c>
      <c r="B2140" t="s">
        <v>21</v>
      </c>
      <c r="C2140">
        <v>1984</v>
      </c>
      <c r="E2140">
        <v>6546</v>
      </c>
      <c r="F2140">
        <v>659053</v>
      </c>
    </row>
    <row r="2141" spans="1:6" x14ac:dyDescent="0.35">
      <c r="A2141" t="s">
        <v>805</v>
      </c>
      <c r="B2141" t="s">
        <v>21</v>
      </c>
      <c r="C2141">
        <v>1985</v>
      </c>
      <c r="E2141">
        <v>6698</v>
      </c>
      <c r="F2141">
        <v>636464</v>
      </c>
    </row>
    <row r="2142" spans="1:6" x14ac:dyDescent="0.35">
      <c r="A2142" t="s">
        <v>805</v>
      </c>
      <c r="B2142" t="s">
        <v>21</v>
      </c>
      <c r="C2142">
        <v>1986</v>
      </c>
      <c r="E2142">
        <v>6146</v>
      </c>
      <c r="F2142">
        <v>615763</v>
      </c>
    </row>
    <row r="2143" spans="1:6" x14ac:dyDescent="0.35">
      <c r="A2143" t="s">
        <v>805</v>
      </c>
      <c r="B2143" t="s">
        <v>21</v>
      </c>
      <c r="C2143">
        <v>1987</v>
      </c>
      <c r="E2143">
        <v>6100</v>
      </c>
      <c r="F2143">
        <v>600437</v>
      </c>
    </row>
    <row r="2144" spans="1:6" x14ac:dyDescent="0.35">
      <c r="A2144" t="s">
        <v>805</v>
      </c>
      <c r="C2144">
        <v>1988</v>
      </c>
    </row>
    <row r="2145" spans="1:6" x14ac:dyDescent="0.35">
      <c r="A2145" t="s">
        <v>805</v>
      </c>
      <c r="C2145">
        <v>1989</v>
      </c>
    </row>
    <row r="2146" spans="1:6" x14ac:dyDescent="0.35">
      <c r="A2146" t="s">
        <v>805</v>
      </c>
      <c r="C2146">
        <v>1990</v>
      </c>
    </row>
    <row r="2147" spans="1:6" x14ac:dyDescent="0.35">
      <c r="A2147" t="s">
        <v>805</v>
      </c>
      <c r="B2147" t="s">
        <v>21</v>
      </c>
      <c r="C2147">
        <v>1991</v>
      </c>
      <c r="E2147">
        <v>6926</v>
      </c>
      <c r="F2147">
        <v>702204</v>
      </c>
    </row>
    <row r="2148" spans="1:6" x14ac:dyDescent="0.35">
      <c r="A2148" t="s">
        <v>805</v>
      </c>
      <c r="B2148" t="s">
        <v>21</v>
      </c>
      <c r="C2148">
        <v>1992</v>
      </c>
      <c r="E2148">
        <v>8105</v>
      </c>
      <c r="F2148">
        <v>722409</v>
      </c>
    </row>
    <row r="2149" spans="1:6" x14ac:dyDescent="0.35">
      <c r="A2149" t="s">
        <v>805</v>
      </c>
      <c r="B2149" t="s">
        <v>21</v>
      </c>
      <c r="C2149">
        <v>1993</v>
      </c>
      <c r="E2149">
        <v>7948</v>
      </c>
      <c r="F2149">
        <v>707709</v>
      </c>
    </row>
    <row r="2150" spans="1:6" x14ac:dyDescent="0.35">
      <c r="A2150" t="s">
        <v>805</v>
      </c>
      <c r="B2150" t="s">
        <v>21</v>
      </c>
      <c r="C2150">
        <v>1994</v>
      </c>
      <c r="E2150">
        <v>8055</v>
      </c>
      <c r="F2150">
        <v>712976</v>
      </c>
    </row>
    <row r="2151" spans="1:6" x14ac:dyDescent="0.35">
      <c r="A2151" t="s">
        <v>805</v>
      </c>
      <c r="B2151" t="s">
        <v>21</v>
      </c>
      <c r="C2151">
        <v>1995</v>
      </c>
      <c r="E2151">
        <v>9084</v>
      </c>
      <c r="F2151">
        <v>705543</v>
      </c>
    </row>
    <row r="2152" spans="1:6" x14ac:dyDescent="0.35">
      <c r="A2152" t="s">
        <v>805</v>
      </c>
      <c r="B2152" t="s">
        <v>21</v>
      </c>
      <c r="C2152">
        <v>1996</v>
      </c>
      <c r="E2152">
        <v>9025</v>
      </c>
      <c r="F2152">
        <v>681770</v>
      </c>
    </row>
    <row r="2153" spans="1:6" x14ac:dyDescent="0.35">
      <c r="A2153" t="s">
        <v>805</v>
      </c>
      <c r="B2153" t="s">
        <v>21</v>
      </c>
      <c r="C2153">
        <v>1997</v>
      </c>
      <c r="E2153">
        <v>8960</v>
      </c>
      <c r="F2153">
        <v>666162</v>
      </c>
    </row>
    <row r="2154" spans="1:6" x14ac:dyDescent="0.35">
      <c r="A2154" t="s">
        <v>805</v>
      </c>
      <c r="B2154" t="s">
        <v>266</v>
      </c>
      <c r="C2154">
        <v>1998</v>
      </c>
      <c r="E2154">
        <v>9576</v>
      </c>
      <c r="F2154">
        <v>631786</v>
      </c>
    </row>
    <row r="2155" spans="1:6" x14ac:dyDescent="0.35">
      <c r="A2155" t="s">
        <v>805</v>
      </c>
      <c r="B2155" t="s">
        <v>266</v>
      </c>
      <c r="C2155">
        <v>1999</v>
      </c>
      <c r="E2155">
        <v>9600</v>
      </c>
      <c r="F2155">
        <v>609507</v>
      </c>
    </row>
    <row r="2156" spans="1:6" x14ac:dyDescent="0.35">
      <c r="A2156" t="s">
        <v>805</v>
      </c>
      <c r="B2156" t="s">
        <v>266</v>
      </c>
      <c r="C2156">
        <v>2000</v>
      </c>
      <c r="D2156">
        <v>5220</v>
      </c>
      <c r="E2156">
        <v>10661</v>
      </c>
      <c r="F2156">
        <v>627589</v>
      </c>
    </row>
    <row r="2157" spans="1:6" x14ac:dyDescent="0.35">
      <c r="A2157" t="s">
        <v>805</v>
      </c>
      <c r="B2157" t="s">
        <v>266</v>
      </c>
      <c r="C2157">
        <v>2001</v>
      </c>
      <c r="D2157">
        <v>4871</v>
      </c>
      <c r="E2157">
        <v>9940</v>
      </c>
      <c r="F2157">
        <v>547869</v>
      </c>
    </row>
    <row r="2158" spans="1:6" x14ac:dyDescent="0.35">
      <c r="A2158" t="s">
        <v>805</v>
      </c>
      <c r="B2158" t="s">
        <v>266</v>
      </c>
      <c r="C2158">
        <v>2002</v>
      </c>
      <c r="D2158">
        <v>4731</v>
      </c>
      <c r="E2158">
        <v>9633</v>
      </c>
      <c r="F2158">
        <v>483319</v>
      </c>
    </row>
    <row r="2159" spans="1:6" x14ac:dyDescent="0.35">
      <c r="A2159" t="s">
        <v>805</v>
      </c>
      <c r="B2159" t="s">
        <v>266</v>
      </c>
      <c r="C2159">
        <v>2003</v>
      </c>
      <c r="D2159">
        <v>4679</v>
      </c>
      <c r="E2159">
        <v>9784</v>
      </c>
      <c r="F2159">
        <v>480809</v>
      </c>
    </row>
    <row r="2160" spans="1:6" x14ac:dyDescent="0.35">
      <c r="A2160" t="s">
        <v>805</v>
      </c>
      <c r="B2160" t="s">
        <v>266</v>
      </c>
      <c r="C2160">
        <v>2004</v>
      </c>
      <c r="D2160">
        <v>4735</v>
      </c>
      <c r="E2160">
        <v>9888</v>
      </c>
      <c r="F2160">
        <v>463459</v>
      </c>
    </row>
    <row r="2161" spans="1:6" x14ac:dyDescent="0.35">
      <c r="A2161" t="s">
        <v>805</v>
      </c>
      <c r="B2161" t="s">
        <v>266</v>
      </c>
      <c r="C2161">
        <v>2005</v>
      </c>
      <c r="D2161">
        <v>4687</v>
      </c>
      <c r="E2161">
        <v>9470</v>
      </c>
      <c r="F2161">
        <v>425999</v>
      </c>
    </row>
    <row r="2162" spans="1:6" x14ac:dyDescent="0.35">
      <c r="A2162" t="s">
        <v>805</v>
      </c>
      <c r="B2162" t="s">
        <v>266</v>
      </c>
      <c r="C2162">
        <v>2006</v>
      </c>
      <c r="D2162">
        <v>4747</v>
      </c>
      <c r="E2162">
        <v>10758</v>
      </c>
      <c r="F2162">
        <v>437919</v>
      </c>
    </row>
    <row r="2163" spans="1:6" x14ac:dyDescent="0.35">
      <c r="A2163" t="s">
        <v>805</v>
      </c>
      <c r="B2163" t="s">
        <v>266</v>
      </c>
      <c r="C2163">
        <v>2007</v>
      </c>
      <c r="D2163">
        <v>6634</v>
      </c>
      <c r="E2163">
        <v>13354</v>
      </c>
      <c r="F2163">
        <v>480880</v>
      </c>
    </row>
    <row r="2164" spans="1:6" x14ac:dyDescent="0.35">
      <c r="A2164" t="s">
        <v>805</v>
      </c>
      <c r="B2164" t="s">
        <v>266</v>
      </c>
      <c r="C2164">
        <v>2008</v>
      </c>
      <c r="D2164">
        <v>6290</v>
      </c>
      <c r="E2164">
        <v>12653</v>
      </c>
      <c r="F2164">
        <v>450953</v>
      </c>
    </row>
    <row r="2165" spans="1:6" x14ac:dyDescent="0.35">
      <c r="A2165" t="s">
        <v>805</v>
      </c>
      <c r="B2165" t="s">
        <v>266</v>
      </c>
      <c r="C2165">
        <v>2009</v>
      </c>
      <c r="D2165">
        <v>5742</v>
      </c>
      <c r="E2165">
        <v>11905</v>
      </c>
      <c r="F2165">
        <v>430983</v>
      </c>
    </row>
    <row r="2166" spans="1:6" x14ac:dyDescent="0.35">
      <c r="A2166" t="s">
        <v>805</v>
      </c>
      <c r="B2166" t="s">
        <v>266</v>
      </c>
      <c r="C2166">
        <v>2010</v>
      </c>
      <c r="D2166">
        <v>6202</v>
      </c>
      <c r="E2166">
        <v>12633</v>
      </c>
      <c r="F2166">
        <v>455309</v>
      </c>
    </row>
    <row r="2167" spans="1:6" x14ac:dyDescent="0.35">
      <c r="A2167" t="s">
        <v>805</v>
      </c>
      <c r="B2167" t="s">
        <v>266</v>
      </c>
      <c r="C2167">
        <v>2011</v>
      </c>
      <c r="D2167">
        <v>6580</v>
      </c>
      <c r="E2167">
        <v>13583</v>
      </c>
      <c r="F2167">
        <v>457171</v>
      </c>
    </row>
    <row r="2168" spans="1:6" x14ac:dyDescent="0.35">
      <c r="A2168" t="s">
        <v>805</v>
      </c>
      <c r="B2168" t="s">
        <v>266</v>
      </c>
      <c r="C2168">
        <v>2012</v>
      </c>
      <c r="D2168">
        <v>7576</v>
      </c>
      <c r="E2168">
        <v>15321</v>
      </c>
      <c r="F2168">
        <v>468608</v>
      </c>
    </row>
    <row r="2169" spans="1:6" x14ac:dyDescent="0.35">
      <c r="A2169" t="s">
        <v>805</v>
      </c>
      <c r="B2169" t="s">
        <v>266</v>
      </c>
      <c r="C2169">
        <v>2013</v>
      </c>
      <c r="D2169">
        <v>6878</v>
      </c>
      <c r="E2169">
        <v>14115</v>
      </c>
      <c r="F2169">
        <v>421837</v>
      </c>
    </row>
    <row r="2170" spans="1:6" x14ac:dyDescent="0.35">
      <c r="A2170" t="s">
        <v>805</v>
      </c>
      <c r="B2170" t="s">
        <v>266</v>
      </c>
      <c r="C2170">
        <v>2014</v>
      </c>
      <c r="D2170">
        <v>7364</v>
      </c>
      <c r="E2170">
        <v>14898</v>
      </c>
      <c r="F2170">
        <v>420013</v>
      </c>
    </row>
    <row r="2171" spans="1:6" x14ac:dyDescent="0.35">
      <c r="A2171" t="s">
        <v>805</v>
      </c>
      <c r="B2171" t="s">
        <v>266</v>
      </c>
      <c r="C2171">
        <v>2015</v>
      </c>
      <c r="D2171">
        <v>7811</v>
      </c>
      <c r="E2171">
        <v>15774</v>
      </c>
      <c r="F2171">
        <v>421988</v>
      </c>
    </row>
    <row r="2172" spans="1:6" x14ac:dyDescent="0.35">
      <c r="A2172" t="s">
        <v>805</v>
      </c>
      <c r="B2172" t="s">
        <v>266</v>
      </c>
      <c r="C2172">
        <v>2016</v>
      </c>
      <c r="D2172">
        <v>7573</v>
      </c>
      <c r="E2172">
        <v>15284</v>
      </c>
      <c r="F2172">
        <v>390251</v>
      </c>
    </row>
    <row r="2173" spans="1:6" x14ac:dyDescent="0.35">
      <c r="A2173" t="s">
        <v>805</v>
      </c>
      <c r="B2173" t="s">
        <v>266</v>
      </c>
      <c r="C2173">
        <v>2017</v>
      </c>
      <c r="D2173">
        <v>6742</v>
      </c>
      <c r="E2173">
        <v>13620</v>
      </c>
      <c r="F2173">
        <v>343607</v>
      </c>
    </row>
    <row r="2174" spans="1:6" x14ac:dyDescent="0.35">
      <c r="A2174" t="s">
        <v>805</v>
      </c>
      <c r="B2174" t="s">
        <v>266</v>
      </c>
      <c r="C2174">
        <v>2018</v>
      </c>
      <c r="D2174">
        <v>6594</v>
      </c>
      <c r="E2174">
        <v>13323</v>
      </c>
      <c r="F2174">
        <v>312713</v>
      </c>
    </row>
    <row r="2175" spans="1:6" x14ac:dyDescent="0.35">
      <c r="A2175" t="s">
        <v>805</v>
      </c>
      <c r="B2175" t="s">
        <v>266</v>
      </c>
      <c r="C2175">
        <v>2019</v>
      </c>
      <c r="D2175">
        <v>6721</v>
      </c>
      <c r="E2175">
        <v>13573</v>
      </c>
      <c r="F2175">
        <v>288407</v>
      </c>
    </row>
    <row r="2176" spans="1:6" x14ac:dyDescent="0.35">
      <c r="A2176" t="s">
        <v>805</v>
      </c>
      <c r="B2176" t="s">
        <v>266</v>
      </c>
      <c r="C2176">
        <v>2020</v>
      </c>
      <c r="D2176">
        <v>6409</v>
      </c>
      <c r="E2176">
        <v>12938</v>
      </c>
      <c r="F2176">
        <v>258845</v>
      </c>
    </row>
    <row r="2177" spans="1:4" x14ac:dyDescent="0.35">
      <c r="A2177" t="s">
        <v>268</v>
      </c>
      <c r="B2177" t="s">
        <v>269</v>
      </c>
      <c r="C2177">
        <v>1945</v>
      </c>
      <c r="D2177">
        <v>610</v>
      </c>
    </row>
    <row r="2178" spans="1:4" x14ac:dyDescent="0.35">
      <c r="A2178" t="s">
        <v>268</v>
      </c>
      <c r="C2178">
        <v>1946</v>
      </c>
    </row>
    <row r="2179" spans="1:4" x14ac:dyDescent="0.35">
      <c r="A2179" t="s">
        <v>268</v>
      </c>
      <c r="C2179">
        <v>1947</v>
      </c>
    </row>
    <row r="2180" spans="1:4" x14ac:dyDescent="0.35">
      <c r="A2180" t="s">
        <v>268</v>
      </c>
      <c r="C2180">
        <v>1948</v>
      </c>
    </row>
    <row r="2181" spans="1:4" x14ac:dyDescent="0.35">
      <c r="A2181" t="s">
        <v>268</v>
      </c>
      <c r="C2181">
        <v>1949</v>
      </c>
    </row>
    <row r="2182" spans="1:4" x14ac:dyDescent="0.35">
      <c r="A2182" t="s">
        <v>268</v>
      </c>
      <c r="B2182" t="s">
        <v>269</v>
      </c>
      <c r="C2182">
        <v>1950</v>
      </c>
      <c r="D2182">
        <v>872</v>
      </c>
    </row>
    <row r="2183" spans="1:4" x14ac:dyDescent="0.35">
      <c r="A2183" t="s">
        <v>268</v>
      </c>
      <c r="C2183">
        <v>1951</v>
      </c>
    </row>
    <row r="2184" spans="1:4" x14ac:dyDescent="0.35">
      <c r="A2184" t="s">
        <v>268</v>
      </c>
      <c r="C2184">
        <v>1952</v>
      </c>
    </row>
    <row r="2185" spans="1:4" x14ac:dyDescent="0.35">
      <c r="A2185" t="s">
        <v>268</v>
      </c>
      <c r="C2185">
        <v>1953</v>
      </c>
    </row>
    <row r="2186" spans="1:4" x14ac:dyDescent="0.35">
      <c r="A2186" t="s">
        <v>268</v>
      </c>
      <c r="C2186">
        <v>1954</v>
      </c>
    </row>
    <row r="2187" spans="1:4" x14ac:dyDescent="0.35">
      <c r="A2187" t="s">
        <v>268</v>
      </c>
      <c r="B2187" t="s">
        <v>269</v>
      </c>
      <c r="C2187">
        <v>1955</v>
      </c>
      <c r="D2187">
        <v>790</v>
      </c>
    </row>
    <row r="2188" spans="1:4" x14ac:dyDescent="0.35">
      <c r="A2188" t="s">
        <v>268</v>
      </c>
      <c r="C2188">
        <v>1956</v>
      </c>
    </row>
    <row r="2189" spans="1:4" x14ac:dyDescent="0.35">
      <c r="A2189" t="s">
        <v>268</v>
      </c>
      <c r="C2189">
        <v>1957</v>
      </c>
    </row>
    <row r="2190" spans="1:4" x14ac:dyDescent="0.35">
      <c r="A2190" t="s">
        <v>268</v>
      </c>
      <c r="C2190">
        <v>1958</v>
      </c>
    </row>
    <row r="2191" spans="1:4" x14ac:dyDescent="0.35">
      <c r="A2191" t="s">
        <v>268</v>
      </c>
      <c r="C2191">
        <v>1959</v>
      </c>
    </row>
    <row r="2192" spans="1:4" x14ac:dyDescent="0.35">
      <c r="A2192" t="s">
        <v>268</v>
      </c>
      <c r="B2192" t="s">
        <v>269</v>
      </c>
      <c r="C2192">
        <v>1960</v>
      </c>
      <c r="D2192">
        <v>844</v>
      </c>
    </row>
    <row r="2193" spans="1:4" x14ac:dyDescent="0.35">
      <c r="A2193" t="s">
        <v>268</v>
      </c>
      <c r="C2193">
        <v>1961</v>
      </c>
    </row>
    <row r="2194" spans="1:4" x14ac:dyDescent="0.35">
      <c r="A2194" t="s">
        <v>268</v>
      </c>
      <c r="C2194">
        <v>1962</v>
      </c>
    </row>
    <row r="2195" spans="1:4" x14ac:dyDescent="0.35">
      <c r="A2195" t="s">
        <v>268</v>
      </c>
      <c r="C2195">
        <v>1963</v>
      </c>
    </row>
    <row r="2196" spans="1:4" x14ac:dyDescent="0.35">
      <c r="A2196" t="s">
        <v>268</v>
      </c>
      <c r="C2196">
        <v>1964</v>
      </c>
    </row>
    <row r="2197" spans="1:4" x14ac:dyDescent="0.35">
      <c r="A2197" t="s">
        <v>268</v>
      </c>
      <c r="B2197" t="s">
        <v>269</v>
      </c>
      <c r="C2197">
        <v>1965</v>
      </c>
      <c r="D2197">
        <v>738</v>
      </c>
    </row>
    <row r="2198" spans="1:4" x14ac:dyDescent="0.35">
      <c r="A2198" t="s">
        <v>268</v>
      </c>
      <c r="B2198" t="s">
        <v>269</v>
      </c>
      <c r="C2198">
        <v>1966</v>
      </c>
      <c r="D2198">
        <v>709</v>
      </c>
    </row>
    <row r="2199" spans="1:4" x14ac:dyDescent="0.35">
      <c r="A2199" t="s">
        <v>268</v>
      </c>
      <c r="B2199" t="s">
        <v>269</v>
      </c>
      <c r="C2199">
        <v>1967</v>
      </c>
      <c r="D2199">
        <v>652</v>
      </c>
    </row>
    <row r="2200" spans="1:4" x14ac:dyDescent="0.35">
      <c r="A2200" t="s">
        <v>268</v>
      </c>
      <c r="B2200" t="s">
        <v>269</v>
      </c>
      <c r="C2200">
        <v>1968</v>
      </c>
      <c r="D2200">
        <v>605</v>
      </c>
    </row>
    <row r="2201" spans="1:4" x14ac:dyDescent="0.35">
      <c r="A2201" t="s">
        <v>268</v>
      </c>
      <c r="B2201" t="s">
        <v>269</v>
      </c>
      <c r="C2201">
        <v>1969</v>
      </c>
      <c r="D2201">
        <v>602</v>
      </c>
    </row>
    <row r="2202" spans="1:4" x14ac:dyDescent="0.35">
      <c r="A2202" t="s">
        <v>268</v>
      </c>
      <c r="B2202" t="s">
        <v>269</v>
      </c>
      <c r="C2202">
        <v>1970</v>
      </c>
      <c r="D2202">
        <v>647</v>
      </c>
    </row>
    <row r="2203" spans="1:4" x14ac:dyDescent="0.35">
      <c r="A2203" t="s">
        <v>268</v>
      </c>
      <c r="B2203" t="s">
        <v>269</v>
      </c>
      <c r="C2203">
        <v>1971</v>
      </c>
      <c r="D2203">
        <v>564</v>
      </c>
    </row>
    <row r="2204" spans="1:4" x14ac:dyDescent="0.35">
      <c r="A2204" t="s">
        <v>268</v>
      </c>
      <c r="B2204" t="s">
        <v>269</v>
      </c>
      <c r="C2204">
        <v>1972</v>
      </c>
      <c r="D2204">
        <v>613</v>
      </c>
    </row>
    <row r="2205" spans="1:4" x14ac:dyDescent="0.35">
      <c r="A2205" t="s">
        <v>268</v>
      </c>
      <c r="B2205" t="s">
        <v>269</v>
      </c>
      <c r="C2205">
        <v>1973</v>
      </c>
      <c r="D2205">
        <v>528</v>
      </c>
    </row>
    <row r="2206" spans="1:4" x14ac:dyDescent="0.35">
      <c r="A2206" t="s">
        <v>268</v>
      </c>
      <c r="B2206" t="s">
        <v>269</v>
      </c>
      <c r="C2206">
        <v>1974</v>
      </c>
      <c r="D2206">
        <v>502</v>
      </c>
    </row>
    <row r="2207" spans="1:4" x14ac:dyDescent="0.35">
      <c r="A2207" t="s">
        <v>268</v>
      </c>
      <c r="B2207" t="s">
        <v>269</v>
      </c>
      <c r="C2207">
        <v>1975</v>
      </c>
      <c r="D2207">
        <v>456</v>
      </c>
    </row>
    <row r="2208" spans="1:4" x14ac:dyDescent="0.35">
      <c r="A2208" t="s">
        <v>268</v>
      </c>
      <c r="B2208" t="s">
        <v>269</v>
      </c>
      <c r="C2208">
        <v>1976</v>
      </c>
      <c r="D2208">
        <v>499</v>
      </c>
    </row>
    <row r="2209" spans="1:4" x14ac:dyDescent="0.35">
      <c r="A2209" t="s">
        <v>268</v>
      </c>
      <c r="B2209" t="s">
        <v>269</v>
      </c>
      <c r="C2209">
        <v>1977</v>
      </c>
      <c r="D2209">
        <v>442</v>
      </c>
    </row>
    <row r="2210" spans="1:4" x14ac:dyDescent="0.35">
      <c r="A2210" t="s">
        <v>268</v>
      </c>
      <c r="B2210" t="s">
        <v>269</v>
      </c>
      <c r="C2210">
        <v>1978</v>
      </c>
      <c r="D2210">
        <v>556</v>
      </c>
    </row>
    <row r="2211" spans="1:4" x14ac:dyDescent="0.35">
      <c r="A2211" t="s">
        <v>268</v>
      </c>
      <c r="B2211" t="s">
        <v>269</v>
      </c>
      <c r="C2211">
        <v>1979</v>
      </c>
      <c r="D2211">
        <v>461</v>
      </c>
    </row>
    <row r="2212" spans="1:4" x14ac:dyDescent="0.35">
      <c r="A2212" t="s">
        <v>268</v>
      </c>
      <c r="B2212" t="s">
        <v>269</v>
      </c>
      <c r="C2212">
        <v>1980</v>
      </c>
      <c r="D2212">
        <v>413</v>
      </c>
    </row>
    <row r="2213" spans="1:4" x14ac:dyDescent="0.35">
      <c r="A2213" t="s">
        <v>268</v>
      </c>
      <c r="B2213" t="s">
        <v>269</v>
      </c>
      <c r="C2213">
        <v>1981</v>
      </c>
      <c r="D2213">
        <v>391</v>
      </c>
    </row>
    <row r="2214" spans="1:4" x14ac:dyDescent="0.35">
      <c r="A2214" t="s">
        <v>268</v>
      </c>
      <c r="B2214" t="s">
        <v>269</v>
      </c>
      <c r="C2214">
        <v>1982</v>
      </c>
      <c r="D2214">
        <v>410</v>
      </c>
    </row>
    <row r="2215" spans="1:4" x14ac:dyDescent="0.35">
      <c r="A2215" t="s">
        <v>268</v>
      </c>
      <c r="B2215" t="s">
        <v>269</v>
      </c>
      <c r="C2215">
        <v>1983</v>
      </c>
      <c r="D2215">
        <v>459</v>
      </c>
    </row>
    <row r="2216" spans="1:4" x14ac:dyDescent="0.35">
      <c r="A2216" t="s">
        <v>268</v>
      </c>
      <c r="B2216" t="s">
        <v>269</v>
      </c>
      <c r="C2216">
        <v>1984</v>
      </c>
      <c r="D2216">
        <v>387</v>
      </c>
    </row>
    <row r="2217" spans="1:4" x14ac:dyDescent="0.35">
      <c r="A2217" t="s">
        <v>268</v>
      </c>
      <c r="B2217" t="s">
        <v>269</v>
      </c>
      <c r="C2217">
        <v>1985</v>
      </c>
      <c r="D2217">
        <v>468</v>
      </c>
    </row>
    <row r="2218" spans="1:4" x14ac:dyDescent="0.35">
      <c r="A2218" t="s">
        <v>268</v>
      </c>
      <c r="B2218" t="s">
        <v>269</v>
      </c>
      <c r="C2218">
        <v>1986</v>
      </c>
      <c r="D2218">
        <v>512</v>
      </c>
    </row>
    <row r="2219" spans="1:4" x14ac:dyDescent="0.35">
      <c r="A2219" t="s">
        <v>268</v>
      </c>
      <c r="B2219" t="s">
        <v>269</v>
      </c>
      <c r="C2219">
        <v>1987</v>
      </c>
      <c r="D2219">
        <v>530</v>
      </c>
    </row>
    <row r="2220" spans="1:4" x14ac:dyDescent="0.35">
      <c r="A2220" t="s">
        <v>268</v>
      </c>
      <c r="B2220" t="s">
        <v>269</v>
      </c>
      <c r="C2220">
        <v>1988</v>
      </c>
      <c r="D2220">
        <v>482</v>
      </c>
    </row>
    <row r="2221" spans="1:4" x14ac:dyDescent="0.35">
      <c r="A2221" t="s">
        <v>268</v>
      </c>
      <c r="B2221" t="s">
        <v>269</v>
      </c>
      <c r="C2221">
        <v>1989</v>
      </c>
      <c r="D2221">
        <v>426</v>
      </c>
    </row>
    <row r="2222" spans="1:4" x14ac:dyDescent="0.35">
      <c r="A2222" t="s">
        <v>268</v>
      </c>
      <c r="B2222" t="s">
        <v>269</v>
      </c>
      <c r="C2222">
        <v>1990</v>
      </c>
      <c r="D2222">
        <v>447</v>
      </c>
    </row>
    <row r="2223" spans="1:4" x14ac:dyDescent="0.35">
      <c r="A2223" t="s">
        <v>268</v>
      </c>
      <c r="B2223" t="s">
        <v>269</v>
      </c>
      <c r="C2223">
        <v>1991</v>
      </c>
      <c r="D2223">
        <v>488</v>
      </c>
    </row>
    <row r="2224" spans="1:4" x14ac:dyDescent="0.35">
      <c r="A2224" t="s">
        <v>268</v>
      </c>
      <c r="B2224" t="s">
        <v>269</v>
      </c>
      <c r="C2224">
        <v>1992</v>
      </c>
      <c r="D2224">
        <v>462</v>
      </c>
    </row>
    <row r="2225" spans="1:4" x14ac:dyDescent="0.35">
      <c r="A2225" t="s">
        <v>268</v>
      </c>
      <c r="B2225" t="s">
        <v>269</v>
      </c>
      <c r="C2225">
        <v>1993</v>
      </c>
      <c r="D2225">
        <v>423</v>
      </c>
    </row>
    <row r="2226" spans="1:4" x14ac:dyDescent="0.35">
      <c r="A2226" t="s">
        <v>268</v>
      </c>
      <c r="B2226" t="s">
        <v>269</v>
      </c>
      <c r="C2226">
        <v>1994</v>
      </c>
      <c r="D2226">
        <v>399</v>
      </c>
    </row>
    <row r="2227" spans="1:4" x14ac:dyDescent="0.35">
      <c r="A2227" t="s">
        <v>268</v>
      </c>
      <c r="B2227" t="s">
        <v>269</v>
      </c>
      <c r="C2227">
        <v>1995</v>
      </c>
      <c r="D2227">
        <v>365</v>
      </c>
    </row>
    <row r="2228" spans="1:4" x14ac:dyDescent="0.35">
      <c r="A2228" t="s">
        <v>268</v>
      </c>
      <c r="B2228" t="s">
        <v>269</v>
      </c>
      <c r="C2228">
        <v>1996</v>
      </c>
      <c r="D2228">
        <v>386</v>
      </c>
    </row>
    <row r="2229" spans="1:4" x14ac:dyDescent="0.35">
      <c r="A2229" t="s">
        <v>268</v>
      </c>
      <c r="B2229" t="s">
        <v>269</v>
      </c>
      <c r="C2229">
        <v>1997</v>
      </c>
      <c r="D2229">
        <v>353</v>
      </c>
    </row>
    <row r="2230" spans="1:4" x14ac:dyDescent="0.35">
      <c r="A2230" t="s">
        <v>268</v>
      </c>
      <c r="B2230" t="s">
        <v>269</v>
      </c>
      <c r="C2230">
        <v>1998</v>
      </c>
      <c r="D2230">
        <v>383</v>
      </c>
    </row>
    <row r="2231" spans="1:4" x14ac:dyDescent="0.35">
      <c r="A2231" t="s">
        <v>268</v>
      </c>
      <c r="B2231" t="s">
        <v>269</v>
      </c>
      <c r="C2231">
        <v>1999</v>
      </c>
      <c r="D2231">
        <v>378</v>
      </c>
    </row>
    <row r="2232" spans="1:4" x14ac:dyDescent="0.35">
      <c r="A2232" t="s">
        <v>268</v>
      </c>
      <c r="B2232" t="s">
        <v>269</v>
      </c>
      <c r="C2232">
        <v>2000</v>
      </c>
      <c r="D2232">
        <v>337</v>
      </c>
    </row>
    <row r="2233" spans="1:4" x14ac:dyDescent="0.35">
      <c r="A2233" t="s">
        <v>268</v>
      </c>
      <c r="B2233" t="s">
        <v>269</v>
      </c>
      <c r="C2233">
        <v>2001</v>
      </c>
      <c r="D2233">
        <v>300</v>
      </c>
    </row>
    <row r="2234" spans="1:4" x14ac:dyDescent="0.35">
      <c r="A2234" t="s">
        <v>268</v>
      </c>
      <c r="B2234" t="s">
        <v>269</v>
      </c>
      <c r="C2234">
        <v>2002</v>
      </c>
      <c r="D2234">
        <v>322</v>
      </c>
    </row>
    <row r="2235" spans="1:4" x14ac:dyDescent="0.35">
      <c r="A2235" t="s">
        <v>268</v>
      </c>
      <c r="B2235" t="s">
        <v>269</v>
      </c>
      <c r="C2235">
        <v>2003</v>
      </c>
      <c r="D2235">
        <v>351</v>
      </c>
    </row>
    <row r="2236" spans="1:4" x14ac:dyDescent="0.35">
      <c r="A2236" t="s">
        <v>268</v>
      </c>
      <c r="B2236" t="s">
        <v>269</v>
      </c>
      <c r="C2236">
        <v>2004</v>
      </c>
      <c r="D2236">
        <v>318</v>
      </c>
    </row>
    <row r="2237" spans="1:4" x14ac:dyDescent="0.35">
      <c r="A2237" t="s">
        <v>268</v>
      </c>
      <c r="B2237" t="s">
        <v>269</v>
      </c>
      <c r="C2237">
        <v>2005</v>
      </c>
      <c r="D2237">
        <v>306</v>
      </c>
    </row>
    <row r="2238" spans="1:4" x14ac:dyDescent="0.35">
      <c r="A2238" t="s">
        <v>268</v>
      </c>
      <c r="B2238" t="s">
        <v>269</v>
      </c>
      <c r="C2238">
        <v>2006</v>
      </c>
      <c r="D2238">
        <v>307</v>
      </c>
    </row>
    <row r="2239" spans="1:4" x14ac:dyDescent="0.35">
      <c r="A2239" t="s">
        <v>268</v>
      </c>
      <c r="B2239" t="s">
        <v>269</v>
      </c>
      <c r="C2239">
        <v>2007</v>
      </c>
      <c r="D2239">
        <v>327</v>
      </c>
    </row>
    <row r="2240" spans="1:4" x14ac:dyDescent="0.35">
      <c r="A2240" t="s">
        <v>268</v>
      </c>
      <c r="B2240" t="s">
        <v>269</v>
      </c>
      <c r="C2240">
        <v>2008</v>
      </c>
      <c r="D2240">
        <v>366</v>
      </c>
    </row>
    <row r="2241" spans="1:4" x14ac:dyDescent="0.35">
      <c r="A2241" t="s">
        <v>268</v>
      </c>
      <c r="B2241" t="s">
        <v>269</v>
      </c>
      <c r="C2241">
        <v>2009</v>
      </c>
      <c r="D2241">
        <v>412</v>
      </c>
    </row>
    <row r="2242" spans="1:4" x14ac:dyDescent="0.35">
      <c r="A2242" t="s">
        <v>268</v>
      </c>
      <c r="B2242" t="s">
        <v>269</v>
      </c>
      <c r="C2242">
        <v>2010</v>
      </c>
      <c r="D2242">
        <v>381</v>
      </c>
    </row>
    <row r="2243" spans="1:4" x14ac:dyDescent="0.35">
      <c r="A2243" t="s">
        <v>268</v>
      </c>
      <c r="B2243" t="s">
        <v>269</v>
      </c>
      <c r="C2243">
        <v>2011</v>
      </c>
      <c r="D2243">
        <v>323</v>
      </c>
    </row>
    <row r="2244" spans="1:4" x14ac:dyDescent="0.35">
      <c r="A2244" t="s">
        <v>268</v>
      </c>
      <c r="B2244" t="s">
        <v>269</v>
      </c>
      <c r="C2244">
        <v>2012</v>
      </c>
      <c r="D2244">
        <v>347</v>
      </c>
    </row>
    <row r="2245" spans="1:4" x14ac:dyDescent="0.35">
      <c r="A2245" t="s">
        <v>268</v>
      </c>
      <c r="B2245" t="s">
        <v>269</v>
      </c>
      <c r="C2245">
        <v>2013</v>
      </c>
      <c r="D2245">
        <v>353</v>
      </c>
    </row>
    <row r="2246" spans="1:4" x14ac:dyDescent="0.35">
      <c r="A2246" t="s">
        <v>268</v>
      </c>
      <c r="B2246" t="s">
        <v>269</v>
      </c>
      <c r="C2246">
        <v>2014</v>
      </c>
      <c r="D2246">
        <v>338</v>
      </c>
    </row>
    <row r="2247" spans="1:4" x14ac:dyDescent="0.35">
      <c r="A2247" t="s">
        <v>268</v>
      </c>
      <c r="B2247" t="s">
        <v>269</v>
      </c>
      <c r="C2247">
        <v>2015</v>
      </c>
      <c r="D2247">
        <v>416</v>
      </c>
    </row>
    <row r="2248" spans="1:4" x14ac:dyDescent="0.35">
      <c r="A2248" t="s">
        <v>268</v>
      </c>
      <c r="B2248" t="s">
        <v>269</v>
      </c>
      <c r="C2248">
        <v>2016</v>
      </c>
      <c r="D2248">
        <v>379</v>
      </c>
    </row>
    <row r="2249" spans="1:4" x14ac:dyDescent="0.35">
      <c r="A2249" t="s">
        <v>268</v>
      </c>
      <c r="B2249" t="s">
        <v>269</v>
      </c>
      <c r="C2249">
        <v>2017</v>
      </c>
      <c r="D2249">
        <v>384</v>
      </c>
    </row>
    <row r="2250" spans="1:4" x14ac:dyDescent="0.35">
      <c r="A2250" t="s">
        <v>268</v>
      </c>
      <c r="B2250" t="s">
        <v>269</v>
      </c>
      <c r="C2250">
        <v>2018</v>
      </c>
      <c r="D2250">
        <v>387</v>
      </c>
    </row>
    <row r="2251" spans="1:4" x14ac:dyDescent="0.35">
      <c r="A2251" t="s">
        <v>268</v>
      </c>
      <c r="B2251" t="s">
        <v>269</v>
      </c>
      <c r="C2251">
        <v>2019</v>
      </c>
      <c r="D2251">
        <v>372</v>
      </c>
    </row>
    <row r="2252" spans="1:4" x14ac:dyDescent="0.35">
      <c r="A2252" t="s">
        <v>268</v>
      </c>
      <c r="B2252" t="s">
        <v>269</v>
      </c>
      <c r="C2252">
        <v>2020</v>
      </c>
      <c r="D2252">
        <v>429</v>
      </c>
    </row>
    <row r="2253" spans="1:4" x14ac:dyDescent="0.35">
      <c r="A2253" t="s">
        <v>270</v>
      </c>
      <c r="B2253" t="s">
        <v>271</v>
      </c>
      <c r="C2253">
        <v>1900</v>
      </c>
      <c r="D2253">
        <v>1979</v>
      </c>
    </row>
    <row r="2254" spans="1:4" x14ac:dyDescent="0.35">
      <c r="A2254" t="s">
        <v>270</v>
      </c>
      <c r="B2254" t="s">
        <v>271</v>
      </c>
      <c r="C2254">
        <v>1901</v>
      </c>
      <c r="D2254">
        <v>2044</v>
      </c>
    </row>
    <row r="2255" spans="1:4" x14ac:dyDescent="0.35">
      <c r="A2255" t="s">
        <v>270</v>
      </c>
      <c r="B2255" t="s">
        <v>271</v>
      </c>
      <c r="C2255">
        <v>1902</v>
      </c>
      <c r="D2255">
        <v>2182</v>
      </c>
    </row>
    <row r="2256" spans="1:4" x14ac:dyDescent="0.35">
      <c r="A2256" t="s">
        <v>270</v>
      </c>
      <c r="B2256" t="s">
        <v>271</v>
      </c>
      <c r="C2256">
        <v>1903</v>
      </c>
      <c r="D2256">
        <v>2291</v>
      </c>
    </row>
    <row r="2257" spans="1:4" x14ac:dyDescent="0.35">
      <c r="A2257" t="s">
        <v>270</v>
      </c>
      <c r="B2257" t="s">
        <v>271</v>
      </c>
      <c r="C2257">
        <v>1904</v>
      </c>
      <c r="D2257">
        <v>2149</v>
      </c>
    </row>
    <row r="2258" spans="1:4" x14ac:dyDescent="0.35">
      <c r="A2258" t="s">
        <v>270</v>
      </c>
      <c r="B2258" t="s">
        <v>271</v>
      </c>
      <c r="C2258">
        <v>1905</v>
      </c>
      <c r="D2258">
        <v>2295</v>
      </c>
    </row>
    <row r="2259" spans="1:4" x14ac:dyDescent="0.35">
      <c r="A2259" t="s">
        <v>270</v>
      </c>
      <c r="B2259" t="s">
        <v>271</v>
      </c>
      <c r="C2259">
        <v>1906</v>
      </c>
      <c r="D2259">
        <v>2434</v>
      </c>
    </row>
    <row r="2260" spans="1:4" x14ac:dyDescent="0.35">
      <c r="A2260" t="s">
        <v>270</v>
      </c>
      <c r="B2260" t="s">
        <v>271</v>
      </c>
      <c r="C2260">
        <v>1907</v>
      </c>
      <c r="D2260">
        <v>2444</v>
      </c>
    </row>
    <row r="2261" spans="1:4" x14ac:dyDescent="0.35">
      <c r="A2261" t="s">
        <v>270</v>
      </c>
      <c r="B2261" t="s">
        <v>271</v>
      </c>
      <c r="C2261">
        <v>1908</v>
      </c>
      <c r="D2261">
        <v>2444</v>
      </c>
    </row>
    <row r="2262" spans="1:4" x14ac:dyDescent="0.35">
      <c r="A2262" t="s">
        <v>270</v>
      </c>
      <c r="B2262" t="s">
        <v>271</v>
      </c>
      <c r="C2262">
        <v>1909</v>
      </c>
      <c r="D2262">
        <v>2490</v>
      </c>
    </row>
    <row r="2263" spans="1:4" x14ac:dyDescent="0.35">
      <c r="A2263" t="s">
        <v>270</v>
      </c>
      <c r="B2263" t="s">
        <v>271</v>
      </c>
      <c r="C2263">
        <v>1910</v>
      </c>
      <c r="D2263">
        <v>2380</v>
      </c>
    </row>
    <row r="2264" spans="1:4" x14ac:dyDescent="0.35">
      <c r="A2264" t="s">
        <v>270</v>
      </c>
      <c r="B2264" t="s">
        <v>271</v>
      </c>
      <c r="C2264">
        <v>1911</v>
      </c>
      <c r="D2264">
        <v>2356</v>
      </c>
    </row>
    <row r="2265" spans="1:4" x14ac:dyDescent="0.35">
      <c r="A2265" t="s">
        <v>270</v>
      </c>
      <c r="B2265" t="s">
        <v>271</v>
      </c>
      <c r="C2265">
        <v>1912</v>
      </c>
      <c r="D2265">
        <v>2411</v>
      </c>
    </row>
    <row r="2266" spans="1:4" x14ac:dyDescent="0.35">
      <c r="A2266" t="s">
        <v>270</v>
      </c>
      <c r="B2266" t="s">
        <v>271</v>
      </c>
      <c r="C2266">
        <v>1913</v>
      </c>
      <c r="D2266">
        <v>2414</v>
      </c>
    </row>
    <row r="2267" spans="1:4" x14ac:dyDescent="0.35">
      <c r="A2267" t="s">
        <v>270</v>
      </c>
      <c r="B2267" t="s">
        <v>271</v>
      </c>
      <c r="C2267">
        <v>1914</v>
      </c>
      <c r="D2267">
        <v>2368</v>
      </c>
    </row>
    <row r="2268" spans="1:4" x14ac:dyDescent="0.35">
      <c r="A2268" t="s">
        <v>270</v>
      </c>
      <c r="B2268" t="s">
        <v>271</v>
      </c>
      <c r="C2268">
        <v>1915</v>
      </c>
      <c r="D2268">
        <v>2337</v>
      </c>
    </row>
    <row r="2269" spans="1:4" x14ac:dyDescent="0.35">
      <c r="A2269" t="s">
        <v>270</v>
      </c>
      <c r="B2269" t="s">
        <v>271</v>
      </c>
      <c r="C2269">
        <v>1916</v>
      </c>
      <c r="D2269">
        <v>2319</v>
      </c>
    </row>
    <row r="2270" spans="1:4" x14ac:dyDescent="0.35">
      <c r="A2270" t="s">
        <v>270</v>
      </c>
      <c r="B2270" t="s">
        <v>271</v>
      </c>
      <c r="C2270">
        <v>1917</v>
      </c>
      <c r="D2270">
        <v>2420</v>
      </c>
    </row>
    <row r="2271" spans="1:4" x14ac:dyDescent="0.35">
      <c r="A2271" t="s">
        <v>270</v>
      </c>
      <c r="B2271" t="s">
        <v>271</v>
      </c>
      <c r="C2271">
        <v>1918</v>
      </c>
      <c r="D2271">
        <v>2256</v>
      </c>
    </row>
    <row r="2272" spans="1:4" x14ac:dyDescent="0.35">
      <c r="A2272" t="s">
        <v>270</v>
      </c>
      <c r="B2272" t="s">
        <v>271</v>
      </c>
      <c r="C2272">
        <v>1919</v>
      </c>
      <c r="D2272">
        <v>2178</v>
      </c>
    </row>
    <row r="2273" spans="1:4" x14ac:dyDescent="0.35">
      <c r="A2273" t="s">
        <v>270</v>
      </c>
      <c r="B2273" t="s">
        <v>271</v>
      </c>
      <c r="C2273">
        <v>1920</v>
      </c>
      <c r="D2273">
        <v>2842</v>
      </c>
    </row>
    <row r="2274" spans="1:4" x14ac:dyDescent="0.35">
      <c r="A2274" t="s">
        <v>270</v>
      </c>
      <c r="B2274" t="s">
        <v>271</v>
      </c>
      <c r="C2274">
        <v>1921</v>
      </c>
      <c r="D2274">
        <v>2699</v>
      </c>
    </row>
    <row r="2275" spans="1:4" x14ac:dyDescent="0.35">
      <c r="A2275" t="s">
        <v>270</v>
      </c>
      <c r="B2275" t="s">
        <v>271</v>
      </c>
      <c r="C2275">
        <v>1922</v>
      </c>
      <c r="D2275">
        <v>2465</v>
      </c>
    </row>
    <row r="2276" spans="1:4" x14ac:dyDescent="0.35">
      <c r="A2276" t="s">
        <v>270</v>
      </c>
      <c r="B2276" t="s">
        <v>271</v>
      </c>
      <c r="C2276">
        <v>1923</v>
      </c>
      <c r="D2276">
        <v>2537</v>
      </c>
    </row>
    <row r="2277" spans="1:4" x14ac:dyDescent="0.35">
      <c r="A2277" t="s">
        <v>270</v>
      </c>
      <c r="B2277" t="s">
        <v>271</v>
      </c>
      <c r="C2277">
        <v>1924</v>
      </c>
      <c r="D2277">
        <v>2479</v>
      </c>
    </row>
    <row r="2278" spans="1:4" x14ac:dyDescent="0.35">
      <c r="A2278" t="s">
        <v>270</v>
      </c>
      <c r="B2278" t="s">
        <v>271</v>
      </c>
      <c r="C2278">
        <v>1925</v>
      </c>
      <c r="D2278">
        <v>2395</v>
      </c>
    </row>
    <row r="2279" spans="1:4" x14ac:dyDescent="0.35">
      <c r="A2279" t="s">
        <v>270</v>
      </c>
      <c r="B2279" t="s">
        <v>271</v>
      </c>
      <c r="C2279">
        <v>1926</v>
      </c>
      <c r="D2279">
        <v>2355</v>
      </c>
    </row>
    <row r="2280" spans="1:4" x14ac:dyDescent="0.35">
      <c r="A2280" t="s">
        <v>270</v>
      </c>
      <c r="B2280" t="s">
        <v>271</v>
      </c>
      <c r="C2280">
        <v>1927</v>
      </c>
      <c r="D2280">
        <v>2380</v>
      </c>
    </row>
    <row r="2281" spans="1:4" x14ac:dyDescent="0.35">
      <c r="A2281" t="s">
        <v>270</v>
      </c>
      <c r="B2281" t="s">
        <v>271</v>
      </c>
      <c r="C2281">
        <v>1928</v>
      </c>
      <c r="D2281">
        <v>2471</v>
      </c>
    </row>
    <row r="2282" spans="1:4" x14ac:dyDescent="0.35">
      <c r="A2282" t="s">
        <v>270</v>
      </c>
      <c r="B2282" t="s">
        <v>271</v>
      </c>
      <c r="C2282">
        <v>1929</v>
      </c>
      <c r="D2282">
        <v>2402</v>
      </c>
    </row>
    <row r="2283" spans="1:4" x14ac:dyDescent="0.35">
      <c r="A2283" t="s">
        <v>270</v>
      </c>
      <c r="B2283" t="s">
        <v>271</v>
      </c>
      <c r="C2283">
        <v>1930</v>
      </c>
      <c r="D2283">
        <v>2357</v>
      </c>
    </row>
    <row r="2284" spans="1:4" x14ac:dyDescent="0.35">
      <c r="A2284" t="s">
        <v>270</v>
      </c>
      <c r="B2284" t="s">
        <v>271</v>
      </c>
      <c r="C2284">
        <v>1931</v>
      </c>
      <c r="D2284">
        <v>2365</v>
      </c>
    </row>
    <row r="2285" spans="1:4" x14ac:dyDescent="0.35">
      <c r="A2285" t="s">
        <v>270</v>
      </c>
      <c r="B2285" t="s">
        <v>271</v>
      </c>
      <c r="C2285">
        <v>1932</v>
      </c>
      <c r="D2285">
        <v>2401</v>
      </c>
    </row>
    <row r="2286" spans="1:4" x14ac:dyDescent="0.35">
      <c r="A2286" t="s">
        <v>270</v>
      </c>
      <c r="B2286" t="s">
        <v>271</v>
      </c>
      <c r="C2286">
        <v>1933</v>
      </c>
      <c r="D2286">
        <v>2253</v>
      </c>
    </row>
    <row r="2287" spans="1:4" x14ac:dyDescent="0.35">
      <c r="A2287" t="s">
        <v>270</v>
      </c>
      <c r="B2287" t="s">
        <v>271</v>
      </c>
      <c r="C2287">
        <v>1934</v>
      </c>
      <c r="D2287">
        <v>2289</v>
      </c>
    </row>
    <row r="2288" spans="1:4" x14ac:dyDescent="0.35">
      <c r="A2288" t="s">
        <v>270</v>
      </c>
      <c r="B2288" t="s">
        <v>271</v>
      </c>
      <c r="C2288">
        <v>1935</v>
      </c>
      <c r="D2288">
        <v>2187</v>
      </c>
    </row>
    <row r="2289" spans="1:6" x14ac:dyDescent="0.35">
      <c r="A2289" t="s">
        <v>270</v>
      </c>
      <c r="B2289" t="s">
        <v>271</v>
      </c>
      <c r="C2289">
        <v>1936</v>
      </c>
      <c r="D2289">
        <v>2185</v>
      </c>
    </row>
    <row r="2290" spans="1:6" x14ac:dyDescent="0.35">
      <c r="A2290" t="s">
        <v>270</v>
      </c>
      <c r="B2290" t="s">
        <v>271</v>
      </c>
      <c r="C2290">
        <v>1937</v>
      </c>
      <c r="D2290">
        <v>2204</v>
      </c>
    </row>
    <row r="2291" spans="1:6" x14ac:dyDescent="0.35">
      <c r="A2291" t="s">
        <v>270</v>
      </c>
      <c r="B2291" t="s">
        <v>271</v>
      </c>
      <c r="C2291">
        <v>1938</v>
      </c>
      <c r="D2291">
        <v>2259</v>
      </c>
    </row>
    <row r="2292" spans="1:6" x14ac:dyDescent="0.35">
      <c r="A2292" t="s">
        <v>270</v>
      </c>
      <c r="B2292" t="s">
        <v>271</v>
      </c>
      <c r="C2292">
        <v>1939</v>
      </c>
      <c r="D2292">
        <v>2363</v>
      </c>
    </row>
    <row r="2293" spans="1:6" x14ac:dyDescent="0.35">
      <c r="A2293" t="s">
        <v>270</v>
      </c>
      <c r="B2293" t="s">
        <v>271</v>
      </c>
      <c r="C2293">
        <v>1940</v>
      </c>
      <c r="D2293">
        <v>2394</v>
      </c>
    </row>
    <row r="2294" spans="1:6" x14ac:dyDescent="0.35">
      <c r="A2294" t="s">
        <v>270</v>
      </c>
      <c r="B2294" t="s">
        <v>271</v>
      </c>
      <c r="C2294">
        <v>1941</v>
      </c>
      <c r="D2294">
        <v>2165</v>
      </c>
    </row>
    <row r="2295" spans="1:6" x14ac:dyDescent="0.35">
      <c r="A2295" t="s">
        <v>270</v>
      </c>
      <c r="B2295" t="s">
        <v>271</v>
      </c>
      <c r="C2295">
        <v>1942</v>
      </c>
      <c r="D2295">
        <v>2216</v>
      </c>
    </row>
    <row r="2296" spans="1:6" x14ac:dyDescent="0.35">
      <c r="A2296" t="s">
        <v>270</v>
      </c>
      <c r="B2296" t="s">
        <v>271</v>
      </c>
      <c r="C2296">
        <v>1943</v>
      </c>
      <c r="D2296">
        <v>2590</v>
      </c>
    </row>
    <row r="2297" spans="1:6" x14ac:dyDescent="0.35">
      <c r="A2297" t="s">
        <v>270</v>
      </c>
      <c r="B2297" t="s">
        <v>271</v>
      </c>
      <c r="C2297">
        <v>1944</v>
      </c>
      <c r="D2297">
        <v>2665</v>
      </c>
    </row>
    <row r="2298" spans="1:6" x14ac:dyDescent="0.35">
      <c r="A2298" t="s">
        <v>270</v>
      </c>
      <c r="B2298" t="s">
        <v>271</v>
      </c>
      <c r="C2298">
        <v>1945</v>
      </c>
      <c r="D2298">
        <v>2283</v>
      </c>
    </row>
    <row r="2299" spans="1:6" x14ac:dyDescent="0.35">
      <c r="A2299" t="s">
        <v>270</v>
      </c>
      <c r="B2299" t="s">
        <v>271</v>
      </c>
      <c r="C2299">
        <v>1946</v>
      </c>
      <c r="D2299">
        <v>3469</v>
      </c>
    </row>
    <row r="2300" spans="1:6" x14ac:dyDescent="0.35">
      <c r="A2300" t="s">
        <v>270</v>
      </c>
      <c r="B2300" t="s">
        <v>271</v>
      </c>
      <c r="C2300">
        <v>1947</v>
      </c>
      <c r="D2300">
        <v>3356</v>
      </c>
    </row>
    <row r="2301" spans="1:6" x14ac:dyDescent="0.35">
      <c r="A2301" t="s">
        <v>270</v>
      </c>
      <c r="B2301" t="s">
        <v>271</v>
      </c>
      <c r="C2301">
        <v>1948</v>
      </c>
      <c r="D2301">
        <v>3122</v>
      </c>
    </row>
    <row r="2302" spans="1:6" x14ac:dyDescent="0.35">
      <c r="A2302" t="s">
        <v>270</v>
      </c>
      <c r="B2302" t="s">
        <v>271</v>
      </c>
      <c r="C2302">
        <v>1949</v>
      </c>
      <c r="D2302">
        <v>3175</v>
      </c>
    </row>
    <row r="2303" spans="1:6" x14ac:dyDescent="0.35">
      <c r="A2303" t="s">
        <v>270</v>
      </c>
      <c r="B2303" t="s">
        <v>271</v>
      </c>
      <c r="C2303">
        <v>1950</v>
      </c>
      <c r="D2303">
        <v>2878</v>
      </c>
      <c r="F2303">
        <v>228383</v>
      </c>
    </row>
    <row r="2304" spans="1:6" x14ac:dyDescent="0.35">
      <c r="A2304" t="s">
        <v>270</v>
      </c>
      <c r="B2304" t="s">
        <v>271</v>
      </c>
      <c r="C2304">
        <v>1951</v>
      </c>
      <c r="D2304">
        <v>2872</v>
      </c>
      <c r="F2304">
        <v>226838</v>
      </c>
    </row>
    <row r="2305" spans="1:6" x14ac:dyDescent="0.35">
      <c r="A2305" t="s">
        <v>270</v>
      </c>
      <c r="B2305" t="s">
        <v>271</v>
      </c>
      <c r="C2305">
        <v>1952</v>
      </c>
      <c r="D2305">
        <v>2900</v>
      </c>
      <c r="F2305">
        <v>230275</v>
      </c>
    </row>
    <row r="2306" spans="1:6" x14ac:dyDescent="0.35">
      <c r="A2306" t="s">
        <v>270</v>
      </c>
      <c r="B2306" t="s">
        <v>271</v>
      </c>
      <c r="C2306">
        <v>1953</v>
      </c>
      <c r="D2306">
        <v>2894</v>
      </c>
      <c r="F2306">
        <v>226129</v>
      </c>
    </row>
    <row r="2307" spans="1:6" x14ac:dyDescent="0.35">
      <c r="A2307" t="s">
        <v>270</v>
      </c>
      <c r="B2307" t="s">
        <v>271</v>
      </c>
      <c r="C2307">
        <v>1954</v>
      </c>
      <c r="D2307">
        <v>2943</v>
      </c>
      <c r="F2307">
        <v>226263</v>
      </c>
    </row>
    <row r="2308" spans="1:6" x14ac:dyDescent="0.35">
      <c r="A2308" t="s">
        <v>270</v>
      </c>
      <c r="B2308" t="s">
        <v>271</v>
      </c>
      <c r="C2308">
        <v>1955</v>
      </c>
      <c r="D2308">
        <v>2958</v>
      </c>
      <c r="F2308">
        <v>227185</v>
      </c>
    </row>
    <row r="2309" spans="1:6" x14ac:dyDescent="0.35">
      <c r="A2309" t="s">
        <v>270</v>
      </c>
      <c r="B2309" t="s">
        <v>271</v>
      </c>
      <c r="C2309">
        <v>1956</v>
      </c>
      <c r="D2309">
        <v>2969</v>
      </c>
      <c r="F2309">
        <v>229401</v>
      </c>
    </row>
    <row r="2310" spans="1:6" x14ac:dyDescent="0.35">
      <c r="A2310" t="s">
        <v>270</v>
      </c>
      <c r="B2310" t="s">
        <v>271</v>
      </c>
      <c r="C2310">
        <v>1957</v>
      </c>
      <c r="D2310">
        <v>2934</v>
      </c>
      <c r="F2310">
        <v>231963</v>
      </c>
    </row>
    <row r="2311" spans="1:6" x14ac:dyDescent="0.35">
      <c r="A2311" t="s">
        <v>270</v>
      </c>
      <c r="B2311" t="s">
        <v>271</v>
      </c>
      <c r="C2311">
        <v>1958</v>
      </c>
      <c r="D2311">
        <v>2990</v>
      </c>
      <c r="F2311">
        <v>234817</v>
      </c>
    </row>
    <row r="2312" spans="1:6" x14ac:dyDescent="0.35">
      <c r="A2312" t="s">
        <v>270</v>
      </c>
      <c r="B2312" t="s">
        <v>271</v>
      </c>
      <c r="C2312">
        <v>1959</v>
      </c>
      <c r="D2312">
        <v>3003</v>
      </c>
      <c r="F2312">
        <v>240306</v>
      </c>
    </row>
    <row r="2313" spans="1:6" x14ac:dyDescent="0.35">
      <c r="A2313" t="s">
        <v>270</v>
      </c>
      <c r="B2313" t="s">
        <v>271</v>
      </c>
      <c r="C2313">
        <v>1960</v>
      </c>
      <c r="D2313">
        <v>2952</v>
      </c>
      <c r="F2313">
        <v>236763</v>
      </c>
    </row>
    <row r="2314" spans="1:6" x14ac:dyDescent="0.35">
      <c r="A2314" t="s">
        <v>270</v>
      </c>
      <c r="B2314" t="s">
        <v>271</v>
      </c>
      <c r="C2314">
        <v>1961</v>
      </c>
      <c r="D2314">
        <v>2995</v>
      </c>
      <c r="F2314">
        <v>245078</v>
      </c>
    </row>
    <row r="2315" spans="1:6" x14ac:dyDescent="0.35">
      <c r="A2315" t="s">
        <v>270</v>
      </c>
      <c r="B2315" t="s">
        <v>271</v>
      </c>
      <c r="C2315">
        <v>1962</v>
      </c>
      <c r="D2315">
        <v>3065</v>
      </c>
      <c r="F2315">
        <v>243575</v>
      </c>
    </row>
    <row r="2316" spans="1:6" x14ac:dyDescent="0.35">
      <c r="A2316" t="s">
        <v>270</v>
      </c>
      <c r="B2316" t="s">
        <v>271</v>
      </c>
      <c r="C2316">
        <v>1963</v>
      </c>
      <c r="D2316">
        <v>3015</v>
      </c>
      <c r="F2316">
        <v>247398</v>
      </c>
    </row>
    <row r="2317" spans="1:6" x14ac:dyDescent="0.35">
      <c r="A2317" t="s">
        <v>270</v>
      </c>
      <c r="B2317" t="s">
        <v>271</v>
      </c>
      <c r="C2317">
        <v>1964</v>
      </c>
      <c r="D2317">
        <v>2901</v>
      </c>
      <c r="F2317">
        <v>248421</v>
      </c>
    </row>
    <row r="2318" spans="1:6" x14ac:dyDescent="0.35">
      <c r="A2318" t="s">
        <v>270</v>
      </c>
      <c r="B2318" t="s">
        <v>271</v>
      </c>
      <c r="C2318">
        <v>1965</v>
      </c>
      <c r="D2318">
        <v>2784</v>
      </c>
      <c r="F2318">
        <v>242849</v>
      </c>
    </row>
    <row r="2319" spans="1:6" x14ac:dyDescent="0.35">
      <c r="A2319" t="s">
        <v>270</v>
      </c>
      <c r="B2319" t="s">
        <v>271</v>
      </c>
      <c r="C2319">
        <v>1966</v>
      </c>
      <c r="D2319">
        <v>2626</v>
      </c>
      <c r="F2319">
        <v>237424</v>
      </c>
    </row>
    <row r="2320" spans="1:6" x14ac:dyDescent="0.35">
      <c r="A2320" t="s">
        <v>270</v>
      </c>
      <c r="B2320" t="s">
        <v>271</v>
      </c>
      <c r="C2320">
        <v>1967</v>
      </c>
      <c r="D2320">
        <v>2595</v>
      </c>
      <c r="F2320">
        <v>236346</v>
      </c>
    </row>
    <row r="2321" spans="1:6" x14ac:dyDescent="0.35">
      <c r="A2321" t="s">
        <v>270</v>
      </c>
      <c r="B2321" t="s">
        <v>271</v>
      </c>
      <c r="C2321">
        <v>1968</v>
      </c>
      <c r="D2321">
        <v>2494</v>
      </c>
      <c r="F2321">
        <v>234757</v>
      </c>
    </row>
    <row r="2322" spans="1:6" x14ac:dyDescent="0.35">
      <c r="A2322" t="s">
        <v>270</v>
      </c>
      <c r="B2322" t="s">
        <v>271</v>
      </c>
      <c r="C2322">
        <v>1969</v>
      </c>
      <c r="D2322">
        <v>2593</v>
      </c>
      <c r="F2322">
        <v>245087</v>
      </c>
    </row>
    <row r="2323" spans="1:6" x14ac:dyDescent="0.35">
      <c r="A2323" t="s">
        <v>270</v>
      </c>
      <c r="B2323" t="s">
        <v>271</v>
      </c>
      <c r="C2323">
        <v>1970</v>
      </c>
      <c r="D2323">
        <v>2365</v>
      </c>
      <c r="F2323">
        <v>236716</v>
      </c>
    </row>
    <row r="2324" spans="1:6" x14ac:dyDescent="0.35">
      <c r="A2324" t="s">
        <v>270</v>
      </c>
      <c r="B2324" t="s">
        <v>271</v>
      </c>
      <c r="C2324">
        <v>1971</v>
      </c>
      <c r="D2324">
        <v>2303</v>
      </c>
      <c r="F2324">
        <v>224838</v>
      </c>
    </row>
    <row r="2325" spans="1:6" x14ac:dyDescent="0.35">
      <c r="A2325" t="s">
        <v>270</v>
      </c>
      <c r="B2325" t="s">
        <v>271</v>
      </c>
      <c r="C2325">
        <v>1972</v>
      </c>
      <c r="D2325">
        <v>2218</v>
      </c>
      <c r="F2325">
        <v>211631</v>
      </c>
    </row>
    <row r="2326" spans="1:6" x14ac:dyDescent="0.35">
      <c r="A2326" t="s">
        <v>270</v>
      </c>
      <c r="B2326" t="s">
        <v>271</v>
      </c>
      <c r="C2326">
        <v>1973</v>
      </c>
      <c r="D2326">
        <v>2006</v>
      </c>
      <c r="F2326">
        <v>192691</v>
      </c>
    </row>
    <row r="2327" spans="1:6" x14ac:dyDescent="0.35">
      <c r="A2327" t="s">
        <v>270</v>
      </c>
      <c r="B2327" t="s">
        <v>271</v>
      </c>
      <c r="C2327">
        <v>1974</v>
      </c>
      <c r="D2327">
        <v>1802</v>
      </c>
      <c r="F2327">
        <v>183949</v>
      </c>
    </row>
    <row r="2328" spans="1:6" x14ac:dyDescent="0.35">
      <c r="A2328" t="s">
        <v>270</v>
      </c>
      <c r="B2328" t="s">
        <v>271</v>
      </c>
      <c r="C2328">
        <v>1975</v>
      </c>
      <c r="D2328">
        <v>1715</v>
      </c>
      <c r="F2328">
        <v>175733</v>
      </c>
    </row>
    <row r="2329" spans="1:6" x14ac:dyDescent="0.35">
      <c r="A2329" t="s">
        <v>270</v>
      </c>
      <c r="B2329" t="s">
        <v>271</v>
      </c>
      <c r="C2329">
        <v>1976</v>
      </c>
      <c r="D2329">
        <v>1827</v>
      </c>
      <c r="F2329">
        <v>174780</v>
      </c>
    </row>
    <row r="2330" spans="1:6" x14ac:dyDescent="0.35">
      <c r="A2330" t="s">
        <v>270</v>
      </c>
      <c r="B2330" t="s">
        <v>271</v>
      </c>
      <c r="C2330">
        <v>1977</v>
      </c>
      <c r="D2330">
        <v>1796</v>
      </c>
      <c r="F2330">
        <v>170930</v>
      </c>
    </row>
    <row r="2331" spans="1:6" x14ac:dyDescent="0.35">
      <c r="A2331" t="s">
        <v>270</v>
      </c>
      <c r="B2331" t="s">
        <v>271</v>
      </c>
      <c r="C2331">
        <v>1978</v>
      </c>
      <c r="D2331">
        <v>1744</v>
      </c>
      <c r="F2331">
        <v>173233</v>
      </c>
    </row>
    <row r="2332" spans="1:6" x14ac:dyDescent="0.35">
      <c r="A2332" t="s">
        <v>270</v>
      </c>
      <c r="B2332" t="s">
        <v>271</v>
      </c>
      <c r="C2332">
        <v>1979</v>
      </c>
      <c r="D2332">
        <v>1832</v>
      </c>
      <c r="F2332">
        <v>172492</v>
      </c>
    </row>
    <row r="2333" spans="1:6" x14ac:dyDescent="0.35">
      <c r="A2333" t="s">
        <v>270</v>
      </c>
      <c r="B2333" t="s">
        <v>271</v>
      </c>
      <c r="C2333">
        <v>1980</v>
      </c>
      <c r="D2333">
        <v>1927</v>
      </c>
      <c r="F2333">
        <v>178565</v>
      </c>
    </row>
    <row r="2334" spans="1:6" x14ac:dyDescent="0.35">
      <c r="A2334" t="s">
        <v>270</v>
      </c>
      <c r="B2334" t="s">
        <v>271</v>
      </c>
      <c r="C2334">
        <v>1981</v>
      </c>
      <c r="D2334">
        <v>1932</v>
      </c>
      <c r="F2334">
        <v>175727</v>
      </c>
    </row>
    <row r="2335" spans="1:6" x14ac:dyDescent="0.35">
      <c r="A2335" t="s">
        <v>270</v>
      </c>
      <c r="B2335" t="s">
        <v>271</v>
      </c>
      <c r="C2335">
        <v>1982</v>
      </c>
      <c r="D2335">
        <v>1854</v>
      </c>
      <c r="F2335">
        <v>169268</v>
      </c>
    </row>
    <row r="2336" spans="1:6" x14ac:dyDescent="0.35">
      <c r="A2336" t="s">
        <v>270</v>
      </c>
      <c r="B2336" t="s">
        <v>271</v>
      </c>
      <c r="C2336">
        <v>1983</v>
      </c>
      <c r="D2336">
        <v>1830</v>
      </c>
      <c r="F2336">
        <v>167521</v>
      </c>
    </row>
    <row r="2337" spans="1:6" x14ac:dyDescent="0.35">
      <c r="A2337" t="s">
        <v>270</v>
      </c>
      <c r="B2337" t="s">
        <v>271</v>
      </c>
      <c r="C2337">
        <v>1984</v>
      </c>
      <c r="D2337">
        <v>1991</v>
      </c>
      <c r="F2337">
        <v>171385</v>
      </c>
    </row>
    <row r="2338" spans="1:6" x14ac:dyDescent="0.35">
      <c r="A2338" t="s">
        <v>270</v>
      </c>
      <c r="B2338" t="s">
        <v>271</v>
      </c>
      <c r="C2338">
        <v>1985</v>
      </c>
      <c r="D2338">
        <v>2058</v>
      </c>
      <c r="F2338">
        <v>174977</v>
      </c>
    </row>
    <row r="2339" spans="1:6" x14ac:dyDescent="0.35">
      <c r="A2339" t="s">
        <v>270</v>
      </c>
      <c r="B2339" t="s">
        <v>271</v>
      </c>
      <c r="C2339">
        <v>1986</v>
      </c>
      <c r="D2339">
        <v>2194</v>
      </c>
      <c r="F2339">
        <v>181087</v>
      </c>
    </row>
    <row r="2340" spans="1:6" x14ac:dyDescent="0.35">
      <c r="A2340" t="s">
        <v>270</v>
      </c>
      <c r="B2340" t="s">
        <v>271</v>
      </c>
      <c r="C2340">
        <v>1987</v>
      </c>
      <c r="D2340">
        <v>2250</v>
      </c>
      <c r="F2340">
        <v>183036</v>
      </c>
    </row>
    <row r="2341" spans="1:6" x14ac:dyDescent="0.35">
      <c r="A2341" t="s">
        <v>270</v>
      </c>
      <c r="B2341" t="s">
        <v>271</v>
      </c>
      <c r="C2341">
        <v>1988</v>
      </c>
      <c r="D2341">
        <v>2346</v>
      </c>
      <c r="F2341">
        <v>182845</v>
      </c>
    </row>
    <row r="2342" spans="1:6" x14ac:dyDescent="0.35">
      <c r="A2342" t="s">
        <v>270</v>
      </c>
      <c r="B2342" t="s">
        <v>271</v>
      </c>
      <c r="C2342">
        <v>1989</v>
      </c>
      <c r="D2342">
        <v>2480</v>
      </c>
      <c r="F2342">
        <v>184881</v>
      </c>
    </row>
    <row r="2343" spans="1:6" x14ac:dyDescent="0.35">
      <c r="A2343" t="s">
        <v>270</v>
      </c>
      <c r="B2343" t="s">
        <v>271</v>
      </c>
      <c r="C2343">
        <v>1990</v>
      </c>
      <c r="D2343">
        <v>2690</v>
      </c>
      <c r="F2343">
        <v>193363</v>
      </c>
    </row>
    <row r="2344" spans="1:6" x14ac:dyDescent="0.35">
      <c r="A2344" t="s">
        <v>270</v>
      </c>
      <c r="B2344" t="s">
        <v>271</v>
      </c>
      <c r="C2344">
        <v>1991</v>
      </c>
      <c r="D2344">
        <v>2794</v>
      </c>
      <c r="F2344">
        <v>193780</v>
      </c>
    </row>
    <row r="2345" spans="1:6" x14ac:dyDescent="0.35">
      <c r="A2345" t="s">
        <v>270</v>
      </c>
      <c r="B2345" t="s">
        <v>271</v>
      </c>
      <c r="C2345">
        <v>1992</v>
      </c>
      <c r="D2345">
        <v>2789</v>
      </c>
      <c r="F2345">
        <v>191929</v>
      </c>
    </row>
    <row r="2346" spans="1:6" x14ac:dyDescent="0.35">
      <c r="A2346" t="s">
        <v>270</v>
      </c>
      <c r="B2346" t="s">
        <v>271</v>
      </c>
      <c r="C2346">
        <v>1993</v>
      </c>
      <c r="D2346">
        <v>2825</v>
      </c>
      <c r="F2346">
        <v>190898</v>
      </c>
    </row>
    <row r="2347" spans="1:6" x14ac:dyDescent="0.35">
      <c r="A2347" t="s">
        <v>270</v>
      </c>
      <c r="B2347" t="s">
        <v>271</v>
      </c>
      <c r="C2347">
        <v>1994</v>
      </c>
      <c r="D2347">
        <v>2818</v>
      </c>
      <c r="F2347">
        <v>190695</v>
      </c>
    </row>
    <row r="2348" spans="1:6" x14ac:dyDescent="0.35">
      <c r="A2348" t="s">
        <v>270</v>
      </c>
      <c r="B2348" t="s">
        <v>271</v>
      </c>
      <c r="C2348">
        <v>1995</v>
      </c>
      <c r="D2348">
        <v>3070</v>
      </c>
      <c r="F2348">
        <v>185050</v>
      </c>
    </row>
    <row r="2349" spans="1:6" x14ac:dyDescent="0.35">
      <c r="A2349" t="s">
        <v>270</v>
      </c>
      <c r="B2349" t="s">
        <v>271</v>
      </c>
      <c r="C2349">
        <v>1996</v>
      </c>
      <c r="D2349">
        <v>3197</v>
      </c>
      <c r="F2349">
        <v>183738</v>
      </c>
    </row>
    <row r="2350" spans="1:6" x14ac:dyDescent="0.35">
      <c r="A2350" t="s">
        <v>270</v>
      </c>
      <c r="B2350" t="s">
        <v>271</v>
      </c>
      <c r="C2350">
        <v>1997</v>
      </c>
      <c r="D2350">
        <v>3245</v>
      </c>
      <c r="F2350">
        <v>186701</v>
      </c>
    </row>
    <row r="2351" spans="1:6" x14ac:dyDescent="0.35">
      <c r="A2351" t="s">
        <v>270</v>
      </c>
      <c r="B2351" t="s">
        <v>271</v>
      </c>
      <c r="C2351">
        <v>1998</v>
      </c>
      <c r="D2351">
        <v>3556</v>
      </c>
      <c r="F2351">
        <v>193052</v>
      </c>
    </row>
    <row r="2352" spans="1:6" x14ac:dyDescent="0.35">
      <c r="A2352" t="s">
        <v>270</v>
      </c>
      <c r="B2352" t="s">
        <v>271</v>
      </c>
      <c r="C2352">
        <v>1999</v>
      </c>
      <c r="D2352">
        <v>3634</v>
      </c>
      <c r="F2352">
        <v>193924</v>
      </c>
    </row>
    <row r="2353" spans="1:6" x14ac:dyDescent="0.35">
      <c r="A2353" t="s">
        <v>270</v>
      </c>
      <c r="B2353" t="s">
        <v>271</v>
      </c>
      <c r="C2353">
        <v>2000</v>
      </c>
      <c r="D2353">
        <v>3639</v>
      </c>
      <c r="F2353">
        <v>200172</v>
      </c>
    </row>
    <row r="2354" spans="1:6" x14ac:dyDescent="0.35">
      <c r="A2354" t="s">
        <v>270</v>
      </c>
      <c r="B2354" t="s">
        <v>271</v>
      </c>
      <c r="C2354">
        <v>2001</v>
      </c>
      <c r="D2354">
        <v>3695</v>
      </c>
      <c r="F2354">
        <v>196109</v>
      </c>
    </row>
    <row r="2355" spans="1:6" x14ac:dyDescent="0.35">
      <c r="A2355" t="s">
        <v>270</v>
      </c>
      <c r="B2355" t="s">
        <v>271</v>
      </c>
      <c r="C2355">
        <v>2002</v>
      </c>
      <c r="D2355">
        <v>3707</v>
      </c>
      <c r="F2355">
        <v>195436</v>
      </c>
    </row>
    <row r="2356" spans="1:6" x14ac:dyDescent="0.35">
      <c r="A2356" t="s">
        <v>270</v>
      </c>
      <c r="B2356" t="s">
        <v>271</v>
      </c>
      <c r="C2356">
        <v>2003</v>
      </c>
      <c r="D2356">
        <v>3616</v>
      </c>
      <c r="F2356">
        <v>193786</v>
      </c>
    </row>
    <row r="2357" spans="1:6" x14ac:dyDescent="0.35">
      <c r="A2357" t="s">
        <v>270</v>
      </c>
      <c r="B2357" t="s">
        <v>271</v>
      </c>
      <c r="C2357">
        <v>2004</v>
      </c>
      <c r="D2357">
        <v>3523</v>
      </c>
      <c r="F2357">
        <v>187571</v>
      </c>
    </row>
    <row r="2358" spans="1:6" x14ac:dyDescent="0.35">
      <c r="A2358" t="s">
        <v>270</v>
      </c>
      <c r="B2358" t="s">
        <v>271</v>
      </c>
      <c r="C2358">
        <v>2005</v>
      </c>
      <c r="D2358">
        <v>3448</v>
      </c>
      <c r="F2358">
        <v>181655</v>
      </c>
    </row>
    <row r="2359" spans="1:6" x14ac:dyDescent="0.35">
      <c r="A2359" t="s">
        <v>270</v>
      </c>
      <c r="B2359" t="s">
        <v>271</v>
      </c>
      <c r="C2359">
        <v>2006</v>
      </c>
      <c r="D2359">
        <v>3210</v>
      </c>
      <c r="F2359">
        <v>179204</v>
      </c>
    </row>
    <row r="2360" spans="1:6" x14ac:dyDescent="0.35">
      <c r="A2360" t="s">
        <v>270</v>
      </c>
      <c r="B2360" t="s">
        <v>271</v>
      </c>
      <c r="C2360">
        <v>2007</v>
      </c>
      <c r="D2360">
        <v>3023</v>
      </c>
      <c r="F2360">
        <v>175788</v>
      </c>
    </row>
    <row r="2361" spans="1:6" x14ac:dyDescent="0.35">
      <c r="A2361" t="s">
        <v>270</v>
      </c>
      <c r="B2361" t="s">
        <v>271</v>
      </c>
      <c r="C2361">
        <v>2008</v>
      </c>
      <c r="D2361">
        <v>3189</v>
      </c>
      <c r="F2361">
        <v>178770</v>
      </c>
    </row>
    <row r="2362" spans="1:6" x14ac:dyDescent="0.35">
      <c r="A2362" t="s">
        <v>270</v>
      </c>
      <c r="B2362" t="s">
        <v>271</v>
      </c>
      <c r="C2362">
        <v>2009</v>
      </c>
      <c r="D2362">
        <v>3153</v>
      </c>
      <c r="F2362">
        <v>178989</v>
      </c>
    </row>
    <row r="2363" spans="1:6" x14ac:dyDescent="0.35">
      <c r="A2363" t="s">
        <v>270</v>
      </c>
      <c r="B2363" t="s">
        <v>271</v>
      </c>
      <c r="C2363">
        <v>2010</v>
      </c>
      <c r="D2363">
        <v>2974</v>
      </c>
      <c r="F2363">
        <v>178819</v>
      </c>
    </row>
    <row r="2364" spans="1:6" x14ac:dyDescent="0.35">
      <c r="A2364" t="s">
        <v>270</v>
      </c>
      <c r="B2364" t="s">
        <v>271</v>
      </c>
      <c r="C2364">
        <v>2011</v>
      </c>
      <c r="D2364">
        <v>2825</v>
      </c>
      <c r="F2364">
        <v>174778</v>
      </c>
    </row>
    <row r="2365" spans="1:6" x14ac:dyDescent="0.35">
      <c r="A2365" t="s">
        <v>270</v>
      </c>
      <c r="B2365" t="s">
        <v>271</v>
      </c>
      <c r="C2365">
        <v>2012</v>
      </c>
      <c r="D2365">
        <v>2893</v>
      </c>
      <c r="F2365">
        <v>170487</v>
      </c>
    </row>
    <row r="2366" spans="1:6" x14ac:dyDescent="0.35">
      <c r="A2366" t="s">
        <v>270</v>
      </c>
      <c r="B2366" t="s">
        <v>271</v>
      </c>
      <c r="C2366">
        <v>2013</v>
      </c>
      <c r="D2366">
        <v>2788</v>
      </c>
      <c r="F2366">
        <v>166050</v>
      </c>
    </row>
    <row r="2367" spans="1:6" x14ac:dyDescent="0.35">
      <c r="A2367" t="s">
        <v>270</v>
      </c>
      <c r="B2367" t="s">
        <v>271</v>
      </c>
      <c r="C2367">
        <v>2014</v>
      </c>
      <c r="D2367">
        <v>2668</v>
      </c>
      <c r="F2367">
        <v>170108</v>
      </c>
    </row>
    <row r="2368" spans="1:6" x14ac:dyDescent="0.35">
      <c r="A2368" t="s">
        <v>270</v>
      </c>
      <c r="B2368" t="s">
        <v>271</v>
      </c>
      <c r="C2368">
        <v>2015</v>
      </c>
      <c r="D2368">
        <v>2639</v>
      </c>
      <c r="F2368">
        <v>165502</v>
      </c>
    </row>
    <row r="2369" spans="1:6" x14ac:dyDescent="0.35">
      <c r="A2369" t="s">
        <v>270</v>
      </c>
      <c r="B2369" t="s">
        <v>271</v>
      </c>
      <c r="C2369">
        <v>2016</v>
      </c>
      <c r="D2369">
        <v>2534</v>
      </c>
      <c r="F2369">
        <v>167756</v>
      </c>
    </row>
    <row r="2370" spans="1:6" x14ac:dyDescent="0.35">
      <c r="A2370" t="s">
        <v>270</v>
      </c>
      <c r="B2370" t="s">
        <v>271</v>
      </c>
      <c r="C2370">
        <v>2017</v>
      </c>
      <c r="D2370">
        <v>2554</v>
      </c>
      <c r="F2370">
        <v>165008</v>
      </c>
    </row>
    <row r="2371" spans="1:6" x14ac:dyDescent="0.35">
      <c r="A2371" t="s">
        <v>270</v>
      </c>
      <c r="B2371" t="s">
        <v>271</v>
      </c>
      <c r="C2371">
        <v>2018</v>
      </c>
      <c r="D2371">
        <v>2497</v>
      </c>
      <c r="F2371">
        <v>163786</v>
      </c>
    </row>
    <row r="2372" spans="1:6" x14ac:dyDescent="0.35">
      <c r="A2372" t="s">
        <v>270</v>
      </c>
      <c r="B2372" t="s">
        <v>271</v>
      </c>
      <c r="C2372">
        <v>2019</v>
      </c>
      <c r="D2372">
        <v>2444</v>
      </c>
      <c r="F2372">
        <v>165112</v>
      </c>
    </row>
    <row r="2373" spans="1:6" x14ac:dyDescent="0.35">
      <c r="A2373" t="s">
        <v>270</v>
      </c>
      <c r="B2373" t="s">
        <v>271</v>
      </c>
      <c r="C2373">
        <v>2020</v>
      </c>
      <c r="D2373">
        <v>2519</v>
      </c>
      <c r="F2373">
        <v>163910</v>
      </c>
    </row>
    <row r="2374" spans="1:6" x14ac:dyDescent="0.35">
      <c r="A2374" t="s">
        <v>250</v>
      </c>
      <c r="B2374" t="s">
        <v>20</v>
      </c>
      <c r="C2374">
        <v>1863</v>
      </c>
      <c r="D2374">
        <v>5611</v>
      </c>
      <c r="F2374">
        <v>595281</v>
      </c>
    </row>
    <row r="2375" spans="1:6" x14ac:dyDescent="0.35">
      <c r="A2375" t="s">
        <v>250</v>
      </c>
      <c r="B2375" t="s">
        <v>20</v>
      </c>
      <c r="C2375">
        <v>1864</v>
      </c>
      <c r="D2375">
        <v>5699</v>
      </c>
      <c r="F2375">
        <v>617746</v>
      </c>
    </row>
    <row r="2376" spans="1:6" x14ac:dyDescent="0.35">
      <c r="A2376" t="s">
        <v>250</v>
      </c>
      <c r="B2376" t="s">
        <v>20</v>
      </c>
      <c r="C2376">
        <v>1865</v>
      </c>
      <c r="D2376">
        <v>5434</v>
      </c>
      <c r="F2376">
        <v>610858</v>
      </c>
    </row>
    <row r="2377" spans="1:6" x14ac:dyDescent="0.35">
      <c r="A2377" t="s">
        <v>250</v>
      </c>
      <c r="B2377" t="s">
        <v>20</v>
      </c>
      <c r="C2377">
        <v>1866</v>
      </c>
      <c r="D2377">
        <v>5048</v>
      </c>
      <c r="F2377">
        <v>608525</v>
      </c>
    </row>
    <row r="2378" spans="1:6" x14ac:dyDescent="0.35">
      <c r="A2378" t="s">
        <v>250</v>
      </c>
      <c r="B2378" t="s">
        <v>20</v>
      </c>
      <c r="C2378">
        <v>1867</v>
      </c>
      <c r="D2378">
        <v>5432</v>
      </c>
      <c r="F2378">
        <v>613155</v>
      </c>
    </row>
    <row r="2379" spans="1:6" x14ac:dyDescent="0.35">
      <c r="A2379" t="s">
        <v>250</v>
      </c>
      <c r="B2379" t="s">
        <v>20</v>
      </c>
      <c r="C2379">
        <v>1868</v>
      </c>
      <c r="D2379">
        <v>4656</v>
      </c>
      <c r="F2379">
        <v>570002</v>
      </c>
    </row>
    <row r="2380" spans="1:6" x14ac:dyDescent="0.35">
      <c r="A2380" t="s">
        <v>250</v>
      </c>
      <c r="B2380" t="s">
        <v>20</v>
      </c>
      <c r="C2380">
        <v>1869</v>
      </c>
      <c r="D2380">
        <v>5032</v>
      </c>
      <c r="F2380">
        <v>591962</v>
      </c>
    </row>
    <row r="2381" spans="1:6" x14ac:dyDescent="0.35">
      <c r="A2381" t="s">
        <v>250</v>
      </c>
      <c r="B2381" t="s">
        <v>20</v>
      </c>
      <c r="C2381">
        <v>1870</v>
      </c>
      <c r="D2381">
        <v>4507</v>
      </c>
      <c r="F2381">
        <v>589078</v>
      </c>
    </row>
    <row r="2382" spans="1:6" x14ac:dyDescent="0.35">
      <c r="A2382" t="s">
        <v>250</v>
      </c>
      <c r="B2382" t="s">
        <v>20</v>
      </c>
      <c r="C2382">
        <v>1900</v>
      </c>
      <c r="D2382">
        <v>5427</v>
      </c>
      <c r="F2382">
        <v>616941</v>
      </c>
    </row>
    <row r="2383" spans="1:6" x14ac:dyDescent="0.35">
      <c r="A2383" t="s">
        <v>250</v>
      </c>
      <c r="B2383" t="s">
        <v>20</v>
      </c>
      <c r="C2383">
        <v>1901</v>
      </c>
      <c r="D2383">
        <v>5676</v>
      </c>
      <c r="F2383">
        <v>654739</v>
      </c>
    </row>
    <row r="2384" spans="1:6" x14ac:dyDescent="0.35">
      <c r="A2384" t="s">
        <v>250</v>
      </c>
      <c r="B2384" t="s">
        <v>20</v>
      </c>
      <c r="C2384">
        <v>1902</v>
      </c>
      <c r="D2384">
        <v>5675</v>
      </c>
      <c r="F2384">
        <v>671604</v>
      </c>
    </row>
    <row r="2385" spans="1:6" x14ac:dyDescent="0.35">
      <c r="A2385" t="s">
        <v>250</v>
      </c>
      <c r="B2385" t="s">
        <v>20</v>
      </c>
      <c r="C2385">
        <v>1903</v>
      </c>
      <c r="D2385">
        <v>5970</v>
      </c>
      <c r="F2385">
        <v>691435</v>
      </c>
    </row>
    <row r="2386" spans="1:6" x14ac:dyDescent="0.35">
      <c r="A2386" t="s">
        <v>250</v>
      </c>
      <c r="B2386" t="s">
        <v>20</v>
      </c>
      <c r="C2386">
        <v>1904</v>
      </c>
      <c r="D2386">
        <v>5543</v>
      </c>
      <c r="F2386">
        <v>655873</v>
      </c>
    </row>
    <row r="2387" spans="1:6" x14ac:dyDescent="0.35">
      <c r="A2387" t="s">
        <v>250</v>
      </c>
      <c r="B2387" t="s">
        <v>20</v>
      </c>
      <c r="C2387">
        <v>1905</v>
      </c>
      <c r="D2387">
        <v>5672</v>
      </c>
      <c r="F2387">
        <v>676522</v>
      </c>
    </row>
    <row r="2388" spans="1:6" x14ac:dyDescent="0.35">
      <c r="A2388" t="s">
        <v>250</v>
      </c>
      <c r="B2388" t="s">
        <v>20</v>
      </c>
      <c r="C2388">
        <v>1906</v>
      </c>
      <c r="D2388">
        <v>5441</v>
      </c>
      <c r="F2388">
        <v>655814</v>
      </c>
    </row>
    <row r="2389" spans="1:6" x14ac:dyDescent="0.35">
      <c r="A2389" t="s">
        <v>250</v>
      </c>
      <c r="B2389" t="s">
        <v>20</v>
      </c>
      <c r="C2389">
        <v>1907</v>
      </c>
      <c r="D2389">
        <v>5417</v>
      </c>
      <c r="F2389">
        <v>650982</v>
      </c>
    </row>
    <row r="2390" spans="1:6" x14ac:dyDescent="0.35">
      <c r="A2390" t="s">
        <v>250</v>
      </c>
      <c r="B2390" t="s">
        <v>20</v>
      </c>
      <c r="C2390">
        <v>1908</v>
      </c>
      <c r="D2390">
        <v>5476</v>
      </c>
      <c r="F2390">
        <v>663289</v>
      </c>
    </row>
    <row r="2391" spans="1:6" x14ac:dyDescent="0.35">
      <c r="A2391" t="s">
        <v>250</v>
      </c>
      <c r="B2391" t="s">
        <v>20</v>
      </c>
      <c r="C2391">
        <v>1909</v>
      </c>
      <c r="D2391">
        <v>5734</v>
      </c>
      <c r="F2391">
        <v>655036</v>
      </c>
    </row>
    <row r="2392" spans="1:6" x14ac:dyDescent="0.35">
      <c r="A2392" t="s">
        <v>250</v>
      </c>
      <c r="B2392" t="s">
        <v>20</v>
      </c>
      <c r="C2392">
        <v>1910</v>
      </c>
      <c r="D2392">
        <v>5414</v>
      </c>
      <c r="F2392">
        <v>652162</v>
      </c>
    </row>
    <row r="2393" spans="1:6" x14ac:dyDescent="0.35">
      <c r="A2393" t="s">
        <v>250</v>
      </c>
      <c r="B2393" t="s">
        <v>20</v>
      </c>
      <c r="C2393">
        <v>1911</v>
      </c>
      <c r="D2393">
        <v>5381</v>
      </c>
      <c r="F2393">
        <v>633505</v>
      </c>
    </row>
    <row r="2394" spans="1:6" x14ac:dyDescent="0.35">
      <c r="A2394" t="s">
        <v>250</v>
      </c>
      <c r="B2394" t="s">
        <v>20</v>
      </c>
      <c r="C2394">
        <v>1912</v>
      </c>
      <c r="D2394">
        <v>5695</v>
      </c>
      <c r="F2394">
        <v>643004</v>
      </c>
    </row>
    <row r="2395" spans="1:6" x14ac:dyDescent="0.35">
      <c r="A2395" t="s">
        <v>250</v>
      </c>
      <c r="B2395" t="s">
        <v>20</v>
      </c>
      <c r="C2395">
        <v>1913</v>
      </c>
      <c r="D2395">
        <v>5275</v>
      </c>
      <c r="F2395">
        <v>623702</v>
      </c>
    </row>
    <row r="2396" spans="1:6" x14ac:dyDescent="0.35">
      <c r="A2396" t="s">
        <v>250</v>
      </c>
      <c r="B2396" t="s">
        <v>20</v>
      </c>
      <c r="C2396">
        <v>1914</v>
      </c>
      <c r="D2396">
        <v>5186</v>
      </c>
      <c r="F2396">
        <v>614474</v>
      </c>
    </row>
    <row r="2397" spans="1:6" x14ac:dyDescent="0.35">
      <c r="A2397" t="s">
        <v>250</v>
      </c>
      <c r="B2397" t="s">
        <v>20</v>
      </c>
      <c r="C2397">
        <v>1915</v>
      </c>
      <c r="D2397">
        <v>5175</v>
      </c>
      <c r="F2397">
        <v>620971</v>
      </c>
    </row>
    <row r="2398" spans="1:6" x14ac:dyDescent="0.35">
      <c r="A2398" t="s">
        <v>250</v>
      </c>
      <c r="B2398" t="s">
        <v>20</v>
      </c>
      <c r="C2398">
        <v>1916</v>
      </c>
      <c r="D2398">
        <v>5020</v>
      </c>
      <c r="F2398">
        <v>605370</v>
      </c>
    </row>
    <row r="2399" spans="1:6" x14ac:dyDescent="0.35">
      <c r="A2399" t="s">
        <v>250</v>
      </c>
      <c r="B2399" t="s">
        <v>20</v>
      </c>
      <c r="C2399">
        <v>1917</v>
      </c>
      <c r="D2399">
        <v>5049</v>
      </c>
      <c r="F2399">
        <v>608469</v>
      </c>
    </row>
    <row r="2400" spans="1:6" x14ac:dyDescent="0.35">
      <c r="A2400" t="s">
        <v>250</v>
      </c>
      <c r="B2400" t="s">
        <v>20</v>
      </c>
      <c r="C2400">
        <v>1918</v>
      </c>
      <c r="D2400">
        <v>5134</v>
      </c>
      <c r="F2400">
        <v>619647</v>
      </c>
    </row>
    <row r="2401" spans="1:6" x14ac:dyDescent="0.35">
      <c r="A2401" t="s">
        <v>250</v>
      </c>
      <c r="B2401" t="s">
        <v>20</v>
      </c>
      <c r="C2401">
        <v>1919</v>
      </c>
      <c r="D2401">
        <v>4670</v>
      </c>
      <c r="F2401">
        <v>592158</v>
      </c>
    </row>
    <row r="2402" spans="1:6" x14ac:dyDescent="0.35">
      <c r="A2402" t="s">
        <v>250</v>
      </c>
      <c r="B2402" t="s">
        <v>20</v>
      </c>
      <c r="C2402">
        <v>1920</v>
      </c>
      <c r="D2402">
        <v>4658</v>
      </c>
      <c r="F2402">
        <v>630635</v>
      </c>
    </row>
    <row r="2403" spans="1:6" x14ac:dyDescent="0.35">
      <c r="A2403" t="s">
        <v>250</v>
      </c>
      <c r="B2403" t="s">
        <v>20</v>
      </c>
      <c r="C2403">
        <v>1921</v>
      </c>
      <c r="D2403">
        <v>5017</v>
      </c>
      <c r="F2403">
        <v>656415</v>
      </c>
    </row>
    <row r="2404" spans="1:6" x14ac:dyDescent="0.35">
      <c r="A2404" t="s">
        <v>250</v>
      </c>
      <c r="B2404" t="s">
        <v>20</v>
      </c>
      <c r="C2404">
        <v>1922</v>
      </c>
      <c r="D2404">
        <v>5052</v>
      </c>
      <c r="F2404">
        <v>663365</v>
      </c>
    </row>
    <row r="2405" spans="1:6" x14ac:dyDescent="0.35">
      <c r="A2405" t="s">
        <v>250</v>
      </c>
      <c r="B2405" t="s">
        <v>20</v>
      </c>
      <c r="C2405">
        <v>1923</v>
      </c>
      <c r="D2405">
        <v>5413</v>
      </c>
      <c r="F2405">
        <v>670229</v>
      </c>
    </row>
    <row r="2406" spans="1:6" x14ac:dyDescent="0.35">
      <c r="A2406" t="s">
        <v>250</v>
      </c>
      <c r="B2406" t="s">
        <v>20</v>
      </c>
      <c r="C2406">
        <v>1924</v>
      </c>
      <c r="D2406">
        <v>5460</v>
      </c>
      <c r="F2406">
        <v>661343</v>
      </c>
    </row>
    <row r="2407" spans="1:6" x14ac:dyDescent="0.35">
      <c r="A2407" t="s">
        <v>250</v>
      </c>
      <c r="B2407" t="s">
        <v>20</v>
      </c>
      <c r="C2407">
        <v>1925</v>
      </c>
      <c r="D2407">
        <v>5480</v>
      </c>
      <c r="F2407">
        <v>652898</v>
      </c>
    </row>
    <row r="2408" spans="1:6" x14ac:dyDescent="0.35">
      <c r="A2408" t="s">
        <v>250</v>
      </c>
      <c r="B2408" t="s">
        <v>20</v>
      </c>
      <c r="C2408">
        <v>1926</v>
      </c>
      <c r="D2408">
        <v>5976</v>
      </c>
      <c r="F2408">
        <v>671414</v>
      </c>
    </row>
    <row r="2409" spans="1:6" x14ac:dyDescent="0.35">
      <c r="A2409" t="s">
        <v>250</v>
      </c>
      <c r="B2409" t="s">
        <v>20</v>
      </c>
      <c r="C2409">
        <v>1927</v>
      </c>
      <c r="D2409">
        <v>6393</v>
      </c>
      <c r="F2409">
        <v>642823</v>
      </c>
    </row>
    <row r="2410" spans="1:6" x14ac:dyDescent="0.35">
      <c r="A2410" t="s">
        <v>250</v>
      </c>
      <c r="B2410" t="s">
        <v>20</v>
      </c>
      <c r="C2410">
        <v>1928</v>
      </c>
      <c r="D2410">
        <v>6285</v>
      </c>
      <c r="F2410">
        <v>674709</v>
      </c>
    </row>
    <row r="2411" spans="1:6" x14ac:dyDescent="0.35">
      <c r="A2411" t="s">
        <v>250</v>
      </c>
      <c r="B2411" t="s">
        <v>20</v>
      </c>
      <c r="C2411">
        <v>1929</v>
      </c>
      <c r="D2411">
        <v>6121</v>
      </c>
      <c r="F2411">
        <v>662380</v>
      </c>
    </row>
    <row r="2412" spans="1:6" x14ac:dyDescent="0.35">
      <c r="A2412" t="s">
        <v>250</v>
      </c>
      <c r="B2412" t="s">
        <v>20</v>
      </c>
      <c r="C2412">
        <v>1930</v>
      </c>
      <c r="D2412">
        <v>6296</v>
      </c>
      <c r="F2412">
        <v>669851</v>
      </c>
    </row>
    <row r="2413" spans="1:6" x14ac:dyDescent="0.35">
      <c r="A2413" t="s">
        <v>250</v>
      </c>
      <c r="B2413" t="s">
        <v>20</v>
      </c>
      <c r="C2413">
        <v>1931</v>
      </c>
      <c r="D2413">
        <v>5521</v>
      </c>
      <c r="F2413">
        <v>658943</v>
      </c>
    </row>
    <row r="2414" spans="1:6" x14ac:dyDescent="0.35">
      <c r="A2414" t="s">
        <v>250</v>
      </c>
      <c r="B2414" t="s">
        <v>20</v>
      </c>
      <c r="C2414">
        <v>1932</v>
      </c>
      <c r="D2414">
        <v>5608</v>
      </c>
      <c r="F2414">
        <v>681349</v>
      </c>
    </row>
    <row r="2415" spans="1:6" x14ac:dyDescent="0.35">
      <c r="A2415" t="s">
        <v>250</v>
      </c>
      <c r="B2415" t="s">
        <v>20</v>
      </c>
      <c r="C2415">
        <v>1933</v>
      </c>
      <c r="D2415">
        <v>5846</v>
      </c>
      <c r="F2415">
        <v>678306</v>
      </c>
    </row>
    <row r="2416" spans="1:6" x14ac:dyDescent="0.35">
      <c r="A2416" t="s">
        <v>250</v>
      </c>
      <c r="B2416" t="s">
        <v>20</v>
      </c>
      <c r="C2416">
        <v>1934</v>
      </c>
      <c r="D2416">
        <v>5576</v>
      </c>
      <c r="F2416">
        <v>647773</v>
      </c>
    </row>
    <row r="2417" spans="1:6" x14ac:dyDescent="0.35">
      <c r="A2417" t="s">
        <v>250</v>
      </c>
      <c r="B2417" t="s">
        <v>20</v>
      </c>
      <c r="C2417">
        <v>1935</v>
      </c>
      <c r="D2417">
        <v>5680</v>
      </c>
      <c r="F2417">
        <v>642795</v>
      </c>
    </row>
    <row r="2418" spans="1:6" x14ac:dyDescent="0.35">
      <c r="A2418" t="s">
        <v>250</v>
      </c>
      <c r="B2418" t="s">
        <v>20</v>
      </c>
      <c r="C2418">
        <v>1936</v>
      </c>
      <c r="D2418">
        <v>5339</v>
      </c>
      <c r="F2418">
        <v>622707</v>
      </c>
    </row>
    <row r="2419" spans="1:6" x14ac:dyDescent="0.35">
      <c r="A2419" t="s">
        <v>250</v>
      </c>
      <c r="B2419" t="s">
        <v>20</v>
      </c>
      <c r="C2419">
        <v>1937</v>
      </c>
      <c r="D2419">
        <v>4812</v>
      </c>
      <c r="F2419">
        <v>573312</v>
      </c>
    </row>
    <row r="2420" spans="1:6" x14ac:dyDescent="0.35">
      <c r="A2420" t="s">
        <v>250</v>
      </c>
      <c r="B2420" t="s">
        <v>20</v>
      </c>
      <c r="C2420">
        <v>1938</v>
      </c>
      <c r="D2420">
        <v>4615</v>
      </c>
      <c r="F2420">
        <v>511573</v>
      </c>
    </row>
    <row r="2421" spans="1:6" x14ac:dyDescent="0.35">
      <c r="A2421" t="s">
        <v>250</v>
      </c>
      <c r="B2421" t="s">
        <v>20</v>
      </c>
      <c r="C2421">
        <v>1939</v>
      </c>
      <c r="D2421">
        <v>4229</v>
      </c>
      <c r="F2421">
        <v>425233</v>
      </c>
    </row>
    <row r="2422" spans="1:6" x14ac:dyDescent="0.35">
      <c r="A2422" t="s">
        <v>250</v>
      </c>
      <c r="B2422" t="s">
        <v>20</v>
      </c>
      <c r="C2422">
        <v>1940</v>
      </c>
      <c r="D2422">
        <v>6480</v>
      </c>
      <c r="F2422">
        <v>633742</v>
      </c>
    </row>
    <row r="2423" spans="1:6" x14ac:dyDescent="0.35">
      <c r="A2423" t="s">
        <v>250</v>
      </c>
      <c r="B2423" t="s">
        <v>20</v>
      </c>
      <c r="C2423">
        <v>1941</v>
      </c>
      <c r="D2423">
        <v>4976</v>
      </c>
      <c r="F2423">
        <v>514243</v>
      </c>
    </row>
    <row r="2424" spans="1:6" x14ac:dyDescent="0.35">
      <c r="A2424" t="s">
        <v>250</v>
      </c>
      <c r="B2424" t="s">
        <v>20</v>
      </c>
      <c r="C2424">
        <v>1942</v>
      </c>
      <c r="D2424">
        <v>5193</v>
      </c>
      <c r="F2424">
        <v>534800</v>
      </c>
    </row>
    <row r="2425" spans="1:6" x14ac:dyDescent="0.35">
      <c r="A2425" t="s">
        <v>250</v>
      </c>
      <c r="B2425" t="s">
        <v>20</v>
      </c>
      <c r="C2425">
        <v>1943</v>
      </c>
      <c r="D2425">
        <v>5988</v>
      </c>
      <c r="F2425">
        <v>610964</v>
      </c>
    </row>
    <row r="2426" spans="1:6" x14ac:dyDescent="0.35">
      <c r="A2426" t="s">
        <v>250</v>
      </c>
      <c r="B2426" t="s">
        <v>20</v>
      </c>
      <c r="C2426">
        <v>1944</v>
      </c>
      <c r="D2426">
        <v>5927</v>
      </c>
      <c r="F2426">
        <v>606135</v>
      </c>
    </row>
    <row r="2427" spans="1:6" x14ac:dyDescent="0.35">
      <c r="A2427" t="s">
        <v>250</v>
      </c>
      <c r="B2427" t="s">
        <v>20</v>
      </c>
      <c r="C2427">
        <v>1945</v>
      </c>
      <c r="D2427">
        <v>6093</v>
      </c>
      <c r="F2427">
        <v>625516</v>
      </c>
    </row>
    <row r="2428" spans="1:6" x14ac:dyDescent="0.35">
      <c r="A2428" t="s">
        <v>250</v>
      </c>
      <c r="B2428" t="s">
        <v>20</v>
      </c>
      <c r="C2428">
        <v>1946</v>
      </c>
      <c r="D2428">
        <v>5966</v>
      </c>
      <c r="F2428">
        <v>584219</v>
      </c>
    </row>
    <row r="2429" spans="1:6" x14ac:dyDescent="0.35">
      <c r="A2429" t="s">
        <v>250</v>
      </c>
      <c r="B2429" t="s">
        <v>20</v>
      </c>
      <c r="C2429">
        <v>1947</v>
      </c>
      <c r="D2429">
        <v>5542</v>
      </c>
      <c r="F2429">
        <v>589563</v>
      </c>
    </row>
    <row r="2430" spans="1:6" x14ac:dyDescent="0.35">
      <c r="A2430" t="s">
        <v>250</v>
      </c>
      <c r="B2430" t="s">
        <v>20</v>
      </c>
      <c r="C2430">
        <v>1948</v>
      </c>
      <c r="D2430">
        <v>6236</v>
      </c>
      <c r="F2430">
        <v>643391</v>
      </c>
    </row>
    <row r="2431" spans="1:6" x14ac:dyDescent="0.35">
      <c r="A2431" t="s">
        <v>250</v>
      </c>
      <c r="B2431" t="s">
        <v>20</v>
      </c>
      <c r="C2431">
        <v>1949</v>
      </c>
      <c r="D2431">
        <v>5920</v>
      </c>
      <c r="F2431">
        <v>602999</v>
      </c>
    </row>
    <row r="2432" spans="1:6" x14ac:dyDescent="0.35">
      <c r="A2432" t="s">
        <v>250</v>
      </c>
      <c r="B2432" t="s">
        <v>20</v>
      </c>
      <c r="C2432">
        <v>1950</v>
      </c>
      <c r="D2432">
        <v>5528</v>
      </c>
      <c r="F2432">
        <v>566487</v>
      </c>
    </row>
    <row r="2433" spans="1:6" x14ac:dyDescent="0.35">
      <c r="A2433" t="s">
        <v>250</v>
      </c>
      <c r="B2433" t="s">
        <v>20</v>
      </c>
      <c r="C2433">
        <v>1951</v>
      </c>
      <c r="D2433">
        <v>5277</v>
      </c>
      <c r="F2433">
        <v>569443</v>
      </c>
    </row>
    <row r="2434" spans="1:6" x14ac:dyDescent="0.35">
      <c r="A2434" t="s">
        <v>250</v>
      </c>
      <c r="B2434" t="s">
        <v>20</v>
      </c>
      <c r="C2434">
        <v>1952</v>
      </c>
      <c r="D2434">
        <v>5496</v>
      </c>
      <c r="F2434">
        <v>596188</v>
      </c>
    </row>
    <row r="2435" spans="1:6" x14ac:dyDescent="0.35">
      <c r="A2435" t="s">
        <v>250</v>
      </c>
      <c r="B2435" t="s">
        <v>20</v>
      </c>
      <c r="C2435">
        <v>1953</v>
      </c>
      <c r="D2435">
        <v>5347</v>
      </c>
      <c r="F2435">
        <v>593221</v>
      </c>
    </row>
    <row r="2436" spans="1:6" x14ac:dyDescent="0.35">
      <c r="A2436" t="s">
        <v>250</v>
      </c>
      <c r="B2436" t="s">
        <v>20</v>
      </c>
      <c r="C2436">
        <v>1954</v>
      </c>
      <c r="D2436">
        <v>5320</v>
      </c>
      <c r="F2436">
        <v>581951</v>
      </c>
    </row>
    <row r="2437" spans="1:6" x14ac:dyDescent="0.35">
      <c r="A2437" t="s">
        <v>250</v>
      </c>
      <c r="B2437" t="s">
        <v>20</v>
      </c>
      <c r="C2437">
        <v>1955</v>
      </c>
      <c r="D2437">
        <v>5759</v>
      </c>
      <c r="F2437">
        <v>602408</v>
      </c>
    </row>
    <row r="2438" spans="1:6" x14ac:dyDescent="0.35">
      <c r="A2438" t="s">
        <v>250</v>
      </c>
      <c r="B2438" t="s">
        <v>20</v>
      </c>
      <c r="C2438">
        <v>1956</v>
      </c>
      <c r="D2438">
        <v>5884</v>
      </c>
      <c r="F2438">
        <v>611200</v>
      </c>
    </row>
    <row r="2439" spans="1:6" x14ac:dyDescent="0.35">
      <c r="A2439" t="s">
        <v>250</v>
      </c>
      <c r="B2439" t="s">
        <v>20</v>
      </c>
      <c r="C2439">
        <v>1957</v>
      </c>
      <c r="D2439">
        <v>6140</v>
      </c>
      <c r="F2439">
        <v>649650</v>
      </c>
    </row>
    <row r="2440" spans="1:6" x14ac:dyDescent="0.35">
      <c r="A2440" t="s">
        <v>250</v>
      </c>
      <c r="B2440" t="s">
        <v>20</v>
      </c>
      <c r="C2440">
        <v>1958</v>
      </c>
      <c r="D2440">
        <v>6240</v>
      </c>
      <c r="F2440">
        <v>656436</v>
      </c>
    </row>
    <row r="2441" spans="1:6" x14ac:dyDescent="0.35">
      <c r="A2441" t="s">
        <v>250</v>
      </c>
      <c r="B2441" t="s">
        <v>20</v>
      </c>
      <c r="C2441">
        <v>1959</v>
      </c>
      <c r="D2441">
        <v>6172</v>
      </c>
      <c r="F2441">
        <v>656934</v>
      </c>
    </row>
    <row r="2442" spans="1:6" x14ac:dyDescent="0.35">
      <c r="A2442" t="s">
        <v>250</v>
      </c>
      <c r="B2442" t="s">
        <v>20</v>
      </c>
      <c r="C2442">
        <v>1960</v>
      </c>
      <c r="D2442">
        <v>6491</v>
      </c>
      <c r="F2442">
        <v>665529</v>
      </c>
    </row>
    <row r="2443" spans="1:6" x14ac:dyDescent="0.35">
      <c r="A2443" t="s">
        <v>250</v>
      </c>
      <c r="B2443" t="s">
        <v>20</v>
      </c>
      <c r="C2443">
        <v>1961</v>
      </c>
      <c r="D2443">
        <v>6451</v>
      </c>
      <c r="F2443">
        <v>656118</v>
      </c>
    </row>
    <row r="2444" spans="1:6" x14ac:dyDescent="0.35">
      <c r="A2444" t="s">
        <v>250</v>
      </c>
      <c r="B2444" t="s">
        <v>20</v>
      </c>
      <c r="C2444">
        <v>1962</v>
      </c>
      <c r="D2444">
        <v>6155</v>
      </c>
      <c r="F2444">
        <v>660493</v>
      </c>
    </row>
    <row r="2445" spans="1:6" x14ac:dyDescent="0.35">
      <c r="A2445" t="s">
        <v>250</v>
      </c>
      <c r="B2445" t="s">
        <v>20</v>
      </c>
      <c r="C2445">
        <v>1963</v>
      </c>
      <c r="D2445">
        <v>6388</v>
      </c>
      <c r="F2445">
        <v>672251</v>
      </c>
    </row>
    <row r="2446" spans="1:6" x14ac:dyDescent="0.35">
      <c r="A2446" t="s">
        <v>250</v>
      </c>
      <c r="B2446" t="s">
        <v>20</v>
      </c>
      <c r="C2446">
        <v>1964</v>
      </c>
      <c r="D2446">
        <v>6758</v>
      </c>
      <c r="F2446">
        <v>696936</v>
      </c>
    </row>
    <row r="2447" spans="1:6" x14ac:dyDescent="0.35">
      <c r="A2447" t="s">
        <v>250</v>
      </c>
      <c r="B2447" t="s">
        <v>20</v>
      </c>
      <c r="C2447">
        <v>1965</v>
      </c>
      <c r="D2447">
        <v>6531</v>
      </c>
      <c r="F2447">
        <v>675293</v>
      </c>
    </row>
    <row r="2448" spans="1:6" x14ac:dyDescent="0.35">
      <c r="A2448" t="s">
        <v>250</v>
      </c>
      <c r="B2448" t="s">
        <v>20</v>
      </c>
      <c r="C2448">
        <v>1966</v>
      </c>
      <c r="D2448">
        <v>6177</v>
      </c>
      <c r="F2448">
        <v>668756</v>
      </c>
    </row>
    <row r="2449" spans="1:6" x14ac:dyDescent="0.35">
      <c r="A2449" t="s">
        <v>250</v>
      </c>
      <c r="B2449" t="s">
        <v>20</v>
      </c>
      <c r="C2449">
        <v>1967</v>
      </c>
      <c r="D2449">
        <v>6168</v>
      </c>
      <c r="F2449">
        <v>678783</v>
      </c>
    </row>
    <row r="2450" spans="1:6" x14ac:dyDescent="0.35">
      <c r="A2450" t="s">
        <v>250</v>
      </c>
      <c r="B2450" t="s">
        <v>20</v>
      </c>
      <c r="C2450">
        <v>1968</v>
      </c>
      <c r="D2450">
        <v>5948</v>
      </c>
      <c r="F2450">
        <v>666239</v>
      </c>
    </row>
    <row r="2451" spans="1:6" x14ac:dyDescent="0.35">
      <c r="A2451" t="s">
        <v>250</v>
      </c>
      <c r="B2451" t="s">
        <v>20</v>
      </c>
      <c r="C2451">
        <v>1969</v>
      </c>
      <c r="D2451">
        <v>5824</v>
      </c>
      <c r="F2451">
        <v>664516</v>
      </c>
    </row>
    <row r="2452" spans="1:6" x14ac:dyDescent="0.35">
      <c r="A2452" t="s">
        <v>250</v>
      </c>
      <c r="B2452" t="s">
        <v>20</v>
      </c>
      <c r="C2452">
        <v>1970</v>
      </c>
      <c r="D2452">
        <v>5915</v>
      </c>
      <c r="F2452">
        <v>660905</v>
      </c>
    </row>
    <row r="2453" spans="1:6" x14ac:dyDescent="0.35">
      <c r="A2453" t="s">
        <v>250</v>
      </c>
      <c r="B2453" t="s">
        <v>20</v>
      </c>
      <c r="C2453">
        <v>1971</v>
      </c>
      <c r="D2453">
        <v>5448</v>
      </c>
      <c r="F2453">
        <v>669871</v>
      </c>
    </row>
    <row r="2454" spans="1:6" x14ac:dyDescent="0.35">
      <c r="A2454" t="s">
        <v>250</v>
      </c>
      <c r="B2454" t="s">
        <v>20</v>
      </c>
      <c r="C2454">
        <v>1972</v>
      </c>
      <c r="D2454">
        <v>5577</v>
      </c>
      <c r="F2454">
        <v>669960</v>
      </c>
    </row>
    <row r="2455" spans="1:6" x14ac:dyDescent="0.35">
      <c r="A2455" t="s">
        <v>250</v>
      </c>
      <c r="B2455" t="s">
        <v>20</v>
      </c>
      <c r="C2455">
        <v>1973</v>
      </c>
      <c r="D2455">
        <v>5469</v>
      </c>
      <c r="F2455">
        <v>669678</v>
      </c>
    </row>
    <row r="2456" spans="1:6" x14ac:dyDescent="0.35">
      <c r="A2456" t="s">
        <v>250</v>
      </c>
      <c r="B2456" t="s">
        <v>20</v>
      </c>
      <c r="C2456">
        <v>1974</v>
      </c>
      <c r="D2456">
        <v>5425</v>
      </c>
      <c r="F2456">
        <v>684668</v>
      </c>
    </row>
    <row r="2457" spans="1:6" x14ac:dyDescent="0.35">
      <c r="A2457" t="s">
        <v>250</v>
      </c>
      <c r="B2457" t="s">
        <v>20</v>
      </c>
      <c r="C2457">
        <v>1975</v>
      </c>
      <c r="D2457">
        <v>5839</v>
      </c>
      <c r="F2457">
        <v>665075</v>
      </c>
    </row>
    <row r="2458" spans="1:6" x14ac:dyDescent="0.35">
      <c r="A2458" t="s">
        <v>250</v>
      </c>
      <c r="B2458" t="s">
        <v>20</v>
      </c>
      <c r="C2458">
        <v>1976</v>
      </c>
      <c r="D2458">
        <v>5815</v>
      </c>
      <c r="F2458">
        <v>672935</v>
      </c>
    </row>
    <row r="2459" spans="1:6" x14ac:dyDescent="0.35">
      <c r="A2459" t="s">
        <v>250</v>
      </c>
      <c r="B2459" t="s">
        <v>20</v>
      </c>
      <c r="C2459">
        <v>1977</v>
      </c>
      <c r="D2459">
        <v>5593</v>
      </c>
      <c r="F2459">
        <v>651674</v>
      </c>
    </row>
    <row r="2460" spans="1:6" x14ac:dyDescent="0.35">
      <c r="A2460" t="s">
        <v>250</v>
      </c>
      <c r="B2460" t="s">
        <v>20</v>
      </c>
      <c r="C2460">
        <v>1978</v>
      </c>
      <c r="D2460">
        <v>5256</v>
      </c>
      <c r="F2460">
        <v>632073</v>
      </c>
    </row>
    <row r="2461" spans="1:6" x14ac:dyDescent="0.35">
      <c r="A2461" t="s">
        <v>250</v>
      </c>
      <c r="B2461" t="s">
        <v>20</v>
      </c>
      <c r="C2461">
        <v>1979</v>
      </c>
      <c r="D2461">
        <v>4908</v>
      </c>
      <c r="F2461">
        <v>597223</v>
      </c>
    </row>
    <row r="2462" spans="1:6" x14ac:dyDescent="0.35">
      <c r="A2462" t="s">
        <v>250</v>
      </c>
      <c r="B2462" t="s">
        <v>20</v>
      </c>
      <c r="C2462">
        <v>1980</v>
      </c>
      <c r="D2462">
        <v>4266</v>
      </c>
      <c r="F2462">
        <v>566763</v>
      </c>
    </row>
    <row r="2463" spans="1:6" x14ac:dyDescent="0.35">
      <c r="A2463" t="s">
        <v>250</v>
      </c>
      <c r="B2463" t="s">
        <v>20</v>
      </c>
      <c r="C2463">
        <v>1981</v>
      </c>
      <c r="D2463">
        <v>4786</v>
      </c>
      <c r="F2463">
        <v>526925</v>
      </c>
    </row>
    <row r="2464" spans="1:6" x14ac:dyDescent="0.35">
      <c r="A2464" t="s">
        <v>250</v>
      </c>
      <c r="B2464" t="s">
        <v>20</v>
      </c>
      <c r="C2464">
        <v>1982</v>
      </c>
      <c r="D2464">
        <v>5124</v>
      </c>
      <c r="F2464">
        <v>508070</v>
      </c>
    </row>
    <row r="2465" spans="1:6" x14ac:dyDescent="0.35">
      <c r="A2465" t="s">
        <v>250</v>
      </c>
      <c r="B2465" t="s">
        <v>20</v>
      </c>
      <c r="C2465">
        <v>1983</v>
      </c>
      <c r="D2465">
        <v>3349</v>
      </c>
      <c r="F2465">
        <v>481570</v>
      </c>
    </row>
    <row r="2466" spans="1:6" x14ac:dyDescent="0.35">
      <c r="A2466" t="s">
        <v>250</v>
      </c>
      <c r="B2466" t="s">
        <v>20</v>
      </c>
      <c r="C2466">
        <v>1984</v>
      </c>
      <c r="D2466">
        <v>3463</v>
      </c>
      <c r="F2466">
        <v>469029</v>
      </c>
    </row>
    <row r="2467" spans="1:6" x14ac:dyDescent="0.35">
      <c r="A2467" t="s">
        <v>250</v>
      </c>
      <c r="B2467" t="s">
        <v>20</v>
      </c>
      <c r="C2467">
        <v>1985</v>
      </c>
      <c r="D2467">
        <v>3376</v>
      </c>
      <c r="F2467">
        <v>452290</v>
      </c>
    </row>
    <row r="2468" spans="1:6" x14ac:dyDescent="0.35">
      <c r="A2468" t="s">
        <v>250</v>
      </c>
      <c r="B2468" t="s">
        <v>20</v>
      </c>
      <c r="C2468">
        <v>1986</v>
      </c>
      <c r="D2468">
        <v>3582</v>
      </c>
      <c r="F2468">
        <v>434003</v>
      </c>
    </row>
    <row r="2469" spans="1:6" x14ac:dyDescent="0.35">
      <c r="A2469" t="s">
        <v>250</v>
      </c>
      <c r="B2469" t="s">
        <v>20</v>
      </c>
      <c r="C2469">
        <v>1987</v>
      </c>
      <c r="D2469">
        <v>3624</v>
      </c>
      <c r="F2469">
        <v>421548</v>
      </c>
    </row>
    <row r="2470" spans="1:6" x14ac:dyDescent="0.35">
      <c r="A2470" t="s">
        <v>250</v>
      </c>
      <c r="B2470" t="s">
        <v>20</v>
      </c>
      <c r="C2470">
        <v>1988</v>
      </c>
      <c r="D2470">
        <v>3493</v>
      </c>
      <c r="F2470">
        <v>413818</v>
      </c>
    </row>
    <row r="2471" spans="1:6" x14ac:dyDescent="0.35">
      <c r="A2471" t="s">
        <v>250</v>
      </c>
      <c r="B2471" t="s">
        <v>20</v>
      </c>
      <c r="C2471">
        <v>1989</v>
      </c>
      <c r="D2471">
        <v>3519</v>
      </c>
      <c r="F2471">
        <v>402903</v>
      </c>
    </row>
    <row r="2472" spans="1:6" x14ac:dyDescent="0.35">
      <c r="A2472" t="s">
        <v>250</v>
      </c>
      <c r="B2472" t="s">
        <v>20</v>
      </c>
      <c r="C2472">
        <v>1990</v>
      </c>
      <c r="D2472">
        <v>3580</v>
      </c>
      <c r="F2472">
        <v>395580</v>
      </c>
    </row>
    <row r="2473" spans="1:6" x14ac:dyDescent="0.35">
      <c r="A2473" t="s">
        <v>250</v>
      </c>
      <c r="B2473" t="s">
        <v>20</v>
      </c>
      <c r="C2473">
        <v>1991</v>
      </c>
      <c r="D2473">
        <v>3590</v>
      </c>
      <c r="F2473">
        <v>390066</v>
      </c>
    </row>
    <row r="2474" spans="1:6" x14ac:dyDescent="0.35">
      <c r="A2474" t="s">
        <v>250</v>
      </c>
      <c r="B2474" t="s">
        <v>20</v>
      </c>
      <c r="C2474">
        <v>1992</v>
      </c>
      <c r="D2474">
        <v>3655</v>
      </c>
      <c r="F2474">
        <v>390746</v>
      </c>
    </row>
    <row r="2475" spans="1:6" x14ac:dyDescent="0.35">
      <c r="A2475" t="s">
        <v>250</v>
      </c>
      <c r="B2475" t="s">
        <v>20</v>
      </c>
      <c r="C2475">
        <v>1993</v>
      </c>
      <c r="D2475">
        <v>3745</v>
      </c>
      <c r="F2475">
        <v>379452</v>
      </c>
    </row>
    <row r="2476" spans="1:6" x14ac:dyDescent="0.35">
      <c r="A2476" t="s">
        <v>250</v>
      </c>
      <c r="B2476" t="s">
        <v>20</v>
      </c>
      <c r="C2476">
        <v>1994</v>
      </c>
      <c r="D2476">
        <v>4009</v>
      </c>
      <c r="F2476">
        <v>363140</v>
      </c>
    </row>
    <row r="2477" spans="1:6" x14ac:dyDescent="0.35">
      <c r="A2477" t="s">
        <v>250</v>
      </c>
      <c r="B2477" t="s">
        <v>20</v>
      </c>
      <c r="C2477">
        <v>1995</v>
      </c>
      <c r="D2477">
        <v>4167</v>
      </c>
      <c r="F2477">
        <v>356066</v>
      </c>
    </row>
    <row r="2478" spans="1:6" x14ac:dyDescent="0.35">
      <c r="A2478" t="s">
        <v>250</v>
      </c>
      <c r="B2478" t="s">
        <v>20</v>
      </c>
      <c r="C2478">
        <v>1996</v>
      </c>
      <c r="D2478">
        <v>4433</v>
      </c>
      <c r="F2478">
        <v>354729</v>
      </c>
    </row>
    <row r="2479" spans="1:6" x14ac:dyDescent="0.35">
      <c r="A2479" t="s">
        <v>250</v>
      </c>
      <c r="B2479" t="s">
        <v>20</v>
      </c>
      <c r="C2479">
        <v>1997</v>
      </c>
      <c r="D2479">
        <v>4649</v>
      </c>
      <c r="F2479">
        <v>360743</v>
      </c>
    </row>
    <row r="2480" spans="1:6" x14ac:dyDescent="0.35">
      <c r="A2480" t="s">
        <v>250</v>
      </c>
      <c r="B2480" t="s">
        <v>20</v>
      </c>
      <c r="C2480">
        <v>1998</v>
      </c>
      <c r="D2480">
        <v>4820</v>
      </c>
      <c r="F2480">
        <v>356378</v>
      </c>
    </row>
    <row r="2481" spans="1:6" x14ac:dyDescent="0.35">
      <c r="A2481" t="s">
        <v>250</v>
      </c>
      <c r="B2481" t="s">
        <v>20</v>
      </c>
      <c r="C2481">
        <v>1999</v>
      </c>
      <c r="D2481">
        <v>5457</v>
      </c>
      <c r="F2481">
        <v>370003</v>
      </c>
    </row>
    <row r="2482" spans="1:6" x14ac:dyDescent="0.35">
      <c r="A2482" t="s">
        <v>250</v>
      </c>
      <c r="B2482" t="s">
        <v>20</v>
      </c>
      <c r="C2482">
        <v>2000</v>
      </c>
      <c r="D2482">
        <v>5975</v>
      </c>
      <c r="F2482">
        <v>386336</v>
      </c>
    </row>
    <row r="2483" spans="1:6" x14ac:dyDescent="0.35">
      <c r="A2483" t="s">
        <v>250</v>
      </c>
      <c r="B2483" t="s">
        <v>20</v>
      </c>
      <c r="C2483">
        <v>2001</v>
      </c>
      <c r="D2483">
        <v>6234</v>
      </c>
      <c r="F2483">
        <v>394507</v>
      </c>
    </row>
    <row r="2484" spans="1:6" x14ac:dyDescent="0.35">
      <c r="A2484" t="s">
        <v>250</v>
      </c>
      <c r="B2484" t="s">
        <v>20</v>
      </c>
      <c r="C2484">
        <v>2002</v>
      </c>
      <c r="D2484">
        <v>6929</v>
      </c>
      <c r="F2484">
        <v>405512</v>
      </c>
    </row>
    <row r="2485" spans="1:6" x14ac:dyDescent="0.35">
      <c r="A2485" t="s">
        <v>250</v>
      </c>
      <c r="B2485" t="s">
        <v>20</v>
      </c>
      <c r="C2485">
        <v>2003</v>
      </c>
      <c r="D2485">
        <v>7499</v>
      </c>
      <c r="F2485">
        <v>427457</v>
      </c>
    </row>
    <row r="2486" spans="1:6" x14ac:dyDescent="0.35">
      <c r="A2486" t="s">
        <v>250</v>
      </c>
      <c r="B2486" t="s">
        <v>20</v>
      </c>
      <c r="C2486">
        <v>2004</v>
      </c>
      <c r="D2486">
        <v>7712</v>
      </c>
      <c r="F2486">
        <v>439806</v>
      </c>
    </row>
    <row r="2487" spans="1:6" x14ac:dyDescent="0.35">
      <c r="A2487" t="s">
        <v>250</v>
      </c>
      <c r="B2487" t="s">
        <v>20</v>
      </c>
      <c r="C2487">
        <v>2005</v>
      </c>
      <c r="D2487">
        <v>8225</v>
      </c>
      <c r="F2487">
        <v>450831</v>
      </c>
    </row>
    <row r="2488" spans="1:6" x14ac:dyDescent="0.35">
      <c r="A2488" t="s">
        <v>250</v>
      </c>
      <c r="B2488" t="s">
        <v>20</v>
      </c>
      <c r="C2488">
        <v>2006</v>
      </c>
      <c r="D2488">
        <v>8510</v>
      </c>
      <c r="F2488">
        <v>466913</v>
      </c>
    </row>
    <row r="2489" spans="1:6" x14ac:dyDescent="0.35">
      <c r="A2489" t="s">
        <v>250</v>
      </c>
      <c r="B2489" t="s">
        <v>20</v>
      </c>
      <c r="C2489">
        <v>2007</v>
      </c>
      <c r="D2489">
        <v>9254</v>
      </c>
      <c r="F2489">
        <v>474833</v>
      </c>
    </row>
    <row r="2490" spans="1:6" x14ac:dyDescent="0.35">
      <c r="A2490" t="s">
        <v>250</v>
      </c>
      <c r="B2490" t="s">
        <v>20</v>
      </c>
      <c r="C2490">
        <v>2008</v>
      </c>
      <c r="D2490">
        <v>9696</v>
      </c>
      <c r="F2490">
        <v>501334</v>
      </c>
    </row>
    <row r="2491" spans="1:6" x14ac:dyDescent="0.35">
      <c r="A2491" t="s">
        <v>250</v>
      </c>
      <c r="B2491" t="s">
        <v>20</v>
      </c>
      <c r="C2491">
        <v>2009</v>
      </c>
      <c r="D2491">
        <v>9965</v>
      </c>
      <c r="F2491">
        <v>475926</v>
      </c>
    </row>
    <row r="2492" spans="1:6" x14ac:dyDescent="0.35">
      <c r="A2492" t="s">
        <v>250</v>
      </c>
      <c r="B2492" t="s">
        <v>20</v>
      </c>
      <c r="C2492">
        <v>2010</v>
      </c>
      <c r="D2492">
        <v>9653</v>
      </c>
      <c r="F2492">
        <v>468191</v>
      </c>
    </row>
    <row r="2493" spans="1:6" x14ac:dyDescent="0.35">
      <c r="A2493" t="s">
        <v>250</v>
      </c>
      <c r="B2493" t="s">
        <v>20</v>
      </c>
      <c r="C2493">
        <v>2011</v>
      </c>
      <c r="D2493">
        <v>9629</v>
      </c>
      <c r="F2493">
        <v>453763</v>
      </c>
    </row>
    <row r="2494" spans="1:6" x14ac:dyDescent="0.35">
      <c r="A2494" t="s">
        <v>250</v>
      </c>
      <c r="B2494" t="s">
        <v>20</v>
      </c>
      <c r="C2494">
        <v>2012</v>
      </c>
      <c r="D2494">
        <v>9796</v>
      </c>
      <c r="F2494">
        <v>436096</v>
      </c>
    </row>
    <row r="2495" spans="1:6" x14ac:dyDescent="0.35">
      <c r="A2495" t="s">
        <v>250</v>
      </c>
      <c r="B2495" t="s">
        <v>20</v>
      </c>
      <c r="C2495">
        <v>2013</v>
      </c>
      <c r="D2495">
        <v>8870</v>
      </c>
      <c r="F2495">
        <v>409008</v>
      </c>
    </row>
    <row r="2496" spans="1:6" x14ac:dyDescent="0.35">
      <c r="A2496" t="s">
        <v>250</v>
      </c>
      <c r="B2496" t="s">
        <v>20</v>
      </c>
      <c r="C2496">
        <v>2014</v>
      </c>
      <c r="D2496">
        <v>9493</v>
      </c>
      <c r="F2496">
        <v>409597</v>
      </c>
    </row>
    <row r="2497" spans="1:6" x14ac:dyDescent="0.35">
      <c r="A2497" t="s">
        <v>250</v>
      </c>
      <c r="B2497" t="s">
        <v>20</v>
      </c>
      <c r="C2497">
        <v>2015</v>
      </c>
      <c r="D2497">
        <v>9101</v>
      </c>
      <c r="F2497">
        <v>403050</v>
      </c>
    </row>
    <row r="2498" spans="1:6" x14ac:dyDescent="0.35">
      <c r="A2498" t="s">
        <v>250</v>
      </c>
      <c r="B2498" t="s">
        <v>20</v>
      </c>
      <c r="C2498">
        <v>2016</v>
      </c>
      <c r="D2498">
        <v>8899</v>
      </c>
      <c r="F2498">
        <v>393801</v>
      </c>
    </row>
    <row r="2499" spans="1:6" x14ac:dyDescent="0.35">
      <c r="A2499" t="s">
        <v>250</v>
      </c>
      <c r="B2499" t="s">
        <v>20</v>
      </c>
      <c r="C2499">
        <v>2017</v>
      </c>
      <c r="D2499">
        <v>8134</v>
      </c>
      <c r="F2499">
        <v>377906</v>
      </c>
    </row>
    <row r="2500" spans="1:6" x14ac:dyDescent="0.35">
      <c r="A2500" t="s">
        <v>250</v>
      </c>
      <c r="B2500" t="s">
        <v>20</v>
      </c>
      <c r="C2500">
        <v>2018</v>
      </c>
      <c r="D2500">
        <v>7170</v>
      </c>
      <c r="F2500">
        <v>359383</v>
      </c>
    </row>
    <row r="2501" spans="1:6" x14ac:dyDescent="0.35">
      <c r="A2501" t="s">
        <v>250</v>
      </c>
      <c r="B2501" t="s">
        <v>20</v>
      </c>
      <c r="C2501">
        <v>2019</v>
      </c>
      <c r="D2501">
        <v>6372</v>
      </c>
      <c r="F2501">
        <v>348812</v>
      </c>
    </row>
    <row r="2502" spans="1:6" x14ac:dyDescent="0.35">
      <c r="A2502" t="s">
        <v>250</v>
      </c>
      <c r="B2502" t="s">
        <v>20</v>
      </c>
      <c r="C2502">
        <v>2020</v>
      </c>
      <c r="D2502">
        <v>5479</v>
      </c>
      <c r="F2502">
        <v>331204</v>
      </c>
    </row>
    <row r="2503" spans="1:6" x14ac:dyDescent="0.35">
      <c r="A2503" t="s">
        <v>251</v>
      </c>
      <c r="B2503" t="s">
        <v>4</v>
      </c>
      <c r="C2503">
        <v>1906</v>
      </c>
    </row>
    <row r="2504" spans="1:6" x14ac:dyDescent="0.35">
      <c r="A2504" t="s">
        <v>251</v>
      </c>
      <c r="B2504" t="s">
        <v>4</v>
      </c>
      <c r="C2504">
        <v>1907</v>
      </c>
    </row>
    <row r="2505" spans="1:6" x14ac:dyDescent="0.35">
      <c r="A2505" t="s">
        <v>251</v>
      </c>
      <c r="B2505" t="s">
        <v>4</v>
      </c>
      <c r="C2505">
        <v>1908</v>
      </c>
    </row>
    <row r="2506" spans="1:6" x14ac:dyDescent="0.35">
      <c r="A2506" t="s">
        <v>251</v>
      </c>
      <c r="B2506" t="s">
        <v>4</v>
      </c>
      <c r="C2506">
        <v>1909</v>
      </c>
    </row>
    <row r="2507" spans="1:6" x14ac:dyDescent="0.35">
      <c r="A2507" t="s">
        <v>251</v>
      </c>
      <c r="B2507" t="s">
        <v>4</v>
      </c>
      <c r="C2507">
        <v>1910</v>
      </c>
    </row>
    <row r="2508" spans="1:6" x14ac:dyDescent="0.35">
      <c r="A2508" t="s">
        <v>251</v>
      </c>
      <c r="B2508" t="s">
        <v>4</v>
      </c>
      <c r="C2508">
        <v>1911</v>
      </c>
    </row>
    <row r="2509" spans="1:6" x14ac:dyDescent="0.35">
      <c r="A2509" t="s">
        <v>251</v>
      </c>
      <c r="B2509" t="s">
        <v>4</v>
      </c>
      <c r="C2509">
        <v>1912</v>
      </c>
    </row>
    <row r="2510" spans="1:6" x14ac:dyDescent="0.35">
      <c r="A2510" t="s">
        <v>251</v>
      </c>
      <c r="B2510" t="s">
        <v>4</v>
      </c>
      <c r="C2510">
        <v>1913</v>
      </c>
    </row>
    <row r="2511" spans="1:6" x14ac:dyDescent="0.35">
      <c r="A2511" t="s">
        <v>251</v>
      </c>
      <c r="B2511" t="s">
        <v>4</v>
      </c>
      <c r="C2511">
        <v>1914</v>
      </c>
    </row>
    <row r="2512" spans="1:6" x14ac:dyDescent="0.35">
      <c r="A2512" t="s">
        <v>251</v>
      </c>
      <c r="B2512" t="s">
        <v>4</v>
      </c>
      <c r="C2512">
        <v>1915</v>
      </c>
    </row>
    <row r="2513" spans="1:3" x14ac:dyDescent="0.35">
      <c r="A2513" t="s">
        <v>251</v>
      </c>
      <c r="B2513" t="s">
        <v>4</v>
      </c>
      <c r="C2513">
        <v>1916</v>
      </c>
    </row>
    <row r="2514" spans="1:3" x14ac:dyDescent="0.35">
      <c r="A2514" t="s">
        <v>251</v>
      </c>
      <c r="B2514" t="s">
        <v>4</v>
      </c>
      <c r="C2514">
        <v>1917</v>
      </c>
    </row>
    <row r="2515" spans="1:3" x14ac:dyDescent="0.35">
      <c r="A2515" t="s">
        <v>251</v>
      </c>
      <c r="B2515" t="s">
        <v>4</v>
      </c>
      <c r="C2515">
        <v>1918</v>
      </c>
    </row>
    <row r="2516" spans="1:3" x14ac:dyDescent="0.35">
      <c r="A2516" t="s">
        <v>251</v>
      </c>
      <c r="B2516" t="s">
        <v>4</v>
      </c>
      <c r="C2516">
        <v>1919</v>
      </c>
    </row>
    <row r="2517" spans="1:3" x14ac:dyDescent="0.35">
      <c r="A2517" t="s">
        <v>251</v>
      </c>
      <c r="B2517" t="s">
        <v>4</v>
      </c>
      <c r="C2517">
        <v>1920</v>
      </c>
    </row>
    <row r="2518" spans="1:3" x14ac:dyDescent="0.35">
      <c r="A2518" t="s">
        <v>251</v>
      </c>
      <c r="B2518" t="s">
        <v>4</v>
      </c>
      <c r="C2518">
        <v>1921</v>
      </c>
    </row>
    <row r="2519" spans="1:3" x14ac:dyDescent="0.35">
      <c r="A2519" t="s">
        <v>251</v>
      </c>
      <c r="B2519" t="s">
        <v>4</v>
      </c>
      <c r="C2519">
        <v>1922</v>
      </c>
    </row>
    <row r="2520" spans="1:3" x14ac:dyDescent="0.35">
      <c r="A2520" t="s">
        <v>251</v>
      </c>
      <c r="B2520" t="s">
        <v>4</v>
      </c>
      <c r="C2520">
        <v>1923</v>
      </c>
    </row>
    <row r="2521" spans="1:3" x14ac:dyDescent="0.35">
      <c r="A2521" t="s">
        <v>251</v>
      </c>
      <c r="B2521" t="s">
        <v>4</v>
      </c>
      <c r="C2521">
        <v>1924</v>
      </c>
    </row>
    <row r="2522" spans="1:3" x14ac:dyDescent="0.35">
      <c r="A2522" t="s">
        <v>251</v>
      </c>
      <c r="B2522" t="s">
        <v>4</v>
      </c>
      <c r="C2522">
        <v>1925</v>
      </c>
    </row>
    <row r="2523" spans="1:3" x14ac:dyDescent="0.35">
      <c r="A2523" t="s">
        <v>251</v>
      </c>
      <c r="B2523" t="s">
        <v>4</v>
      </c>
      <c r="C2523">
        <v>1926</v>
      </c>
    </row>
    <row r="2524" spans="1:3" x14ac:dyDescent="0.35">
      <c r="A2524" t="s">
        <v>251</v>
      </c>
      <c r="B2524" t="s">
        <v>4</v>
      </c>
      <c r="C2524">
        <v>1927</v>
      </c>
    </row>
    <row r="2525" spans="1:3" x14ac:dyDescent="0.35">
      <c r="A2525" t="s">
        <v>251</v>
      </c>
      <c r="B2525" t="s">
        <v>4</v>
      </c>
      <c r="C2525">
        <v>1928</v>
      </c>
    </row>
    <row r="2526" spans="1:3" x14ac:dyDescent="0.35">
      <c r="A2526" t="s">
        <v>251</v>
      </c>
      <c r="B2526" t="s">
        <v>4</v>
      </c>
      <c r="C2526">
        <v>1929</v>
      </c>
    </row>
    <row r="2527" spans="1:3" x14ac:dyDescent="0.35">
      <c r="A2527" t="s">
        <v>251</v>
      </c>
      <c r="B2527" t="s">
        <v>4</v>
      </c>
      <c r="C2527">
        <v>1930</v>
      </c>
    </row>
    <row r="2528" spans="1:3" x14ac:dyDescent="0.35">
      <c r="A2528" t="s">
        <v>251</v>
      </c>
      <c r="B2528" t="s">
        <v>4</v>
      </c>
      <c r="C2528">
        <v>1931</v>
      </c>
    </row>
    <row r="2529" spans="1:4" x14ac:dyDescent="0.35">
      <c r="A2529" t="s">
        <v>251</v>
      </c>
      <c r="B2529" t="s">
        <v>4</v>
      </c>
      <c r="C2529">
        <v>1932</v>
      </c>
    </row>
    <row r="2530" spans="1:4" x14ac:dyDescent="0.35">
      <c r="A2530" t="s">
        <v>251</v>
      </c>
      <c r="B2530" t="s">
        <v>4</v>
      </c>
      <c r="C2530">
        <v>1933</v>
      </c>
    </row>
    <row r="2531" spans="1:4" x14ac:dyDescent="0.35">
      <c r="A2531" t="s">
        <v>251</v>
      </c>
      <c r="B2531" t="s">
        <v>4</v>
      </c>
      <c r="C2531">
        <v>1934</v>
      </c>
    </row>
    <row r="2532" spans="1:4" x14ac:dyDescent="0.35">
      <c r="A2532" t="s">
        <v>251</v>
      </c>
      <c r="B2532" t="s">
        <v>4</v>
      </c>
      <c r="C2532">
        <v>1935</v>
      </c>
    </row>
    <row r="2533" spans="1:4" x14ac:dyDescent="0.35">
      <c r="A2533" t="s">
        <v>251</v>
      </c>
      <c r="B2533" t="s">
        <v>4</v>
      </c>
      <c r="C2533">
        <v>1936</v>
      </c>
    </row>
    <row r="2534" spans="1:4" x14ac:dyDescent="0.35">
      <c r="A2534" t="s">
        <v>251</v>
      </c>
      <c r="C2534">
        <v>1937</v>
      </c>
    </row>
    <row r="2535" spans="1:4" x14ac:dyDescent="0.35">
      <c r="A2535" t="s">
        <v>251</v>
      </c>
      <c r="C2535">
        <v>1938</v>
      </c>
    </row>
    <row r="2536" spans="1:4" x14ac:dyDescent="0.35">
      <c r="A2536" t="s">
        <v>251</v>
      </c>
      <c r="C2536">
        <v>1939</v>
      </c>
    </row>
    <row r="2537" spans="1:4" x14ac:dyDescent="0.35">
      <c r="A2537" t="s">
        <v>251</v>
      </c>
      <c r="C2537">
        <v>1940</v>
      </c>
    </row>
    <row r="2538" spans="1:4" x14ac:dyDescent="0.35">
      <c r="A2538" t="s">
        <v>251</v>
      </c>
      <c r="B2538" t="s">
        <v>252</v>
      </c>
      <c r="C2538">
        <v>1941</v>
      </c>
      <c r="D2538">
        <v>1419</v>
      </c>
    </row>
    <row r="2539" spans="1:4" x14ac:dyDescent="0.35">
      <c r="A2539" t="s">
        <v>251</v>
      </c>
      <c r="B2539" t="s">
        <v>252</v>
      </c>
      <c r="C2539">
        <v>1942</v>
      </c>
      <c r="D2539">
        <v>940</v>
      </c>
    </row>
    <row r="2540" spans="1:4" x14ac:dyDescent="0.35">
      <c r="A2540" t="s">
        <v>251</v>
      </c>
      <c r="B2540" t="s">
        <v>252</v>
      </c>
      <c r="C2540">
        <v>1943</v>
      </c>
      <c r="D2540">
        <v>1240</v>
      </c>
    </row>
    <row r="2541" spans="1:4" x14ac:dyDescent="0.35">
      <c r="A2541" t="s">
        <v>251</v>
      </c>
      <c r="B2541" t="s">
        <v>252</v>
      </c>
      <c r="C2541">
        <v>1944</v>
      </c>
      <c r="D2541">
        <v>1234</v>
      </c>
    </row>
    <row r="2542" spans="1:4" x14ac:dyDescent="0.35">
      <c r="A2542" t="s">
        <v>251</v>
      </c>
      <c r="B2542" t="s">
        <v>252</v>
      </c>
      <c r="C2542">
        <v>1945</v>
      </c>
      <c r="D2542">
        <v>1519</v>
      </c>
    </row>
    <row r="2543" spans="1:4" x14ac:dyDescent="0.35">
      <c r="A2543" t="s">
        <v>251</v>
      </c>
      <c r="B2543" t="s">
        <v>252</v>
      </c>
      <c r="C2543">
        <v>1946</v>
      </c>
      <c r="D2543">
        <v>1645</v>
      </c>
    </row>
    <row r="2544" spans="1:4" x14ac:dyDescent="0.35">
      <c r="A2544" t="s">
        <v>251</v>
      </c>
      <c r="B2544" t="s">
        <v>252</v>
      </c>
      <c r="C2544">
        <v>1947</v>
      </c>
      <c r="D2544">
        <v>1547</v>
      </c>
    </row>
    <row r="2545" spans="1:4" x14ac:dyDescent="0.35">
      <c r="A2545" t="s">
        <v>251</v>
      </c>
      <c r="B2545" t="s">
        <v>252</v>
      </c>
      <c r="C2545">
        <v>1948</v>
      </c>
      <c r="D2545">
        <v>1505</v>
      </c>
    </row>
    <row r="2546" spans="1:4" x14ac:dyDescent="0.35">
      <c r="A2546" t="s">
        <v>251</v>
      </c>
      <c r="B2546" t="s">
        <v>252</v>
      </c>
      <c r="C2546">
        <v>1949</v>
      </c>
      <c r="D2546">
        <v>1451</v>
      </c>
    </row>
    <row r="2547" spans="1:4" x14ac:dyDescent="0.35">
      <c r="A2547" t="s">
        <v>251</v>
      </c>
      <c r="B2547" t="s">
        <v>252</v>
      </c>
      <c r="C2547">
        <v>1950</v>
      </c>
      <c r="D2547">
        <v>1447</v>
      </c>
    </row>
    <row r="2548" spans="1:4" x14ac:dyDescent="0.35">
      <c r="A2548" t="s">
        <v>251</v>
      </c>
      <c r="B2548" t="s">
        <v>252</v>
      </c>
      <c r="C2548">
        <v>1951</v>
      </c>
      <c r="D2548">
        <v>1349</v>
      </c>
    </row>
    <row r="2549" spans="1:4" x14ac:dyDescent="0.35">
      <c r="A2549" t="s">
        <v>251</v>
      </c>
      <c r="B2549" t="s">
        <v>252</v>
      </c>
      <c r="C2549">
        <v>1952</v>
      </c>
      <c r="D2549">
        <v>1525</v>
      </c>
    </row>
    <row r="2550" spans="1:4" x14ac:dyDescent="0.35">
      <c r="A2550" t="s">
        <v>251</v>
      </c>
      <c r="B2550" t="s">
        <v>252</v>
      </c>
      <c r="C2550">
        <v>1953</v>
      </c>
      <c r="D2550">
        <v>1476</v>
      </c>
    </row>
    <row r="2551" spans="1:4" x14ac:dyDescent="0.35">
      <c r="A2551" t="s">
        <v>251</v>
      </c>
      <c r="B2551" t="s">
        <v>252</v>
      </c>
      <c r="C2551">
        <v>1954</v>
      </c>
      <c r="D2551">
        <v>1408</v>
      </c>
    </row>
    <row r="2552" spans="1:4" x14ac:dyDescent="0.35">
      <c r="A2552" t="s">
        <v>251</v>
      </c>
      <c r="B2552" t="s">
        <v>252</v>
      </c>
      <c r="C2552">
        <v>1955</v>
      </c>
      <c r="D2552">
        <v>1476</v>
      </c>
    </row>
    <row r="2553" spans="1:4" x14ac:dyDescent="0.35">
      <c r="A2553" t="s">
        <v>251</v>
      </c>
      <c r="B2553" t="s">
        <v>252</v>
      </c>
      <c r="C2553">
        <v>1956</v>
      </c>
      <c r="D2553">
        <v>1439</v>
      </c>
    </row>
    <row r="2554" spans="1:4" x14ac:dyDescent="0.35">
      <c r="A2554" t="s">
        <v>251</v>
      </c>
      <c r="B2554" t="s">
        <v>252</v>
      </c>
      <c r="C2554">
        <v>1957</v>
      </c>
      <c r="D2554">
        <v>1334</v>
      </c>
    </row>
    <row r="2555" spans="1:4" x14ac:dyDescent="0.35">
      <c r="A2555" t="s">
        <v>251</v>
      </c>
      <c r="B2555" t="s">
        <v>252</v>
      </c>
      <c r="C2555">
        <v>1958</v>
      </c>
      <c r="D2555">
        <v>1269</v>
      </c>
    </row>
    <row r="2556" spans="1:4" x14ac:dyDescent="0.35">
      <c r="A2556" t="s">
        <v>251</v>
      </c>
      <c r="B2556" t="s">
        <v>252</v>
      </c>
      <c r="C2556">
        <v>1959</v>
      </c>
      <c r="D2556">
        <v>1225</v>
      </c>
    </row>
    <row r="2557" spans="1:4" x14ac:dyDescent="0.35">
      <c r="A2557" t="s">
        <v>251</v>
      </c>
      <c r="B2557" t="s">
        <v>252</v>
      </c>
      <c r="C2557">
        <v>1960</v>
      </c>
      <c r="D2557">
        <v>1181</v>
      </c>
    </row>
    <row r="2558" spans="1:4" x14ac:dyDescent="0.35">
      <c r="A2558" t="s">
        <v>251</v>
      </c>
      <c r="B2558" t="s">
        <v>252</v>
      </c>
      <c r="C2558">
        <v>1961</v>
      </c>
      <c r="D2558">
        <v>1225</v>
      </c>
    </row>
    <row r="2559" spans="1:4" x14ac:dyDescent="0.35">
      <c r="A2559" t="s">
        <v>251</v>
      </c>
      <c r="B2559" t="s">
        <v>252</v>
      </c>
      <c r="C2559">
        <v>1962</v>
      </c>
      <c r="D2559">
        <v>1167</v>
      </c>
    </row>
    <row r="2560" spans="1:4" x14ac:dyDescent="0.35">
      <c r="A2560" t="s">
        <v>251</v>
      </c>
      <c r="B2560" t="s">
        <v>252</v>
      </c>
      <c r="C2560">
        <v>1963</v>
      </c>
      <c r="D2560">
        <v>1144</v>
      </c>
    </row>
    <row r="2561" spans="1:4" x14ac:dyDescent="0.35">
      <c r="A2561" t="s">
        <v>251</v>
      </c>
      <c r="B2561" t="s">
        <v>252</v>
      </c>
      <c r="C2561">
        <v>1964</v>
      </c>
      <c r="D2561">
        <v>1121</v>
      </c>
    </row>
    <row r="2562" spans="1:4" x14ac:dyDescent="0.35">
      <c r="A2562" t="s">
        <v>251</v>
      </c>
      <c r="B2562" t="s">
        <v>252</v>
      </c>
      <c r="C2562">
        <v>1965</v>
      </c>
      <c r="D2562">
        <v>1027</v>
      </c>
    </row>
    <row r="2563" spans="1:4" x14ac:dyDescent="0.35">
      <c r="A2563" t="s">
        <v>251</v>
      </c>
      <c r="B2563" t="s">
        <v>252</v>
      </c>
      <c r="C2563">
        <v>1966</v>
      </c>
      <c r="D2563">
        <v>1062</v>
      </c>
    </row>
    <row r="2564" spans="1:4" x14ac:dyDescent="0.35">
      <c r="A2564" t="s">
        <v>251</v>
      </c>
      <c r="B2564" t="s">
        <v>252</v>
      </c>
      <c r="C2564">
        <v>1967</v>
      </c>
      <c r="D2564">
        <v>1033</v>
      </c>
    </row>
    <row r="2565" spans="1:4" x14ac:dyDescent="0.35">
      <c r="A2565" t="s">
        <v>251</v>
      </c>
      <c r="B2565" t="s">
        <v>252</v>
      </c>
      <c r="C2565">
        <v>1968</v>
      </c>
      <c r="D2565">
        <v>898</v>
      </c>
    </row>
    <row r="2566" spans="1:4" x14ac:dyDescent="0.35">
      <c r="A2566" t="s">
        <v>251</v>
      </c>
      <c r="B2566" t="s">
        <v>252</v>
      </c>
      <c r="C2566">
        <v>1969</v>
      </c>
      <c r="D2566">
        <v>796</v>
      </c>
    </row>
    <row r="2567" spans="1:4" x14ac:dyDescent="0.35">
      <c r="A2567" t="s">
        <v>251</v>
      </c>
      <c r="B2567" t="s">
        <v>252</v>
      </c>
      <c r="C2567">
        <v>1970</v>
      </c>
      <c r="D2567">
        <v>761</v>
      </c>
    </row>
    <row r="2568" spans="1:4" x14ac:dyDescent="0.35">
      <c r="A2568" t="s">
        <v>251</v>
      </c>
      <c r="B2568" t="s">
        <v>252</v>
      </c>
      <c r="C2568">
        <v>1971</v>
      </c>
      <c r="D2568">
        <v>711</v>
      </c>
    </row>
    <row r="2569" spans="1:4" x14ac:dyDescent="0.35">
      <c r="A2569" t="s">
        <v>251</v>
      </c>
      <c r="B2569" t="s">
        <v>252</v>
      </c>
      <c r="C2569">
        <v>1972</v>
      </c>
      <c r="D2569">
        <v>717</v>
      </c>
    </row>
    <row r="2570" spans="1:4" x14ac:dyDescent="0.35">
      <c r="A2570" t="s">
        <v>251</v>
      </c>
      <c r="B2570" t="s">
        <v>252</v>
      </c>
      <c r="C2570">
        <v>1973</v>
      </c>
      <c r="D2570">
        <v>645</v>
      </c>
    </row>
    <row r="2571" spans="1:4" x14ac:dyDescent="0.35">
      <c r="A2571" t="s">
        <v>251</v>
      </c>
      <c r="B2571" t="s">
        <v>252</v>
      </c>
      <c r="C2571">
        <v>1974</v>
      </c>
      <c r="D2571">
        <v>647</v>
      </c>
    </row>
    <row r="2572" spans="1:4" x14ac:dyDescent="0.35">
      <c r="A2572" t="s">
        <v>251</v>
      </c>
      <c r="B2572" t="s">
        <v>252</v>
      </c>
      <c r="C2572">
        <v>1975</v>
      </c>
      <c r="D2572">
        <v>735</v>
      </c>
    </row>
    <row r="2573" spans="1:4" x14ac:dyDescent="0.35">
      <c r="A2573" t="s">
        <v>251</v>
      </c>
      <c r="B2573" t="s">
        <v>252</v>
      </c>
      <c r="C2573">
        <v>1976</v>
      </c>
      <c r="D2573">
        <v>716</v>
      </c>
    </row>
    <row r="2574" spans="1:4" x14ac:dyDescent="0.35">
      <c r="A2574" t="s">
        <v>251</v>
      </c>
      <c r="B2574" t="s">
        <v>252</v>
      </c>
      <c r="C2574">
        <v>1977</v>
      </c>
      <c r="D2574">
        <v>682</v>
      </c>
    </row>
    <row r="2575" spans="1:4" x14ac:dyDescent="0.35">
      <c r="A2575" t="s">
        <v>251</v>
      </c>
      <c r="B2575" t="s">
        <v>252</v>
      </c>
      <c r="C2575">
        <v>1978</v>
      </c>
      <c r="D2575">
        <v>705</v>
      </c>
    </row>
    <row r="2576" spans="1:4" x14ac:dyDescent="0.35">
      <c r="A2576" t="s">
        <v>251</v>
      </c>
      <c r="B2576" t="s">
        <v>252</v>
      </c>
      <c r="C2576">
        <v>1979</v>
      </c>
      <c r="D2576">
        <v>664</v>
      </c>
    </row>
    <row r="2577" spans="1:6" x14ac:dyDescent="0.35">
      <c r="A2577" t="s">
        <v>251</v>
      </c>
      <c r="B2577" t="s">
        <v>252</v>
      </c>
      <c r="C2577">
        <v>1980</v>
      </c>
      <c r="D2577">
        <v>684</v>
      </c>
    </row>
    <row r="2578" spans="1:6" x14ac:dyDescent="0.35">
      <c r="A2578" t="s">
        <v>251</v>
      </c>
      <c r="B2578" t="s">
        <v>252</v>
      </c>
      <c r="C2578">
        <v>1981</v>
      </c>
      <c r="D2578">
        <v>673</v>
      </c>
    </row>
    <row r="2579" spans="1:6" x14ac:dyDescent="0.35">
      <c r="A2579" t="s">
        <v>251</v>
      </c>
      <c r="B2579" t="s">
        <v>252</v>
      </c>
      <c r="C2579">
        <v>1982</v>
      </c>
      <c r="D2579">
        <v>701</v>
      </c>
    </row>
    <row r="2580" spans="1:6" x14ac:dyDescent="0.35">
      <c r="A2580" t="s">
        <v>251</v>
      </c>
      <c r="B2580" t="s">
        <v>252</v>
      </c>
      <c r="C2580">
        <v>1983</v>
      </c>
      <c r="D2580">
        <v>711</v>
      </c>
    </row>
    <row r="2581" spans="1:6" x14ac:dyDescent="0.35">
      <c r="A2581" t="s">
        <v>251</v>
      </c>
      <c r="B2581" t="s">
        <v>252</v>
      </c>
      <c r="C2581">
        <v>1984</v>
      </c>
      <c r="D2581">
        <v>683</v>
      </c>
    </row>
    <row r="2582" spans="1:6" x14ac:dyDescent="0.35">
      <c r="A2582" t="s">
        <v>251</v>
      </c>
      <c r="B2582" t="s">
        <v>252</v>
      </c>
      <c r="C2582">
        <v>1985</v>
      </c>
      <c r="D2582">
        <v>696</v>
      </c>
    </row>
    <row r="2583" spans="1:6" x14ac:dyDescent="0.35">
      <c r="A2583" t="s">
        <v>251</v>
      </c>
      <c r="B2583" t="s">
        <v>252</v>
      </c>
      <c r="C2583">
        <v>1986</v>
      </c>
      <c r="D2583">
        <v>656</v>
      </c>
    </row>
    <row r="2584" spans="1:6" x14ac:dyDescent="0.35">
      <c r="A2584" t="s">
        <v>251</v>
      </c>
      <c r="B2584" t="s">
        <v>252</v>
      </c>
      <c r="C2584">
        <v>1987</v>
      </c>
      <c r="D2584">
        <v>640</v>
      </c>
    </row>
    <row r="2585" spans="1:6" x14ac:dyDescent="0.35">
      <c r="A2585" t="s">
        <v>251</v>
      </c>
      <c r="B2585" t="s">
        <v>252</v>
      </c>
      <c r="C2585">
        <v>1988</v>
      </c>
      <c r="D2585">
        <v>693</v>
      </c>
      <c r="F2585">
        <v>62218</v>
      </c>
    </row>
    <row r="2586" spans="1:6" x14ac:dyDescent="0.35">
      <c r="A2586" t="s">
        <v>251</v>
      </c>
      <c r="B2586" t="s">
        <v>252</v>
      </c>
      <c r="C2586">
        <v>1989</v>
      </c>
      <c r="D2586">
        <v>667</v>
      </c>
      <c r="F2586">
        <v>62245</v>
      </c>
    </row>
    <row r="2587" spans="1:6" x14ac:dyDescent="0.35">
      <c r="A2587" t="s">
        <v>251</v>
      </c>
      <c r="B2587" t="s">
        <v>252</v>
      </c>
      <c r="C2587">
        <v>1990</v>
      </c>
      <c r="D2587">
        <v>761</v>
      </c>
      <c r="F2587">
        <v>64255</v>
      </c>
    </row>
    <row r="2588" spans="1:6" x14ac:dyDescent="0.35">
      <c r="A2588" t="s">
        <v>251</v>
      </c>
      <c r="B2588" t="s">
        <v>252</v>
      </c>
      <c r="C2588">
        <v>1991</v>
      </c>
      <c r="D2588">
        <v>770</v>
      </c>
      <c r="F2588">
        <v>64086</v>
      </c>
    </row>
    <row r="2589" spans="1:6" x14ac:dyDescent="0.35">
      <c r="A2589" t="s">
        <v>251</v>
      </c>
      <c r="B2589" t="s">
        <v>252</v>
      </c>
      <c r="C2589">
        <v>1992</v>
      </c>
      <c r="D2589">
        <v>859</v>
      </c>
      <c r="F2589">
        <v>65194</v>
      </c>
    </row>
    <row r="2590" spans="1:6" x14ac:dyDescent="0.35">
      <c r="A2590" t="s">
        <v>251</v>
      </c>
      <c r="B2590" t="s">
        <v>252</v>
      </c>
      <c r="C2590">
        <v>1993</v>
      </c>
      <c r="D2590">
        <v>881</v>
      </c>
      <c r="F2590">
        <v>63274</v>
      </c>
    </row>
    <row r="2591" spans="1:6" x14ac:dyDescent="0.35">
      <c r="A2591" t="s">
        <v>251</v>
      </c>
      <c r="B2591" t="s">
        <v>252</v>
      </c>
      <c r="C2591">
        <v>1994</v>
      </c>
      <c r="D2591">
        <v>929</v>
      </c>
      <c r="F2591">
        <v>63519</v>
      </c>
    </row>
    <row r="2592" spans="1:6" x14ac:dyDescent="0.35">
      <c r="A2592" t="s">
        <v>251</v>
      </c>
      <c r="B2592" t="s">
        <v>252</v>
      </c>
      <c r="C2592">
        <v>1995</v>
      </c>
      <c r="D2592">
        <v>879</v>
      </c>
      <c r="F2592">
        <v>61522</v>
      </c>
    </row>
    <row r="2593" spans="1:6" x14ac:dyDescent="0.35">
      <c r="A2593" t="s">
        <v>251</v>
      </c>
      <c r="B2593" t="s">
        <v>252</v>
      </c>
      <c r="C2593">
        <v>1996</v>
      </c>
      <c r="D2593">
        <v>949</v>
      </c>
      <c r="F2593">
        <v>58987</v>
      </c>
    </row>
    <row r="2594" spans="1:6" x14ac:dyDescent="0.35">
      <c r="A2594" t="s">
        <v>251</v>
      </c>
      <c r="B2594" t="s">
        <v>252</v>
      </c>
      <c r="C2594">
        <v>1997</v>
      </c>
      <c r="D2594">
        <v>916</v>
      </c>
      <c r="F2594">
        <v>57669</v>
      </c>
    </row>
    <row r="2595" spans="1:6" x14ac:dyDescent="0.35">
      <c r="A2595" t="s">
        <v>251</v>
      </c>
      <c r="B2595" t="s">
        <v>252</v>
      </c>
      <c r="C2595">
        <v>1998</v>
      </c>
      <c r="D2595">
        <v>959</v>
      </c>
      <c r="F2595">
        <v>55353</v>
      </c>
    </row>
    <row r="2596" spans="1:6" x14ac:dyDescent="0.35">
      <c r="A2596" t="s">
        <v>251</v>
      </c>
      <c r="B2596" t="s">
        <v>252</v>
      </c>
      <c r="C2596">
        <v>1999</v>
      </c>
      <c r="D2596">
        <v>901</v>
      </c>
      <c r="F2596">
        <v>55901</v>
      </c>
    </row>
    <row r="2597" spans="1:6" x14ac:dyDescent="0.35">
      <c r="A2597" t="s">
        <v>251</v>
      </c>
      <c r="B2597" t="s">
        <v>252</v>
      </c>
      <c r="C2597">
        <v>2000</v>
      </c>
      <c r="D2597">
        <v>899</v>
      </c>
      <c r="F2597">
        <v>55148</v>
      </c>
    </row>
    <row r="2598" spans="1:6" x14ac:dyDescent="0.35">
      <c r="A2598" t="s">
        <v>251</v>
      </c>
      <c r="B2598" t="s">
        <v>252</v>
      </c>
      <c r="C2598">
        <v>2001</v>
      </c>
      <c r="D2598">
        <v>843</v>
      </c>
      <c r="F2598">
        <v>54658</v>
      </c>
    </row>
    <row r="2599" spans="1:6" x14ac:dyDescent="0.35">
      <c r="A2599" t="s">
        <v>251</v>
      </c>
      <c r="B2599" t="s">
        <v>252</v>
      </c>
      <c r="C2599">
        <v>2002</v>
      </c>
      <c r="D2599">
        <v>829</v>
      </c>
      <c r="F2599">
        <v>54043</v>
      </c>
    </row>
    <row r="2600" spans="1:6" x14ac:dyDescent="0.35">
      <c r="A2600" t="s">
        <v>251</v>
      </c>
      <c r="B2600" t="s">
        <v>252</v>
      </c>
      <c r="C2600">
        <v>2003</v>
      </c>
      <c r="D2600">
        <v>834</v>
      </c>
      <c r="F2600">
        <v>55122</v>
      </c>
    </row>
    <row r="2601" spans="1:6" x14ac:dyDescent="0.35">
      <c r="A2601" t="s">
        <v>251</v>
      </c>
      <c r="B2601" t="s">
        <v>252</v>
      </c>
      <c r="C2601">
        <v>2004</v>
      </c>
      <c r="D2601">
        <v>844</v>
      </c>
      <c r="F2601">
        <v>56206</v>
      </c>
    </row>
    <row r="2602" spans="1:6" x14ac:dyDescent="0.35">
      <c r="A2602" t="s">
        <v>251</v>
      </c>
      <c r="B2602" t="s">
        <v>252</v>
      </c>
      <c r="C2602">
        <v>2005</v>
      </c>
      <c r="D2602">
        <v>847</v>
      </c>
      <c r="F2602">
        <v>56212</v>
      </c>
    </row>
    <row r="2603" spans="1:6" x14ac:dyDescent="0.35">
      <c r="A2603" t="s">
        <v>251</v>
      </c>
      <c r="B2603" t="s">
        <v>252</v>
      </c>
      <c r="C2603">
        <v>2006</v>
      </c>
      <c r="D2603">
        <v>871</v>
      </c>
      <c r="F2603">
        <v>57252</v>
      </c>
    </row>
    <row r="2604" spans="1:6" x14ac:dyDescent="0.35">
      <c r="A2604" t="s">
        <v>251</v>
      </c>
      <c r="B2604" t="s">
        <v>252</v>
      </c>
      <c r="C2604">
        <v>2007</v>
      </c>
      <c r="D2604">
        <v>889</v>
      </c>
      <c r="F2604">
        <v>57125</v>
      </c>
    </row>
    <row r="2605" spans="1:6" x14ac:dyDescent="0.35">
      <c r="A2605" t="s">
        <v>251</v>
      </c>
      <c r="B2605" t="s">
        <v>252</v>
      </c>
      <c r="C2605">
        <v>2008</v>
      </c>
      <c r="D2605">
        <v>854</v>
      </c>
      <c r="F2605">
        <v>57981</v>
      </c>
    </row>
    <row r="2606" spans="1:6" x14ac:dyDescent="0.35">
      <c r="A2606" t="s">
        <v>251</v>
      </c>
      <c r="B2606" t="s">
        <v>252</v>
      </c>
      <c r="C2606">
        <v>2009</v>
      </c>
      <c r="D2606">
        <v>850</v>
      </c>
      <c r="F2606">
        <v>58896</v>
      </c>
    </row>
    <row r="2607" spans="1:6" x14ac:dyDescent="0.35">
      <c r="A2607" t="s">
        <v>251</v>
      </c>
      <c r="B2607" t="s">
        <v>252</v>
      </c>
      <c r="C2607">
        <v>2010</v>
      </c>
      <c r="D2607">
        <v>919</v>
      </c>
      <c r="F2607">
        <v>59284</v>
      </c>
    </row>
    <row r="2608" spans="1:6" x14ac:dyDescent="0.35">
      <c r="A2608" t="s">
        <v>251</v>
      </c>
      <c r="B2608" t="s">
        <v>252</v>
      </c>
      <c r="C2608">
        <v>2011</v>
      </c>
      <c r="D2608">
        <v>841</v>
      </c>
      <c r="F2608">
        <v>58398</v>
      </c>
    </row>
    <row r="2609" spans="1:6" x14ac:dyDescent="0.35">
      <c r="A2609" t="s">
        <v>251</v>
      </c>
      <c r="B2609" t="s">
        <v>252</v>
      </c>
      <c r="C2609">
        <v>2012</v>
      </c>
      <c r="D2609">
        <v>794</v>
      </c>
      <c r="F2609">
        <v>58030</v>
      </c>
    </row>
    <row r="2610" spans="1:6" x14ac:dyDescent="0.35">
      <c r="A2610" t="s">
        <v>251</v>
      </c>
      <c r="B2610" t="s">
        <v>252</v>
      </c>
      <c r="C2610">
        <v>2013</v>
      </c>
      <c r="D2610">
        <v>785</v>
      </c>
      <c r="F2610">
        <v>56692</v>
      </c>
    </row>
    <row r="2611" spans="1:6" x14ac:dyDescent="0.35">
      <c r="A2611" t="s">
        <v>251</v>
      </c>
      <c r="B2611" t="s">
        <v>252</v>
      </c>
      <c r="C2611">
        <v>2014</v>
      </c>
      <c r="D2611">
        <v>771</v>
      </c>
      <c r="F2611">
        <v>55825</v>
      </c>
    </row>
    <row r="2612" spans="1:6" x14ac:dyDescent="0.35">
      <c r="A2612" t="s">
        <v>251</v>
      </c>
      <c r="B2612" t="s">
        <v>252</v>
      </c>
      <c r="C2612">
        <v>2015</v>
      </c>
      <c r="D2612">
        <v>738</v>
      </c>
      <c r="F2612">
        <v>54144</v>
      </c>
    </row>
    <row r="2613" spans="1:6" x14ac:dyDescent="0.35">
      <c r="A2613" t="s">
        <v>251</v>
      </c>
      <c r="B2613" t="s">
        <v>252</v>
      </c>
      <c r="C2613">
        <v>2016</v>
      </c>
      <c r="D2613">
        <v>730</v>
      </c>
      <c r="F2613">
        <v>51494</v>
      </c>
    </row>
    <row r="2614" spans="1:6" x14ac:dyDescent="0.35">
      <c r="A2614" t="s">
        <v>251</v>
      </c>
      <c r="B2614" t="s">
        <v>252</v>
      </c>
      <c r="C2614">
        <v>2017</v>
      </c>
      <c r="D2614">
        <v>690</v>
      </c>
      <c r="F2614">
        <v>49066</v>
      </c>
    </row>
    <row r="2615" spans="1:6" x14ac:dyDescent="0.35">
      <c r="A2615" t="s">
        <v>251</v>
      </c>
      <c r="B2615" t="s">
        <v>252</v>
      </c>
      <c r="C2615">
        <v>2018</v>
      </c>
      <c r="D2615">
        <v>618</v>
      </c>
      <c r="F2615">
        <v>46459</v>
      </c>
    </row>
    <row r="2616" spans="1:6" x14ac:dyDescent="0.35">
      <c r="A2616" t="s">
        <v>251</v>
      </c>
      <c r="B2616" t="s">
        <v>252</v>
      </c>
      <c r="C2616">
        <v>2019</v>
      </c>
      <c r="D2616">
        <v>572</v>
      </c>
      <c r="F2616">
        <v>44574</v>
      </c>
    </row>
    <row r="2617" spans="1:6" x14ac:dyDescent="0.35">
      <c r="A2617" t="s">
        <v>253</v>
      </c>
      <c r="B2617" t="s">
        <v>254</v>
      </c>
      <c r="C2617">
        <v>1858</v>
      </c>
      <c r="D2617">
        <v>9791</v>
      </c>
      <c r="E2617">
        <v>19582</v>
      </c>
    </row>
    <row r="2618" spans="1:6" x14ac:dyDescent="0.35">
      <c r="A2618" t="s">
        <v>253</v>
      </c>
      <c r="B2618" t="s">
        <v>254</v>
      </c>
      <c r="C2618">
        <v>1859</v>
      </c>
      <c r="D2618">
        <v>11005</v>
      </c>
      <c r="E2618">
        <v>22010</v>
      </c>
    </row>
    <row r="2619" spans="1:6" x14ac:dyDescent="0.35">
      <c r="A2619" t="s">
        <v>253</v>
      </c>
      <c r="B2619" t="s">
        <v>254</v>
      </c>
      <c r="C2619">
        <v>1860</v>
      </c>
      <c r="D2619">
        <v>9943</v>
      </c>
      <c r="E2619">
        <v>19886</v>
      </c>
    </row>
    <row r="2620" spans="1:6" x14ac:dyDescent="0.35">
      <c r="A2620" t="s">
        <v>253</v>
      </c>
      <c r="B2620" t="s">
        <v>254</v>
      </c>
      <c r="C2620">
        <v>1861</v>
      </c>
      <c r="D2620">
        <v>10782</v>
      </c>
      <c r="E2620">
        <v>21564</v>
      </c>
    </row>
    <row r="2621" spans="1:6" x14ac:dyDescent="0.35">
      <c r="A2621" t="s">
        <v>253</v>
      </c>
      <c r="B2621" t="s">
        <v>254</v>
      </c>
      <c r="C2621">
        <v>1862</v>
      </c>
      <c r="D2621">
        <v>10214</v>
      </c>
      <c r="E2621">
        <v>20428</v>
      </c>
    </row>
    <row r="2622" spans="1:6" x14ac:dyDescent="0.35">
      <c r="A2622" t="s">
        <v>253</v>
      </c>
      <c r="B2622" t="s">
        <v>254</v>
      </c>
      <c r="C2622">
        <v>1863</v>
      </c>
      <c r="D2622">
        <v>10642</v>
      </c>
      <c r="E2622">
        <v>21284</v>
      </c>
    </row>
    <row r="2623" spans="1:6" x14ac:dyDescent="0.35">
      <c r="A2623" t="s">
        <v>253</v>
      </c>
      <c r="B2623" t="s">
        <v>254</v>
      </c>
      <c r="C2623">
        <v>1864</v>
      </c>
      <c r="D2623">
        <v>10718</v>
      </c>
      <c r="E2623">
        <v>21436</v>
      </c>
    </row>
    <row r="2624" spans="1:6" x14ac:dyDescent="0.35">
      <c r="A2624" t="s">
        <v>253</v>
      </c>
      <c r="B2624" t="s">
        <v>254</v>
      </c>
      <c r="C2624">
        <v>1865</v>
      </c>
      <c r="D2624">
        <v>10634</v>
      </c>
      <c r="E2624">
        <v>21268</v>
      </c>
    </row>
    <row r="2625" spans="1:5" x14ac:dyDescent="0.35">
      <c r="A2625" t="s">
        <v>253</v>
      </c>
      <c r="B2625" t="s">
        <v>254</v>
      </c>
      <c r="C2625">
        <v>1866</v>
      </c>
      <c r="D2625">
        <v>10225</v>
      </c>
      <c r="E2625">
        <v>20450</v>
      </c>
    </row>
    <row r="2626" spans="1:5" x14ac:dyDescent="0.35">
      <c r="A2626" t="s">
        <v>253</v>
      </c>
      <c r="B2626" t="s">
        <v>254</v>
      </c>
      <c r="C2626">
        <v>1867</v>
      </c>
      <c r="D2626">
        <v>9976</v>
      </c>
      <c r="E2626">
        <v>19952</v>
      </c>
    </row>
    <row r="2627" spans="1:5" x14ac:dyDescent="0.35">
      <c r="A2627" t="s">
        <v>253</v>
      </c>
      <c r="B2627" t="s">
        <v>254</v>
      </c>
      <c r="C2627">
        <v>1868</v>
      </c>
      <c r="D2627">
        <v>9923</v>
      </c>
      <c r="E2627">
        <v>19846</v>
      </c>
    </row>
    <row r="2628" spans="1:5" x14ac:dyDescent="0.35">
      <c r="A2628" t="s">
        <v>253</v>
      </c>
      <c r="B2628" t="s">
        <v>254</v>
      </c>
      <c r="C2628">
        <v>1869</v>
      </c>
      <c r="D2628">
        <v>9367</v>
      </c>
      <c r="E2628">
        <v>18734</v>
      </c>
    </row>
    <row r="2629" spans="1:5" x14ac:dyDescent="0.35">
      <c r="A2629" t="s">
        <v>253</v>
      </c>
      <c r="B2629" t="s">
        <v>254</v>
      </c>
      <c r="C2629">
        <v>1870</v>
      </c>
      <c r="D2629">
        <v>8204</v>
      </c>
      <c r="E2629">
        <v>16322</v>
      </c>
    </row>
    <row r="2630" spans="1:5" x14ac:dyDescent="0.35">
      <c r="A2630" t="s">
        <v>253</v>
      </c>
      <c r="B2630" t="s">
        <v>254</v>
      </c>
      <c r="C2630">
        <v>1871</v>
      </c>
      <c r="D2630">
        <v>7562</v>
      </c>
      <c r="E2630">
        <v>14980</v>
      </c>
    </row>
    <row r="2631" spans="1:5" x14ac:dyDescent="0.35">
      <c r="A2631" t="s">
        <v>253</v>
      </c>
      <c r="B2631" t="s">
        <v>254</v>
      </c>
      <c r="C2631">
        <v>1872</v>
      </c>
      <c r="D2631">
        <v>9874</v>
      </c>
      <c r="E2631">
        <v>19748</v>
      </c>
    </row>
    <row r="2632" spans="1:5" x14ac:dyDescent="0.35">
      <c r="A2632" t="s">
        <v>253</v>
      </c>
      <c r="B2632" t="s">
        <v>254</v>
      </c>
      <c r="C2632">
        <v>1873</v>
      </c>
      <c r="D2632">
        <v>9459</v>
      </c>
      <c r="E2632">
        <v>18918</v>
      </c>
    </row>
    <row r="2633" spans="1:5" x14ac:dyDescent="0.35">
      <c r="A2633" t="s">
        <v>253</v>
      </c>
      <c r="B2633" t="s">
        <v>254</v>
      </c>
      <c r="C2633">
        <v>1874</v>
      </c>
      <c r="D2633">
        <v>9771</v>
      </c>
      <c r="E2633">
        <v>19542</v>
      </c>
    </row>
    <row r="2634" spans="1:5" x14ac:dyDescent="0.35">
      <c r="A2634" t="s">
        <v>253</v>
      </c>
      <c r="B2634" t="s">
        <v>254</v>
      </c>
      <c r="C2634">
        <v>1875</v>
      </c>
      <c r="D2634">
        <v>9646</v>
      </c>
      <c r="E2634">
        <v>19292</v>
      </c>
    </row>
    <row r="2635" spans="1:5" x14ac:dyDescent="0.35">
      <c r="A2635" t="s">
        <v>253</v>
      </c>
      <c r="B2635" t="s">
        <v>254</v>
      </c>
      <c r="C2635">
        <v>1876</v>
      </c>
      <c r="D2635">
        <v>10034</v>
      </c>
      <c r="E2635">
        <v>20068</v>
      </c>
    </row>
    <row r="2636" spans="1:5" x14ac:dyDescent="0.35">
      <c r="A2636" t="s">
        <v>253</v>
      </c>
      <c r="B2636" t="s">
        <v>254</v>
      </c>
      <c r="C2636">
        <v>1877</v>
      </c>
      <c r="D2636">
        <v>9405</v>
      </c>
      <c r="E2636">
        <v>18810</v>
      </c>
    </row>
    <row r="2637" spans="1:5" x14ac:dyDescent="0.35">
      <c r="A2637" t="s">
        <v>253</v>
      </c>
      <c r="B2637" t="s">
        <v>254</v>
      </c>
      <c r="C2637">
        <v>1878</v>
      </c>
      <c r="D2637">
        <v>9533</v>
      </c>
      <c r="E2637">
        <v>19066</v>
      </c>
    </row>
    <row r="2638" spans="1:5" x14ac:dyDescent="0.35">
      <c r="A2638" t="s">
        <v>253</v>
      </c>
      <c r="B2638" t="s">
        <v>254</v>
      </c>
      <c r="C2638">
        <v>1879</v>
      </c>
      <c r="D2638">
        <v>9484</v>
      </c>
      <c r="E2638">
        <v>18968</v>
      </c>
    </row>
    <row r="2639" spans="1:5" x14ac:dyDescent="0.35">
      <c r="A2639" t="s">
        <v>253</v>
      </c>
      <c r="B2639" t="s">
        <v>254</v>
      </c>
      <c r="C2639">
        <v>1880</v>
      </c>
      <c r="D2639">
        <v>9438</v>
      </c>
      <c r="E2639">
        <v>18876</v>
      </c>
    </row>
    <row r="2640" spans="1:5" x14ac:dyDescent="0.35">
      <c r="A2640" t="s">
        <v>253</v>
      </c>
      <c r="B2640" t="s">
        <v>254</v>
      </c>
      <c r="C2640">
        <v>1881</v>
      </c>
      <c r="D2640">
        <v>9327</v>
      </c>
      <c r="E2640">
        <v>18654</v>
      </c>
    </row>
    <row r="2641" spans="1:5" x14ac:dyDescent="0.35">
      <c r="A2641" t="s">
        <v>253</v>
      </c>
      <c r="B2641" t="s">
        <v>254</v>
      </c>
      <c r="C2641">
        <v>1882</v>
      </c>
      <c r="D2641">
        <v>9714</v>
      </c>
      <c r="E2641">
        <v>19428</v>
      </c>
    </row>
    <row r="2642" spans="1:5" x14ac:dyDescent="0.35">
      <c r="A2642" t="s">
        <v>253</v>
      </c>
      <c r="B2642" t="s">
        <v>254</v>
      </c>
      <c r="C2642">
        <v>1883</v>
      </c>
      <c r="D2642">
        <v>9812</v>
      </c>
      <c r="E2642">
        <v>19624</v>
      </c>
    </row>
    <row r="2643" spans="1:5" x14ac:dyDescent="0.35">
      <c r="A2643" t="s">
        <v>253</v>
      </c>
      <c r="B2643" t="s">
        <v>254</v>
      </c>
      <c r="C2643">
        <v>1884</v>
      </c>
      <c r="D2643">
        <v>9728</v>
      </c>
      <c r="E2643">
        <v>19456</v>
      </c>
    </row>
    <row r="2644" spans="1:5" x14ac:dyDescent="0.35">
      <c r="A2644" t="s">
        <v>253</v>
      </c>
      <c r="B2644" t="s">
        <v>254</v>
      </c>
      <c r="C2644">
        <v>1885</v>
      </c>
      <c r="D2644">
        <v>9651</v>
      </c>
      <c r="E2644">
        <v>19302</v>
      </c>
    </row>
    <row r="2645" spans="1:5" x14ac:dyDescent="0.35">
      <c r="A2645" t="s">
        <v>253</v>
      </c>
      <c r="B2645" t="s">
        <v>254</v>
      </c>
      <c r="C2645">
        <v>1886</v>
      </c>
      <c r="D2645">
        <v>9256</v>
      </c>
      <c r="E2645">
        <v>18512</v>
      </c>
    </row>
    <row r="2646" spans="1:5" x14ac:dyDescent="0.35">
      <c r="A2646" t="s">
        <v>253</v>
      </c>
      <c r="B2646" t="s">
        <v>254</v>
      </c>
      <c r="C2646">
        <v>1887</v>
      </c>
      <c r="D2646">
        <v>9163</v>
      </c>
      <c r="E2646">
        <v>18326</v>
      </c>
    </row>
    <row r="2647" spans="1:5" x14ac:dyDescent="0.35">
      <c r="A2647" t="s">
        <v>253</v>
      </c>
      <c r="B2647" t="s">
        <v>254</v>
      </c>
      <c r="C2647">
        <v>1888</v>
      </c>
      <c r="D2647">
        <v>8922</v>
      </c>
      <c r="E2647">
        <v>17844</v>
      </c>
    </row>
    <row r="2648" spans="1:5" x14ac:dyDescent="0.35">
      <c r="A2648" t="s">
        <v>253</v>
      </c>
      <c r="B2648" t="s">
        <v>254</v>
      </c>
      <c r="C2648">
        <v>1889</v>
      </c>
      <c r="D2648">
        <v>8675</v>
      </c>
      <c r="E2648">
        <v>17350</v>
      </c>
    </row>
    <row r="2649" spans="1:5" x14ac:dyDescent="0.35">
      <c r="A2649" t="s">
        <v>253</v>
      </c>
      <c r="C2649">
        <v>1890</v>
      </c>
    </row>
    <row r="2650" spans="1:5" x14ac:dyDescent="0.35">
      <c r="A2650" t="s">
        <v>253</v>
      </c>
      <c r="C2650">
        <v>1891</v>
      </c>
    </row>
    <row r="2651" spans="1:5" x14ac:dyDescent="0.35">
      <c r="A2651" t="s">
        <v>253</v>
      </c>
      <c r="B2651" t="s">
        <v>254</v>
      </c>
      <c r="C2651">
        <v>1892</v>
      </c>
      <c r="D2651">
        <v>9144</v>
      </c>
      <c r="E2651">
        <v>18288</v>
      </c>
    </row>
    <row r="2652" spans="1:5" x14ac:dyDescent="0.35">
      <c r="A2652" t="s">
        <v>253</v>
      </c>
      <c r="B2652" t="s">
        <v>254</v>
      </c>
      <c r="C2652">
        <v>1893</v>
      </c>
      <c r="D2652">
        <v>9354</v>
      </c>
      <c r="E2652">
        <v>18698</v>
      </c>
    </row>
    <row r="2653" spans="1:5" x14ac:dyDescent="0.35">
      <c r="A2653" t="s">
        <v>253</v>
      </c>
      <c r="B2653" t="s">
        <v>254</v>
      </c>
      <c r="C2653">
        <v>1894</v>
      </c>
      <c r="D2653">
        <v>9040</v>
      </c>
      <c r="E2653">
        <v>18080</v>
      </c>
    </row>
    <row r="2654" spans="1:5" x14ac:dyDescent="0.35">
      <c r="A2654" t="s">
        <v>253</v>
      </c>
      <c r="C2654">
        <v>1895</v>
      </c>
    </row>
    <row r="2655" spans="1:5" x14ac:dyDescent="0.35">
      <c r="A2655" t="s">
        <v>253</v>
      </c>
      <c r="C2655">
        <v>1896</v>
      </c>
    </row>
    <row r="2656" spans="1:5" x14ac:dyDescent="0.35">
      <c r="A2656" t="s">
        <v>253</v>
      </c>
      <c r="C2656">
        <v>1897</v>
      </c>
    </row>
    <row r="2657" spans="1:5" x14ac:dyDescent="0.35">
      <c r="A2657" t="s">
        <v>253</v>
      </c>
      <c r="B2657" t="s">
        <v>254</v>
      </c>
      <c r="C2657">
        <v>1898</v>
      </c>
      <c r="D2657">
        <v>9562</v>
      </c>
      <c r="E2657">
        <v>19124</v>
      </c>
    </row>
    <row r="2658" spans="1:5" x14ac:dyDescent="0.35">
      <c r="A2658" t="s">
        <v>253</v>
      </c>
      <c r="B2658" t="s">
        <v>254</v>
      </c>
      <c r="C2658">
        <v>1899</v>
      </c>
      <c r="D2658">
        <v>9528</v>
      </c>
      <c r="E2658">
        <v>19056</v>
      </c>
    </row>
    <row r="2659" spans="1:5" x14ac:dyDescent="0.35">
      <c r="A2659" t="s">
        <v>253</v>
      </c>
      <c r="B2659" t="s">
        <v>254</v>
      </c>
      <c r="C2659">
        <v>1900</v>
      </c>
      <c r="D2659">
        <v>9222</v>
      </c>
      <c r="E2659">
        <v>18444</v>
      </c>
    </row>
    <row r="2660" spans="1:5" x14ac:dyDescent="0.35">
      <c r="A2660" t="s">
        <v>253</v>
      </c>
      <c r="B2660" t="s">
        <v>254</v>
      </c>
      <c r="C2660">
        <v>1901</v>
      </c>
      <c r="D2660">
        <v>9505</v>
      </c>
      <c r="E2660">
        <v>19010</v>
      </c>
    </row>
    <row r="2661" spans="1:5" x14ac:dyDescent="0.35">
      <c r="A2661" t="s">
        <v>253</v>
      </c>
      <c r="B2661" t="s">
        <v>255</v>
      </c>
      <c r="C2661">
        <v>1902</v>
      </c>
    </row>
    <row r="2662" spans="1:5" x14ac:dyDescent="0.35">
      <c r="A2662" t="s">
        <v>253</v>
      </c>
      <c r="B2662" t="s">
        <v>255</v>
      </c>
      <c r="C2662">
        <v>1903</v>
      </c>
    </row>
    <row r="2663" spans="1:5" x14ac:dyDescent="0.35">
      <c r="A2663" t="s">
        <v>253</v>
      </c>
      <c r="B2663" t="s">
        <v>255</v>
      </c>
      <c r="C2663">
        <v>1904</v>
      </c>
    </row>
    <row r="2664" spans="1:5" x14ac:dyDescent="0.35">
      <c r="A2664" t="s">
        <v>253</v>
      </c>
      <c r="B2664" t="s">
        <v>255</v>
      </c>
      <c r="C2664">
        <v>1905</v>
      </c>
    </row>
    <row r="2665" spans="1:5" x14ac:dyDescent="0.35">
      <c r="A2665" t="s">
        <v>253</v>
      </c>
      <c r="B2665" t="s">
        <v>255</v>
      </c>
      <c r="C2665">
        <v>1906</v>
      </c>
    </row>
    <row r="2666" spans="1:5" x14ac:dyDescent="0.35">
      <c r="A2666" t="s">
        <v>253</v>
      </c>
      <c r="B2666" t="s">
        <v>255</v>
      </c>
      <c r="C2666">
        <v>1907</v>
      </c>
    </row>
    <row r="2667" spans="1:5" x14ac:dyDescent="0.35">
      <c r="A2667" t="s">
        <v>253</v>
      </c>
      <c r="B2667" t="s">
        <v>255</v>
      </c>
      <c r="C2667">
        <v>1908</v>
      </c>
    </row>
    <row r="2668" spans="1:5" x14ac:dyDescent="0.35">
      <c r="A2668" t="s">
        <v>253</v>
      </c>
      <c r="B2668" t="s">
        <v>255</v>
      </c>
      <c r="C2668">
        <v>1909</v>
      </c>
    </row>
    <row r="2669" spans="1:5" x14ac:dyDescent="0.35">
      <c r="A2669" t="s">
        <v>253</v>
      </c>
      <c r="B2669" t="s">
        <v>255</v>
      </c>
      <c r="C2669">
        <v>1910</v>
      </c>
    </row>
    <row r="2670" spans="1:5" x14ac:dyDescent="0.35">
      <c r="A2670" t="s">
        <v>253</v>
      </c>
      <c r="B2670" t="s">
        <v>255</v>
      </c>
      <c r="C2670">
        <v>1911</v>
      </c>
    </row>
    <row r="2671" spans="1:5" x14ac:dyDescent="0.35">
      <c r="A2671" t="s">
        <v>253</v>
      </c>
      <c r="B2671" t="s">
        <v>255</v>
      </c>
      <c r="C2671">
        <v>1912</v>
      </c>
    </row>
    <row r="2672" spans="1:5" x14ac:dyDescent="0.35">
      <c r="A2672" t="s">
        <v>253</v>
      </c>
      <c r="B2672" t="s">
        <v>255</v>
      </c>
      <c r="C2672">
        <v>1913</v>
      </c>
    </row>
    <row r="2673" spans="1:4" x14ac:dyDescent="0.35">
      <c r="A2673" t="s">
        <v>253</v>
      </c>
      <c r="B2673" t="s">
        <v>255</v>
      </c>
      <c r="C2673">
        <v>1914</v>
      </c>
    </row>
    <row r="2674" spans="1:4" x14ac:dyDescent="0.35">
      <c r="A2674" t="s">
        <v>253</v>
      </c>
      <c r="B2674" t="s">
        <v>255</v>
      </c>
      <c r="C2674">
        <v>1915</v>
      </c>
    </row>
    <row r="2675" spans="1:4" x14ac:dyDescent="0.35">
      <c r="A2675" t="s">
        <v>253</v>
      </c>
      <c r="B2675" t="s">
        <v>255</v>
      </c>
      <c r="C2675">
        <v>1916</v>
      </c>
    </row>
    <row r="2676" spans="1:4" x14ac:dyDescent="0.35">
      <c r="A2676" t="s">
        <v>253</v>
      </c>
      <c r="B2676" t="s">
        <v>255</v>
      </c>
      <c r="C2676">
        <v>1917</v>
      </c>
    </row>
    <row r="2677" spans="1:4" x14ac:dyDescent="0.35">
      <c r="A2677" t="s">
        <v>253</v>
      </c>
      <c r="B2677" t="s">
        <v>255</v>
      </c>
      <c r="C2677">
        <v>1918</v>
      </c>
    </row>
    <row r="2678" spans="1:4" x14ac:dyDescent="0.35">
      <c r="A2678" t="s">
        <v>253</v>
      </c>
      <c r="B2678" t="s">
        <v>255</v>
      </c>
      <c r="C2678">
        <v>1919</v>
      </c>
    </row>
    <row r="2679" spans="1:4" x14ac:dyDescent="0.35">
      <c r="A2679" t="s">
        <v>253</v>
      </c>
      <c r="B2679" t="s">
        <v>255</v>
      </c>
      <c r="C2679">
        <v>1920</v>
      </c>
      <c r="D2679">
        <v>9693</v>
      </c>
    </row>
    <row r="2680" spans="1:4" x14ac:dyDescent="0.35">
      <c r="A2680" t="s">
        <v>253</v>
      </c>
      <c r="B2680" t="s">
        <v>255</v>
      </c>
      <c r="C2680">
        <v>1921</v>
      </c>
      <c r="D2680">
        <v>9318</v>
      </c>
    </row>
    <row r="2681" spans="1:4" x14ac:dyDescent="0.35">
      <c r="A2681" t="s">
        <v>253</v>
      </c>
      <c r="B2681" t="s">
        <v>255</v>
      </c>
      <c r="C2681">
        <v>1922</v>
      </c>
      <c r="D2681">
        <v>8375</v>
      </c>
    </row>
    <row r="2682" spans="1:4" x14ac:dyDescent="0.35">
      <c r="A2682" t="s">
        <v>253</v>
      </c>
      <c r="B2682" t="s">
        <v>255</v>
      </c>
      <c r="C2682">
        <v>1923</v>
      </c>
      <c r="D2682">
        <v>8455</v>
      </c>
    </row>
    <row r="2683" spans="1:4" x14ac:dyDescent="0.35">
      <c r="A2683" t="s">
        <v>253</v>
      </c>
      <c r="B2683" t="s">
        <v>255</v>
      </c>
      <c r="C2683">
        <v>1924</v>
      </c>
      <c r="D2683">
        <v>8424</v>
      </c>
    </row>
    <row r="2684" spans="1:4" x14ac:dyDescent="0.35">
      <c r="A2684" t="s">
        <v>253</v>
      </c>
      <c r="B2684" t="s">
        <v>255</v>
      </c>
      <c r="C2684">
        <v>1925</v>
      </c>
      <c r="D2684">
        <v>8407</v>
      </c>
    </row>
    <row r="2685" spans="1:4" x14ac:dyDescent="0.35">
      <c r="A2685" t="s">
        <v>253</v>
      </c>
      <c r="B2685" t="s">
        <v>255</v>
      </c>
      <c r="C2685">
        <v>1926</v>
      </c>
      <c r="D2685">
        <v>8280</v>
      </c>
    </row>
    <row r="2686" spans="1:4" x14ac:dyDescent="0.35">
      <c r="A2686" t="s">
        <v>253</v>
      </c>
      <c r="B2686" t="s">
        <v>255</v>
      </c>
      <c r="C2686">
        <v>1927</v>
      </c>
      <c r="D2686">
        <v>8221</v>
      </c>
    </row>
    <row r="2687" spans="1:4" x14ac:dyDescent="0.35">
      <c r="A2687" t="s">
        <v>253</v>
      </c>
      <c r="B2687" t="s">
        <v>255</v>
      </c>
      <c r="C2687">
        <v>1928</v>
      </c>
      <c r="D2687">
        <v>8425</v>
      </c>
    </row>
    <row r="2688" spans="1:4" x14ac:dyDescent="0.35">
      <c r="A2688" t="s">
        <v>253</v>
      </c>
      <c r="B2688" t="s">
        <v>255</v>
      </c>
      <c r="C2688">
        <v>1929</v>
      </c>
      <c r="D2688">
        <v>7977</v>
      </c>
    </row>
    <row r="2689" spans="1:4" x14ac:dyDescent="0.35">
      <c r="A2689" t="s">
        <v>253</v>
      </c>
      <c r="B2689" t="s">
        <v>255</v>
      </c>
      <c r="C2689">
        <v>1930</v>
      </c>
      <c r="D2689">
        <v>8194</v>
      </c>
    </row>
    <row r="2690" spans="1:4" x14ac:dyDescent="0.35">
      <c r="A2690" t="s">
        <v>253</v>
      </c>
      <c r="B2690" t="s">
        <v>255</v>
      </c>
      <c r="C2690">
        <v>1931</v>
      </c>
      <c r="D2690">
        <v>7714</v>
      </c>
    </row>
    <row r="2691" spans="1:4" x14ac:dyDescent="0.35">
      <c r="A2691" t="s">
        <v>253</v>
      </c>
      <c r="B2691" t="s">
        <v>255</v>
      </c>
      <c r="C2691">
        <v>1932</v>
      </c>
      <c r="D2691">
        <v>7989</v>
      </c>
    </row>
    <row r="2692" spans="1:4" x14ac:dyDescent="0.35">
      <c r="A2692" t="s">
        <v>253</v>
      </c>
      <c r="B2692" t="s">
        <v>255</v>
      </c>
      <c r="C2692">
        <v>1933</v>
      </c>
      <c r="D2692">
        <v>7558</v>
      </c>
    </row>
    <row r="2693" spans="1:4" x14ac:dyDescent="0.35">
      <c r="A2693" t="s">
        <v>253</v>
      </c>
      <c r="B2693" t="s">
        <v>255</v>
      </c>
      <c r="C2693">
        <v>1934</v>
      </c>
      <c r="D2693">
        <v>7377</v>
      </c>
    </row>
    <row r="2694" spans="1:4" x14ac:dyDescent="0.35">
      <c r="A2694" t="s">
        <v>253</v>
      </c>
      <c r="B2694" t="s">
        <v>255</v>
      </c>
      <c r="C2694">
        <v>1935</v>
      </c>
      <c r="D2694">
        <v>6993</v>
      </c>
    </row>
    <row r="2695" spans="1:4" x14ac:dyDescent="0.35">
      <c r="A2695" t="s">
        <v>253</v>
      </c>
      <c r="B2695" t="s">
        <v>255</v>
      </c>
      <c r="C2695">
        <v>1936</v>
      </c>
      <c r="D2695">
        <v>6885</v>
      </c>
    </row>
    <row r="2696" spans="1:4" x14ac:dyDescent="0.35">
      <c r="A2696" t="s">
        <v>253</v>
      </c>
      <c r="B2696" t="s">
        <v>255</v>
      </c>
      <c r="C2696">
        <v>1937</v>
      </c>
      <c r="D2696">
        <v>6886</v>
      </c>
    </row>
    <row r="2697" spans="1:4" x14ac:dyDescent="0.35">
      <c r="A2697" t="s">
        <v>253</v>
      </c>
      <c r="B2697" t="s">
        <v>255</v>
      </c>
      <c r="C2697">
        <v>1938</v>
      </c>
      <c r="D2697">
        <v>6527</v>
      </c>
    </row>
    <row r="2698" spans="1:4" x14ac:dyDescent="0.35">
      <c r="A2698" t="s">
        <v>253</v>
      </c>
      <c r="B2698" t="s">
        <v>255</v>
      </c>
      <c r="C2698">
        <v>1939</v>
      </c>
    </row>
    <row r="2699" spans="1:4" x14ac:dyDescent="0.35">
      <c r="A2699" t="s">
        <v>253</v>
      </c>
      <c r="B2699" t="s">
        <v>255</v>
      </c>
      <c r="C2699">
        <v>1940</v>
      </c>
    </row>
    <row r="2700" spans="1:4" x14ac:dyDescent="0.35">
      <c r="A2700" t="s">
        <v>253</v>
      </c>
      <c r="B2700" t="s">
        <v>255</v>
      </c>
      <c r="C2700">
        <v>1941</v>
      </c>
    </row>
    <row r="2701" spans="1:4" x14ac:dyDescent="0.35">
      <c r="A2701" t="s">
        <v>253</v>
      </c>
      <c r="B2701" t="s">
        <v>255</v>
      </c>
      <c r="C2701">
        <v>1942</v>
      </c>
    </row>
    <row r="2702" spans="1:4" x14ac:dyDescent="0.35">
      <c r="A2702" t="s">
        <v>253</v>
      </c>
      <c r="B2702" t="s">
        <v>255</v>
      </c>
      <c r="C2702">
        <v>1943</v>
      </c>
    </row>
    <row r="2703" spans="1:4" x14ac:dyDescent="0.35">
      <c r="A2703" t="s">
        <v>253</v>
      </c>
      <c r="B2703" t="s">
        <v>255</v>
      </c>
      <c r="C2703">
        <v>1944</v>
      </c>
    </row>
    <row r="2704" spans="1:4" x14ac:dyDescent="0.35">
      <c r="A2704" t="s">
        <v>253</v>
      </c>
      <c r="B2704" t="s">
        <v>255</v>
      </c>
      <c r="C2704">
        <v>1945</v>
      </c>
    </row>
    <row r="2705" spans="1:4" x14ac:dyDescent="0.35">
      <c r="A2705" t="s">
        <v>253</v>
      </c>
      <c r="B2705" t="s">
        <v>255</v>
      </c>
      <c r="C2705">
        <v>1946</v>
      </c>
      <c r="D2705">
        <v>9289</v>
      </c>
    </row>
    <row r="2706" spans="1:4" x14ac:dyDescent="0.35">
      <c r="A2706" t="s">
        <v>253</v>
      </c>
      <c r="B2706" t="s">
        <v>255</v>
      </c>
      <c r="C2706">
        <v>1947</v>
      </c>
      <c r="D2706">
        <v>9439</v>
      </c>
    </row>
    <row r="2707" spans="1:4" x14ac:dyDescent="0.35">
      <c r="A2707" t="s">
        <v>253</v>
      </c>
      <c r="B2707" t="s">
        <v>255</v>
      </c>
      <c r="C2707">
        <v>1948</v>
      </c>
      <c r="D2707">
        <v>9383</v>
      </c>
    </row>
    <row r="2708" spans="1:4" x14ac:dyDescent="0.35">
      <c r="A2708" t="s">
        <v>253</v>
      </c>
      <c r="B2708" t="s">
        <v>255</v>
      </c>
      <c r="C2708">
        <v>1949</v>
      </c>
      <c r="D2708">
        <v>9682</v>
      </c>
    </row>
    <row r="2709" spans="1:4" x14ac:dyDescent="0.35">
      <c r="A2709" t="s">
        <v>253</v>
      </c>
      <c r="B2709" t="s">
        <v>255</v>
      </c>
      <c r="C2709">
        <v>1950</v>
      </c>
      <c r="D2709">
        <v>9323</v>
      </c>
    </row>
    <row r="2710" spans="1:4" x14ac:dyDescent="0.35">
      <c r="A2710" t="s">
        <v>253</v>
      </c>
      <c r="B2710" t="s">
        <v>255</v>
      </c>
      <c r="C2710">
        <v>1951</v>
      </c>
      <c r="D2710">
        <v>8960</v>
      </c>
    </row>
    <row r="2711" spans="1:4" x14ac:dyDescent="0.35">
      <c r="A2711" t="s">
        <v>253</v>
      </c>
      <c r="B2711" t="s">
        <v>255</v>
      </c>
      <c r="C2711">
        <v>1952</v>
      </c>
      <c r="D2711">
        <v>8722</v>
      </c>
    </row>
    <row r="2712" spans="1:4" x14ac:dyDescent="0.35">
      <c r="A2712" t="s">
        <v>253</v>
      </c>
      <c r="B2712" t="s">
        <v>255</v>
      </c>
      <c r="C2712">
        <v>1953</v>
      </c>
      <c r="D2712">
        <v>8491</v>
      </c>
    </row>
    <row r="2713" spans="1:4" x14ac:dyDescent="0.35">
      <c r="A2713" t="s">
        <v>253</v>
      </c>
      <c r="B2713" t="s">
        <v>255</v>
      </c>
      <c r="C2713">
        <v>1954</v>
      </c>
      <c r="D2713">
        <v>8694</v>
      </c>
    </row>
    <row r="2714" spans="1:4" x14ac:dyDescent="0.35">
      <c r="A2714" t="s">
        <v>253</v>
      </c>
      <c r="B2714" t="s">
        <v>255</v>
      </c>
      <c r="C2714">
        <v>1955</v>
      </c>
      <c r="D2714">
        <v>8735</v>
      </c>
    </row>
    <row r="2715" spans="1:4" x14ac:dyDescent="0.35">
      <c r="A2715" t="s">
        <v>253</v>
      </c>
      <c r="B2715" t="s">
        <v>255</v>
      </c>
      <c r="C2715">
        <v>1956</v>
      </c>
      <c r="D2715">
        <v>8847</v>
      </c>
    </row>
    <row r="2716" spans="1:4" x14ac:dyDescent="0.35">
      <c r="A2716" t="s">
        <v>253</v>
      </c>
      <c r="B2716" t="s">
        <v>255</v>
      </c>
      <c r="C2716">
        <v>1957</v>
      </c>
      <c r="D2716">
        <v>8849</v>
      </c>
    </row>
    <row r="2717" spans="1:4" x14ac:dyDescent="0.35">
      <c r="A2717" t="s">
        <v>253</v>
      </c>
      <c r="B2717" t="s">
        <v>255</v>
      </c>
      <c r="C2717">
        <v>1958</v>
      </c>
      <c r="D2717">
        <v>9065</v>
      </c>
    </row>
    <row r="2718" spans="1:4" x14ac:dyDescent="0.35">
      <c r="A2718" t="s">
        <v>253</v>
      </c>
      <c r="B2718" t="s">
        <v>255</v>
      </c>
      <c r="C2718">
        <v>1959</v>
      </c>
      <c r="D2718">
        <v>9060</v>
      </c>
    </row>
    <row r="2719" spans="1:4" x14ac:dyDescent="0.35">
      <c r="A2719" t="s">
        <v>253</v>
      </c>
      <c r="B2719" t="s">
        <v>255</v>
      </c>
      <c r="C2719">
        <v>1960</v>
      </c>
      <c r="D2719">
        <v>8773</v>
      </c>
    </row>
    <row r="2720" spans="1:4" x14ac:dyDescent="0.35">
      <c r="A2720" t="s">
        <v>253</v>
      </c>
      <c r="B2720" t="s">
        <v>255</v>
      </c>
      <c r="C2720">
        <v>1961</v>
      </c>
      <c r="D2720">
        <v>9159</v>
      </c>
    </row>
    <row r="2721" spans="1:4" x14ac:dyDescent="0.35">
      <c r="A2721" t="s">
        <v>253</v>
      </c>
      <c r="B2721" t="s">
        <v>255</v>
      </c>
      <c r="C2721">
        <v>1962</v>
      </c>
      <c r="D2721">
        <v>8531</v>
      </c>
    </row>
    <row r="2722" spans="1:4" x14ac:dyDescent="0.35">
      <c r="A2722" t="s">
        <v>253</v>
      </c>
      <c r="B2722" t="s">
        <v>255</v>
      </c>
      <c r="C2722">
        <v>1963</v>
      </c>
      <c r="D2722">
        <v>9236</v>
      </c>
    </row>
    <row r="2723" spans="1:4" x14ac:dyDescent="0.35">
      <c r="A2723" t="s">
        <v>253</v>
      </c>
      <c r="B2723" t="s">
        <v>255</v>
      </c>
      <c r="C2723">
        <v>1964</v>
      </c>
      <c r="D2723">
        <v>9193</v>
      </c>
    </row>
    <row r="2724" spans="1:4" x14ac:dyDescent="0.35">
      <c r="A2724" t="s">
        <v>253</v>
      </c>
      <c r="B2724" t="s">
        <v>255</v>
      </c>
      <c r="C2724">
        <v>1965</v>
      </c>
      <c r="D2724">
        <v>8584</v>
      </c>
    </row>
    <row r="2725" spans="1:4" x14ac:dyDescent="0.35">
      <c r="A2725" t="s">
        <v>253</v>
      </c>
      <c r="B2725" t="s">
        <v>255</v>
      </c>
      <c r="C2725">
        <v>1966</v>
      </c>
      <c r="D2725">
        <v>8670</v>
      </c>
    </row>
    <row r="2726" spans="1:4" x14ac:dyDescent="0.35">
      <c r="A2726" t="s">
        <v>253</v>
      </c>
      <c r="B2726" t="s">
        <v>255</v>
      </c>
      <c r="C2726">
        <v>1967</v>
      </c>
      <c r="D2726">
        <v>8414</v>
      </c>
    </row>
    <row r="2727" spans="1:4" x14ac:dyDescent="0.35">
      <c r="A2727" t="s">
        <v>253</v>
      </c>
      <c r="B2727" t="s">
        <v>255</v>
      </c>
      <c r="C2727">
        <v>1968</v>
      </c>
      <c r="D2727">
        <v>8254</v>
      </c>
    </row>
    <row r="2728" spans="1:4" x14ac:dyDescent="0.35">
      <c r="A2728" t="s">
        <v>253</v>
      </c>
      <c r="B2728" t="s">
        <v>255</v>
      </c>
      <c r="C2728">
        <v>1969</v>
      </c>
      <c r="D2728">
        <v>8072</v>
      </c>
    </row>
    <row r="2729" spans="1:4" x14ac:dyDescent="0.35">
      <c r="A2729" t="s">
        <v>253</v>
      </c>
      <c r="B2729" t="s">
        <v>255</v>
      </c>
      <c r="C2729">
        <v>1970</v>
      </c>
      <c r="D2729">
        <v>8001</v>
      </c>
    </row>
    <row r="2730" spans="1:4" x14ac:dyDescent="0.35">
      <c r="A2730" t="s">
        <v>253</v>
      </c>
      <c r="B2730" t="s">
        <v>255</v>
      </c>
      <c r="C2730">
        <v>1971</v>
      </c>
      <c r="D2730">
        <v>8035</v>
      </c>
    </row>
    <row r="2731" spans="1:4" x14ac:dyDescent="0.35">
      <c r="A2731" t="s">
        <v>253</v>
      </c>
      <c r="B2731" t="s">
        <v>255</v>
      </c>
      <c r="C2731">
        <v>1972</v>
      </c>
      <c r="D2731">
        <v>7810</v>
      </c>
    </row>
    <row r="2732" spans="1:4" x14ac:dyDescent="0.35">
      <c r="A2732" t="s">
        <v>253</v>
      </c>
      <c r="B2732" t="s">
        <v>255</v>
      </c>
      <c r="C2732">
        <v>1973</v>
      </c>
      <c r="D2732">
        <v>7791</v>
      </c>
    </row>
    <row r="2733" spans="1:4" x14ac:dyDescent="0.35">
      <c r="A2733" t="s">
        <v>253</v>
      </c>
      <c r="B2733" t="s">
        <v>255</v>
      </c>
      <c r="C2733">
        <v>1974</v>
      </c>
      <c r="D2733">
        <v>7446</v>
      </c>
    </row>
    <row r="2734" spans="1:4" x14ac:dyDescent="0.35">
      <c r="A2734" t="s">
        <v>253</v>
      </c>
      <c r="B2734" t="s">
        <v>255</v>
      </c>
      <c r="C2734">
        <v>1975</v>
      </c>
      <c r="D2734">
        <v>6973</v>
      </c>
    </row>
    <row r="2735" spans="1:4" x14ac:dyDescent="0.35">
      <c r="A2735" t="s">
        <v>253</v>
      </c>
      <c r="B2735" t="s">
        <v>255</v>
      </c>
      <c r="C2735">
        <v>1976</v>
      </c>
      <c r="D2735">
        <v>6854</v>
      </c>
    </row>
    <row r="2736" spans="1:4" x14ac:dyDescent="0.35">
      <c r="A2736" t="s">
        <v>253</v>
      </c>
      <c r="B2736" t="s">
        <v>255</v>
      </c>
      <c r="C2736">
        <v>1977</v>
      </c>
      <c r="D2736">
        <v>7010</v>
      </c>
    </row>
    <row r="2737" spans="1:4" x14ac:dyDescent="0.35">
      <c r="A2737" t="s">
        <v>253</v>
      </c>
      <c r="B2737" t="s">
        <v>255</v>
      </c>
      <c r="C2737">
        <v>1978</v>
      </c>
      <c r="D2737">
        <v>7111</v>
      </c>
    </row>
    <row r="2738" spans="1:4" x14ac:dyDescent="0.35">
      <c r="A2738" t="s">
        <v>253</v>
      </c>
      <c r="B2738" t="s">
        <v>255</v>
      </c>
      <c r="C2738">
        <v>1979</v>
      </c>
      <c r="D2738">
        <v>7440</v>
      </c>
    </row>
    <row r="2739" spans="1:4" x14ac:dyDescent="0.35">
      <c r="A2739" t="s">
        <v>253</v>
      </c>
      <c r="B2739" t="s">
        <v>255</v>
      </c>
      <c r="C2739">
        <v>1980</v>
      </c>
      <c r="D2739">
        <v>8046</v>
      </c>
    </row>
    <row r="2740" spans="1:4" x14ac:dyDescent="0.35">
      <c r="A2740" t="s">
        <v>253</v>
      </c>
      <c r="B2740" t="s">
        <v>255</v>
      </c>
      <c r="C2740">
        <v>1981</v>
      </c>
      <c r="D2740">
        <v>8140</v>
      </c>
    </row>
    <row r="2741" spans="1:4" x14ac:dyDescent="0.35">
      <c r="A2741" t="s">
        <v>253</v>
      </c>
      <c r="B2741" t="s">
        <v>255</v>
      </c>
      <c r="C2741">
        <v>1982</v>
      </c>
      <c r="D2741">
        <v>8047</v>
      </c>
    </row>
    <row r="2742" spans="1:4" x14ac:dyDescent="0.35">
      <c r="A2742" t="s">
        <v>253</v>
      </c>
      <c r="B2742" t="s">
        <v>255</v>
      </c>
      <c r="C2742">
        <v>1983</v>
      </c>
      <c r="D2742">
        <v>7408</v>
      </c>
    </row>
    <row r="2743" spans="1:4" x14ac:dyDescent="0.35">
      <c r="A2743" t="s">
        <v>253</v>
      </c>
      <c r="B2743" t="s">
        <v>255</v>
      </c>
      <c r="C2743">
        <v>1984</v>
      </c>
      <c r="D2743">
        <v>7651</v>
      </c>
    </row>
    <row r="2744" spans="1:4" x14ac:dyDescent="0.35">
      <c r="A2744" t="s">
        <v>253</v>
      </c>
      <c r="B2744" t="s">
        <v>255</v>
      </c>
      <c r="C2744">
        <v>1985</v>
      </c>
      <c r="D2744">
        <v>7930</v>
      </c>
    </row>
    <row r="2745" spans="1:4" x14ac:dyDescent="0.35">
      <c r="A2745" t="s">
        <v>253</v>
      </c>
      <c r="B2745" t="s">
        <v>255</v>
      </c>
      <c r="C2745">
        <v>1986</v>
      </c>
      <c r="D2745">
        <v>8110</v>
      </c>
    </row>
    <row r="2746" spans="1:4" x14ac:dyDescent="0.35">
      <c r="A2746" t="s">
        <v>253</v>
      </c>
      <c r="B2746" t="s">
        <v>255</v>
      </c>
      <c r="C2746">
        <v>1987</v>
      </c>
      <c r="D2746">
        <v>8179</v>
      </c>
    </row>
    <row r="2747" spans="1:4" x14ac:dyDescent="0.35">
      <c r="A2747" t="s">
        <v>253</v>
      </c>
      <c r="B2747" t="s">
        <v>255</v>
      </c>
      <c r="C2747">
        <v>1988</v>
      </c>
      <c r="D2747">
        <v>8493</v>
      </c>
    </row>
    <row r="2748" spans="1:4" x14ac:dyDescent="0.35">
      <c r="A2748" t="s">
        <v>253</v>
      </c>
      <c r="B2748" t="s">
        <v>255</v>
      </c>
      <c r="C2748">
        <v>1989</v>
      </c>
      <c r="D2748">
        <v>8630</v>
      </c>
    </row>
    <row r="2749" spans="1:4" x14ac:dyDescent="0.35">
      <c r="A2749" t="s">
        <v>253</v>
      </c>
      <c r="B2749" t="s">
        <v>255</v>
      </c>
      <c r="C2749">
        <v>1990</v>
      </c>
      <c r="D2749">
        <v>9175</v>
      </c>
    </row>
    <row r="2750" spans="1:4" x14ac:dyDescent="0.35">
      <c r="A2750" t="s">
        <v>253</v>
      </c>
      <c r="B2750" t="s">
        <v>255</v>
      </c>
      <c r="C2750">
        <v>1991</v>
      </c>
      <c r="D2750">
        <v>9459</v>
      </c>
    </row>
    <row r="2751" spans="1:4" x14ac:dyDescent="0.35">
      <c r="A2751" t="s">
        <v>253</v>
      </c>
      <c r="B2751" t="s">
        <v>255</v>
      </c>
      <c r="C2751">
        <v>1992</v>
      </c>
      <c r="D2751">
        <v>9517</v>
      </c>
    </row>
    <row r="2752" spans="1:4" x14ac:dyDescent="0.35">
      <c r="A2752" t="s">
        <v>253</v>
      </c>
      <c r="B2752" t="s">
        <v>255</v>
      </c>
      <c r="C2752">
        <v>1993</v>
      </c>
      <c r="D2752">
        <v>9095</v>
      </c>
    </row>
    <row r="2753" spans="1:4" x14ac:dyDescent="0.35">
      <c r="A2753" t="s">
        <v>253</v>
      </c>
      <c r="B2753" t="s">
        <v>255</v>
      </c>
      <c r="C2753">
        <v>1994</v>
      </c>
      <c r="D2753">
        <v>9596</v>
      </c>
    </row>
    <row r="2754" spans="1:4" x14ac:dyDescent="0.35">
      <c r="A2754" t="s">
        <v>253</v>
      </c>
      <c r="B2754" t="s">
        <v>255</v>
      </c>
      <c r="C2754">
        <v>1995</v>
      </c>
      <c r="D2754">
        <v>9548</v>
      </c>
    </row>
    <row r="2755" spans="1:4" x14ac:dyDescent="0.35">
      <c r="A2755" t="s">
        <v>253</v>
      </c>
      <c r="B2755" t="s">
        <v>255</v>
      </c>
      <c r="C2755">
        <v>1996</v>
      </c>
      <c r="D2755">
        <v>10246</v>
      </c>
    </row>
    <row r="2756" spans="1:4" x14ac:dyDescent="0.35">
      <c r="A2756" t="s">
        <v>253</v>
      </c>
      <c r="B2756" t="s">
        <v>255</v>
      </c>
      <c r="C2756">
        <v>1997</v>
      </c>
      <c r="D2756">
        <v>10481</v>
      </c>
    </row>
    <row r="2757" spans="1:4" x14ac:dyDescent="0.35">
      <c r="A2757" t="s">
        <v>253</v>
      </c>
      <c r="B2757" t="s">
        <v>255</v>
      </c>
      <c r="C2757">
        <v>1998</v>
      </c>
      <c r="D2757">
        <v>10553</v>
      </c>
    </row>
    <row r="2758" spans="1:4" x14ac:dyDescent="0.35">
      <c r="A2758" t="s">
        <v>253</v>
      </c>
      <c r="B2758" t="s">
        <v>255</v>
      </c>
      <c r="C2758">
        <v>1999</v>
      </c>
      <c r="D2758">
        <v>10967</v>
      </c>
    </row>
    <row r="2759" spans="1:4" x14ac:dyDescent="0.35">
      <c r="A2759" t="s">
        <v>253</v>
      </c>
      <c r="B2759" t="s">
        <v>255</v>
      </c>
      <c r="C2759">
        <v>2000</v>
      </c>
      <c r="D2759">
        <v>11483</v>
      </c>
    </row>
    <row r="2760" spans="1:4" x14ac:dyDescent="0.35">
      <c r="A2760" t="s">
        <v>253</v>
      </c>
      <c r="B2760" t="s">
        <v>255</v>
      </c>
      <c r="C2760">
        <v>2001</v>
      </c>
      <c r="D2760">
        <v>11479</v>
      </c>
    </row>
    <row r="2761" spans="1:4" x14ac:dyDescent="0.35">
      <c r="A2761" t="s">
        <v>253</v>
      </c>
      <c r="B2761" t="s">
        <v>255</v>
      </c>
      <c r="C2761">
        <v>2002</v>
      </c>
      <c r="D2761">
        <v>11432</v>
      </c>
    </row>
    <row r="2762" spans="1:4" x14ac:dyDescent="0.35">
      <c r="A2762" t="s">
        <v>253</v>
      </c>
      <c r="B2762" t="s">
        <v>255</v>
      </c>
      <c r="C2762">
        <v>2003</v>
      </c>
      <c r="D2762">
        <v>11754</v>
      </c>
    </row>
    <row r="2763" spans="1:4" x14ac:dyDescent="0.35">
      <c r="A2763" t="s">
        <v>253</v>
      </c>
      <c r="B2763" t="s">
        <v>255</v>
      </c>
      <c r="C2763">
        <v>2004</v>
      </c>
      <c r="D2763">
        <v>12058</v>
      </c>
    </row>
    <row r="2764" spans="1:4" x14ac:dyDescent="0.35">
      <c r="A2764" t="s">
        <v>253</v>
      </c>
      <c r="B2764" t="s">
        <v>255</v>
      </c>
      <c r="C2764">
        <v>2005</v>
      </c>
      <c r="D2764">
        <v>12508</v>
      </c>
    </row>
    <row r="2765" spans="1:4" x14ac:dyDescent="0.35">
      <c r="A2765" t="s">
        <v>253</v>
      </c>
      <c r="B2765" t="s">
        <v>255</v>
      </c>
      <c r="C2765">
        <v>2006</v>
      </c>
      <c r="D2765">
        <v>12737</v>
      </c>
    </row>
    <row r="2766" spans="1:4" x14ac:dyDescent="0.35">
      <c r="A2766" t="s">
        <v>253</v>
      </c>
      <c r="B2766" t="s">
        <v>255</v>
      </c>
      <c r="C2766">
        <v>2007</v>
      </c>
      <c r="D2766">
        <v>12578</v>
      </c>
    </row>
    <row r="2767" spans="1:4" x14ac:dyDescent="0.35">
      <c r="A2767" t="s">
        <v>253</v>
      </c>
      <c r="B2767" t="s">
        <v>255</v>
      </c>
      <c r="C2767">
        <v>2008</v>
      </c>
      <c r="D2767">
        <v>12349</v>
      </c>
    </row>
    <row r="2768" spans="1:4" x14ac:dyDescent="0.35">
      <c r="A2768" t="s">
        <v>253</v>
      </c>
      <c r="B2768" t="s">
        <v>255</v>
      </c>
      <c r="C2768">
        <v>2009</v>
      </c>
      <c r="D2768">
        <v>12837</v>
      </c>
    </row>
    <row r="2769" spans="1:6" x14ac:dyDescent="0.35">
      <c r="A2769" t="s">
        <v>253</v>
      </c>
      <c r="B2769" t="s">
        <v>255</v>
      </c>
      <c r="C2769">
        <v>2010</v>
      </c>
      <c r="D2769">
        <v>13853</v>
      </c>
    </row>
    <row r="2770" spans="1:6" x14ac:dyDescent="0.35">
      <c r="A2770" t="s">
        <v>253</v>
      </c>
      <c r="B2770" t="s">
        <v>255</v>
      </c>
      <c r="C2770">
        <v>2011</v>
      </c>
      <c r="D2770">
        <v>13668</v>
      </c>
    </row>
    <row r="2771" spans="1:6" x14ac:dyDescent="0.35">
      <c r="A2771" t="s">
        <v>253</v>
      </c>
      <c r="B2771" t="s">
        <v>255</v>
      </c>
      <c r="C2771">
        <v>2012</v>
      </c>
      <c r="D2771">
        <v>13114</v>
      </c>
    </row>
    <row r="2772" spans="1:6" x14ac:dyDescent="0.35">
      <c r="A2772" t="s">
        <v>253</v>
      </c>
      <c r="B2772" t="s">
        <v>255</v>
      </c>
      <c r="C2772">
        <v>2013</v>
      </c>
      <c r="D2772">
        <v>13229</v>
      </c>
    </row>
    <row r="2773" spans="1:6" x14ac:dyDescent="0.35">
      <c r="A2773" t="s">
        <v>253</v>
      </c>
      <c r="B2773" t="s">
        <v>255</v>
      </c>
      <c r="C2773">
        <v>2014</v>
      </c>
      <c r="D2773">
        <v>13528</v>
      </c>
    </row>
    <row r="2774" spans="1:6" x14ac:dyDescent="0.35">
      <c r="A2774" t="s">
        <v>253</v>
      </c>
      <c r="B2774" t="s">
        <v>255</v>
      </c>
      <c r="C2774">
        <v>2015</v>
      </c>
      <c r="D2774">
        <v>13179</v>
      </c>
    </row>
    <row r="2775" spans="1:6" x14ac:dyDescent="0.35">
      <c r="A2775" t="s">
        <v>253</v>
      </c>
      <c r="B2775" t="s">
        <v>255</v>
      </c>
      <c r="C2775">
        <v>2016</v>
      </c>
      <c r="D2775">
        <v>12847</v>
      </c>
    </row>
    <row r="2776" spans="1:6" x14ac:dyDescent="0.35">
      <c r="A2776" t="s">
        <v>253</v>
      </c>
      <c r="B2776" t="s">
        <v>255</v>
      </c>
      <c r="C2776">
        <v>2017</v>
      </c>
      <c r="D2776">
        <v>12458</v>
      </c>
    </row>
    <row r="2777" spans="1:6" x14ac:dyDescent="0.35">
      <c r="A2777" t="s">
        <v>253</v>
      </c>
      <c r="B2777" t="s">
        <v>255</v>
      </c>
      <c r="C2777">
        <v>2018</v>
      </c>
      <c r="D2777">
        <v>12146</v>
      </c>
    </row>
    <row r="2778" spans="1:6" x14ac:dyDescent="0.35">
      <c r="A2778" t="s">
        <v>253</v>
      </c>
      <c r="B2778" t="s">
        <v>255</v>
      </c>
      <c r="C2778">
        <v>2019</v>
      </c>
      <c r="D2778">
        <v>11443</v>
      </c>
    </row>
    <row r="2779" spans="1:6" x14ac:dyDescent="0.35">
      <c r="A2779" t="s">
        <v>253</v>
      </c>
      <c r="B2779" t="s">
        <v>255</v>
      </c>
      <c r="C2779">
        <v>2020</v>
      </c>
      <c r="D2779">
        <v>10835</v>
      </c>
    </row>
    <row r="2780" spans="1:6" x14ac:dyDescent="0.35">
      <c r="A2780" t="s">
        <v>256</v>
      </c>
      <c r="B2780" t="s">
        <v>257</v>
      </c>
      <c r="C2780">
        <v>1956</v>
      </c>
      <c r="E2780">
        <v>3910</v>
      </c>
      <c r="F2780">
        <v>156229</v>
      </c>
    </row>
    <row r="2781" spans="1:6" x14ac:dyDescent="0.35">
      <c r="A2781" t="s">
        <v>256</v>
      </c>
      <c r="B2781" t="s">
        <v>257</v>
      </c>
      <c r="C2781">
        <v>1957</v>
      </c>
      <c r="E2781">
        <v>3970</v>
      </c>
      <c r="F2781">
        <v>153875</v>
      </c>
    </row>
    <row r="2782" spans="1:6" x14ac:dyDescent="0.35">
      <c r="A2782" t="s">
        <v>256</v>
      </c>
      <c r="B2782" t="s">
        <v>257</v>
      </c>
      <c r="C2782">
        <v>1958</v>
      </c>
      <c r="E2782">
        <v>3936</v>
      </c>
      <c r="F2782">
        <v>153435</v>
      </c>
    </row>
    <row r="2783" spans="1:6" x14ac:dyDescent="0.35">
      <c r="A2783" t="s">
        <v>256</v>
      </c>
      <c r="B2783" t="s">
        <v>257</v>
      </c>
      <c r="C2783">
        <v>1959</v>
      </c>
      <c r="E2783">
        <v>3990</v>
      </c>
      <c r="F2783">
        <v>158297</v>
      </c>
    </row>
    <row r="2784" spans="1:6" x14ac:dyDescent="0.35">
      <c r="A2784" t="s">
        <v>256</v>
      </c>
      <c r="B2784" t="s">
        <v>257</v>
      </c>
      <c r="C2784">
        <v>1960</v>
      </c>
      <c r="E2784">
        <v>3846</v>
      </c>
      <c r="F2784">
        <v>155598</v>
      </c>
    </row>
    <row r="2785" spans="1:6" x14ac:dyDescent="0.35">
      <c r="A2785" t="s">
        <v>256</v>
      </c>
      <c r="B2785" t="s">
        <v>257</v>
      </c>
      <c r="C2785">
        <v>1961</v>
      </c>
      <c r="E2785">
        <v>3748</v>
      </c>
      <c r="F2785">
        <v>148952</v>
      </c>
    </row>
    <row r="2786" spans="1:6" x14ac:dyDescent="0.35">
      <c r="A2786" t="s">
        <v>256</v>
      </c>
      <c r="B2786" t="s">
        <v>257</v>
      </c>
      <c r="C2786">
        <v>1962</v>
      </c>
      <c r="E2786">
        <v>3598</v>
      </c>
      <c r="F2786">
        <v>150706</v>
      </c>
    </row>
    <row r="2787" spans="1:6" x14ac:dyDescent="0.35">
      <c r="A2787" t="s">
        <v>256</v>
      </c>
      <c r="B2787" t="s">
        <v>257</v>
      </c>
      <c r="C2787">
        <v>1963</v>
      </c>
      <c r="E2787">
        <v>3604</v>
      </c>
      <c r="F2787">
        <v>146814</v>
      </c>
    </row>
    <row r="2788" spans="1:6" x14ac:dyDescent="0.35">
      <c r="A2788" t="s">
        <v>256</v>
      </c>
      <c r="B2788" t="s">
        <v>257</v>
      </c>
      <c r="C2788">
        <v>1964</v>
      </c>
      <c r="E2788">
        <v>3596</v>
      </c>
      <c r="F2788">
        <v>151909</v>
      </c>
    </row>
    <row r="2789" spans="1:6" x14ac:dyDescent="0.35">
      <c r="A2789" t="s">
        <v>256</v>
      </c>
      <c r="B2789" t="s">
        <v>257</v>
      </c>
      <c r="C2789">
        <v>1965</v>
      </c>
      <c r="E2789">
        <v>3522</v>
      </c>
      <c r="F2789">
        <v>150256</v>
      </c>
    </row>
    <row r="2790" spans="1:6" x14ac:dyDescent="0.35">
      <c r="A2790" t="s">
        <v>256</v>
      </c>
      <c r="B2790" t="s">
        <v>257</v>
      </c>
      <c r="C2790">
        <v>1966</v>
      </c>
      <c r="E2790">
        <v>3568</v>
      </c>
      <c r="F2790">
        <v>153497</v>
      </c>
    </row>
    <row r="2791" spans="1:6" x14ac:dyDescent="0.35">
      <c r="A2791" t="s">
        <v>256</v>
      </c>
      <c r="B2791" t="s">
        <v>257</v>
      </c>
      <c r="C2791">
        <v>1967</v>
      </c>
      <c r="E2791">
        <v>3722</v>
      </c>
      <c r="F2791">
        <v>161479</v>
      </c>
    </row>
    <row r="2792" spans="1:6" x14ac:dyDescent="0.35">
      <c r="A2792" t="s">
        <v>256</v>
      </c>
      <c r="B2792" t="s">
        <v>257</v>
      </c>
      <c r="C2792">
        <v>1968</v>
      </c>
      <c r="E2792">
        <v>3688</v>
      </c>
      <c r="F2792">
        <v>158846</v>
      </c>
    </row>
    <row r="2793" spans="1:6" x14ac:dyDescent="0.35">
      <c r="A2793" t="s">
        <v>256</v>
      </c>
      <c r="B2793" t="s">
        <v>257</v>
      </c>
      <c r="C2793">
        <v>1969</v>
      </c>
      <c r="E2793">
        <v>3346</v>
      </c>
      <c r="F2793">
        <v>152920</v>
      </c>
    </row>
    <row r="2794" spans="1:6" x14ac:dyDescent="0.35">
      <c r="A2794" t="s">
        <v>256</v>
      </c>
      <c r="B2794" t="s">
        <v>257</v>
      </c>
      <c r="C2794">
        <v>1970</v>
      </c>
      <c r="E2794">
        <v>3070</v>
      </c>
      <c r="F2794">
        <v>143726</v>
      </c>
    </row>
    <row r="2795" spans="1:6" x14ac:dyDescent="0.35">
      <c r="A2795" t="s">
        <v>256</v>
      </c>
      <c r="B2795" t="s">
        <v>257</v>
      </c>
      <c r="C2795">
        <v>1971</v>
      </c>
      <c r="E2795">
        <v>2942</v>
      </c>
      <c r="F2795">
        <v>140032</v>
      </c>
    </row>
    <row r="2796" spans="1:6" x14ac:dyDescent="0.35">
      <c r="A2796" t="s">
        <v>256</v>
      </c>
      <c r="B2796" t="s">
        <v>257</v>
      </c>
      <c r="C2796">
        <v>1972</v>
      </c>
      <c r="E2796">
        <v>2938</v>
      </c>
      <c r="F2796">
        <v>139718</v>
      </c>
    </row>
    <row r="2797" spans="1:6" x14ac:dyDescent="0.35">
      <c r="A2797" t="s">
        <v>256</v>
      </c>
      <c r="B2797" t="s">
        <v>257</v>
      </c>
      <c r="C2797">
        <v>1973</v>
      </c>
      <c r="E2797">
        <v>2778</v>
      </c>
      <c r="F2797">
        <v>136415</v>
      </c>
    </row>
    <row r="2798" spans="1:6" x14ac:dyDescent="0.35">
      <c r="A2798" t="s">
        <v>256</v>
      </c>
      <c r="B2798" t="s">
        <v>257</v>
      </c>
      <c r="C2798">
        <v>1974</v>
      </c>
      <c r="E2798">
        <v>2954</v>
      </c>
      <c r="F2798">
        <v>142784</v>
      </c>
    </row>
    <row r="2799" spans="1:6" x14ac:dyDescent="0.35">
      <c r="A2799" t="s">
        <v>256</v>
      </c>
      <c r="B2799" t="s">
        <v>257</v>
      </c>
      <c r="C2799">
        <v>1975</v>
      </c>
      <c r="E2799">
        <v>2736</v>
      </c>
      <c r="F2799">
        <v>141172</v>
      </c>
    </row>
    <row r="2800" spans="1:6" x14ac:dyDescent="0.35">
      <c r="A2800" t="s">
        <v>256</v>
      </c>
      <c r="B2800" t="s">
        <v>257</v>
      </c>
      <c r="C2800">
        <v>1976</v>
      </c>
      <c r="E2800">
        <v>2644</v>
      </c>
      <c r="F2800">
        <v>145681</v>
      </c>
    </row>
    <row r="2801" spans="1:6" x14ac:dyDescent="0.35">
      <c r="A2801" t="s">
        <v>256</v>
      </c>
      <c r="B2801" t="s">
        <v>257</v>
      </c>
      <c r="C2801">
        <v>1977</v>
      </c>
      <c r="E2801">
        <v>2594</v>
      </c>
      <c r="F2801">
        <v>142632</v>
      </c>
    </row>
    <row r="2802" spans="1:6" x14ac:dyDescent="0.35">
      <c r="A2802" t="s">
        <v>256</v>
      </c>
      <c r="B2802" t="s">
        <v>257</v>
      </c>
      <c r="C2802">
        <v>1978</v>
      </c>
      <c r="E2802">
        <v>2528</v>
      </c>
      <c r="F2802">
        <v>145512</v>
      </c>
    </row>
    <row r="2803" spans="1:6" x14ac:dyDescent="0.35">
      <c r="A2803" t="s">
        <v>256</v>
      </c>
      <c r="B2803" t="s">
        <v>257</v>
      </c>
      <c r="C2803">
        <v>1979</v>
      </c>
      <c r="E2803">
        <v>2664</v>
      </c>
      <c r="F2803">
        <v>146704</v>
      </c>
    </row>
    <row r="2804" spans="1:6" x14ac:dyDescent="0.35">
      <c r="A2804" t="s">
        <v>256</v>
      </c>
      <c r="B2804" t="s">
        <v>257</v>
      </c>
      <c r="C2804">
        <v>1980</v>
      </c>
      <c r="E2804">
        <v>2742</v>
      </c>
      <c r="F2804">
        <v>146723</v>
      </c>
    </row>
    <row r="2805" spans="1:6" x14ac:dyDescent="0.35">
      <c r="A2805" t="s">
        <v>256</v>
      </c>
      <c r="B2805" t="s">
        <v>257</v>
      </c>
      <c r="C2805">
        <v>1981</v>
      </c>
      <c r="E2805">
        <v>2502</v>
      </c>
      <c r="F2805">
        <v>139734</v>
      </c>
    </row>
    <row r="2806" spans="1:6" x14ac:dyDescent="0.35">
      <c r="A2806" t="s">
        <v>256</v>
      </c>
      <c r="B2806" t="s">
        <v>257</v>
      </c>
      <c r="C2806">
        <v>1982</v>
      </c>
      <c r="E2806">
        <v>2516</v>
      </c>
      <c r="F2806">
        <v>135901</v>
      </c>
    </row>
    <row r="2807" spans="1:6" x14ac:dyDescent="0.35">
      <c r="A2807" t="s">
        <v>256</v>
      </c>
      <c r="B2807" t="s">
        <v>257</v>
      </c>
      <c r="C2807">
        <v>1983</v>
      </c>
      <c r="E2807">
        <v>2740</v>
      </c>
      <c r="F2807">
        <v>130994</v>
      </c>
    </row>
    <row r="2808" spans="1:6" x14ac:dyDescent="0.35">
      <c r="A2808" t="s">
        <v>256</v>
      </c>
      <c r="B2808" t="s">
        <v>257</v>
      </c>
      <c r="C2808">
        <v>1984</v>
      </c>
      <c r="E2808">
        <v>2674</v>
      </c>
      <c r="F2808">
        <v>124121</v>
      </c>
    </row>
    <row r="2809" spans="1:6" x14ac:dyDescent="0.35">
      <c r="A2809" t="s">
        <v>256</v>
      </c>
      <c r="B2809" t="s">
        <v>257</v>
      </c>
      <c r="C2809">
        <v>1985</v>
      </c>
      <c r="E2809">
        <v>2004</v>
      </c>
      <c r="F2809">
        <v>115382</v>
      </c>
    </row>
    <row r="2810" spans="1:6" x14ac:dyDescent="0.35">
      <c r="A2810" t="s">
        <v>256</v>
      </c>
      <c r="B2810" t="s">
        <v>257</v>
      </c>
      <c r="C2810">
        <v>1986</v>
      </c>
      <c r="E2810">
        <v>2202</v>
      </c>
      <c r="F2810">
        <v>111482</v>
      </c>
    </row>
    <row r="2811" spans="1:6" x14ac:dyDescent="0.35">
      <c r="A2811" t="s">
        <v>256</v>
      </c>
      <c r="B2811" t="s">
        <v>257</v>
      </c>
      <c r="C2811">
        <v>1987</v>
      </c>
      <c r="E2811">
        <v>2052</v>
      </c>
      <c r="F2811">
        <v>105144</v>
      </c>
    </row>
    <row r="2812" spans="1:6" x14ac:dyDescent="0.35">
      <c r="A2812" t="s">
        <v>256</v>
      </c>
      <c r="B2812" t="s">
        <v>257</v>
      </c>
      <c r="C2812">
        <v>1988</v>
      </c>
      <c r="E2812">
        <v>2212</v>
      </c>
      <c r="F2812">
        <v>105971</v>
      </c>
    </row>
    <row r="2813" spans="1:6" x14ac:dyDescent="0.35">
      <c r="A2813" t="s">
        <v>256</v>
      </c>
      <c r="B2813" t="s">
        <v>257</v>
      </c>
      <c r="C2813">
        <v>1989</v>
      </c>
      <c r="E2813">
        <v>2106</v>
      </c>
      <c r="F2813">
        <v>100209</v>
      </c>
    </row>
    <row r="2814" spans="1:6" x14ac:dyDescent="0.35">
      <c r="A2814" t="s">
        <v>256</v>
      </c>
      <c r="B2814" t="s">
        <v>257</v>
      </c>
      <c r="C2814">
        <v>1990</v>
      </c>
      <c r="E2814">
        <v>2248</v>
      </c>
      <c r="F2814">
        <v>100658</v>
      </c>
    </row>
    <row r="2815" spans="1:6" x14ac:dyDescent="0.35">
      <c r="A2815" t="s">
        <v>256</v>
      </c>
      <c r="B2815" t="s">
        <v>257</v>
      </c>
      <c r="C2815">
        <v>1991</v>
      </c>
      <c r="E2815">
        <v>2270</v>
      </c>
      <c r="F2815">
        <v>100936</v>
      </c>
    </row>
    <row r="2816" spans="1:6" x14ac:dyDescent="0.35">
      <c r="A2816" t="s">
        <v>256</v>
      </c>
      <c r="B2816" t="s">
        <v>257</v>
      </c>
      <c r="C2816">
        <v>1992</v>
      </c>
      <c r="E2816">
        <v>2606</v>
      </c>
      <c r="F2816">
        <v>102016</v>
      </c>
    </row>
    <row r="2817" spans="1:6" x14ac:dyDescent="0.35">
      <c r="A2817" t="s">
        <v>256</v>
      </c>
      <c r="B2817" t="s">
        <v>257</v>
      </c>
      <c r="C2817">
        <v>1993</v>
      </c>
      <c r="E2817">
        <v>2828</v>
      </c>
      <c r="F2817">
        <v>99479</v>
      </c>
    </row>
    <row r="2818" spans="1:6" x14ac:dyDescent="0.35">
      <c r="A2818" t="s">
        <v>256</v>
      </c>
      <c r="B2818" t="s">
        <v>257</v>
      </c>
      <c r="C2818">
        <v>1994</v>
      </c>
      <c r="E2818">
        <v>2664</v>
      </c>
      <c r="F2818">
        <v>101587</v>
      </c>
    </row>
    <row r="2819" spans="1:6" x14ac:dyDescent="0.35">
      <c r="A2819" t="s">
        <v>256</v>
      </c>
      <c r="B2819" t="s">
        <v>257</v>
      </c>
      <c r="C2819">
        <v>1995</v>
      </c>
      <c r="E2819">
        <v>2938</v>
      </c>
      <c r="F2819">
        <v>99042</v>
      </c>
    </row>
    <row r="2820" spans="1:6" x14ac:dyDescent="0.35">
      <c r="A2820" t="s">
        <v>256</v>
      </c>
      <c r="B2820" t="s">
        <v>257</v>
      </c>
      <c r="C2820">
        <v>1996</v>
      </c>
      <c r="E2820">
        <v>3128</v>
      </c>
      <c r="F2820">
        <v>98044</v>
      </c>
    </row>
    <row r="2821" spans="1:6" x14ac:dyDescent="0.35">
      <c r="A2821" t="s">
        <v>256</v>
      </c>
      <c r="B2821" t="s">
        <v>257</v>
      </c>
      <c r="C2821">
        <v>1997</v>
      </c>
      <c r="E2821">
        <v>3244</v>
      </c>
      <c r="F2821">
        <v>99244</v>
      </c>
    </row>
    <row r="2822" spans="1:6" x14ac:dyDescent="0.35">
      <c r="A2822" t="s">
        <v>256</v>
      </c>
      <c r="B2822" t="s">
        <v>257</v>
      </c>
      <c r="C2822">
        <v>1998</v>
      </c>
      <c r="E2822">
        <v>3758</v>
      </c>
      <c r="F2822">
        <v>97559</v>
      </c>
    </row>
    <row r="2823" spans="1:6" x14ac:dyDescent="0.35">
      <c r="A2823" t="s">
        <v>256</v>
      </c>
      <c r="B2823" t="s">
        <v>257</v>
      </c>
      <c r="C2823">
        <v>1999</v>
      </c>
      <c r="E2823">
        <v>3890</v>
      </c>
      <c r="F2823">
        <v>97096</v>
      </c>
    </row>
    <row r="2824" spans="1:6" x14ac:dyDescent="0.35">
      <c r="A2824" t="s">
        <v>256</v>
      </c>
      <c r="B2824" t="s">
        <v>257</v>
      </c>
      <c r="C2824">
        <v>2000</v>
      </c>
      <c r="E2824">
        <v>4060</v>
      </c>
      <c r="F2824">
        <v>99448</v>
      </c>
    </row>
    <row r="2825" spans="1:6" x14ac:dyDescent="0.35">
      <c r="A2825" t="s">
        <v>256</v>
      </c>
      <c r="B2825" t="s">
        <v>257</v>
      </c>
      <c r="C2825">
        <v>2001</v>
      </c>
      <c r="E2825">
        <v>4346</v>
      </c>
      <c r="F2825">
        <v>98262</v>
      </c>
    </row>
    <row r="2826" spans="1:6" x14ac:dyDescent="0.35">
      <c r="A2826" t="s">
        <v>256</v>
      </c>
      <c r="B2826" t="s">
        <v>257</v>
      </c>
      <c r="C2826">
        <v>2002</v>
      </c>
      <c r="E2826">
        <v>4134</v>
      </c>
      <c r="F2826">
        <v>99717</v>
      </c>
    </row>
    <row r="2827" spans="1:6" x14ac:dyDescent="0.35">
      <c r="A2827" t="s">
        <v>256</v>
      </c>
      <c r="B2827" t="s">
        <v>257</v>
      </c>
      <c r="C2827">
        <v>2003</v>
      </c>
      <c r="E2827">
        <v>4390</v>
      </c>
      <c r="F2827">
        <v>100276</v>
      </c>
    </row>
    <row r="2828" spans="1:6" x14ac:dyDescent="0.35">
      <c r="A2828" t="s">
        <v>256</v>
      </c>
      <c r="B2828" t="s">
        <v>257</v>
      </c>
      <c r="C2828">
        <v>2004</v>
      </c>
      <c r="E2828">
        <v>4586</v>
      </c>
      <c r="F2828">
        <v>101261</v>
      </c>
    </row>
    <row r="2829" spans="1:6" x14ac:dyDescent="0.35">
      <c r="A2829" t="s">
        <v>256</v>
      </c>
      <c r="B2829" t="s">
        <v>257</v>
      </c>
      <c r="C2829">
        <v>2005</v>
      </c>
      <c r="E2829">
        <v>4732</v>
      </c>
      <c r="F2829">
        <v>102991</v>
      </c>
    </row>
    <row r="2830" spans="1:6" x14ac:dyDescent="0.35">
      <c r="A2830" t="s">
        <v>256</v>
      </c>
      <c r="B2830" t="s">
        <v>257</v>
      </c>
      <c r="C2830">
        <v>2006</v>
      </c>
      <c r="E2830">
        <v>4882</v>
      </c>
      <c r="F2830">
        <v>107226</v>
      </c>
    </row>
    <row r="2831" spans="1:6" x14ac:dyDescent="0.35">
      <c r="A2831" t="s">
        <v>256</v>
      </c>
      <c r="B2831" t="s">
        <v>257</v>
      </c>
      <c r="C2831">
        <v>2007</v>
      </c>
      <c r="E2831">
        <v>5234</v>
      </c>
      <c r="F2831">
        <v>106905</v>
      </c>
    </row>
    <row r="2832" spans="1:6" x14ac:dyDescent="0.35">
      <c r="A2832" t="s">
        <v>256</v>
      </c>
      <c r="B2832" t="s">
        <v>257</v>
      </c>
      <c r="C2832">
        <v>2008</v>
      </c>
      <c r="E2832">
        <v>5318</v>
      </c>
      <c r="F2832">
        <v>113114</v>
      </c>
    </row>
    <row r="2833" spans="1:6" x14ac:dyDescent="0.35">
      <c r="A2833" t="s">
        <v>256</v>
      </c>
      <c r="B2833" t="s">
        <v>257</v>
      </c>
      <c r="C2833">
        <v>2009</v>
      </c>
      <c r="E2833">
        <v>5798</v>
      </c>
      <c r="F2833">
        <v>112304</v>
      </c>
    </row>
    <row r="2834" spans="1:6" x14ac:dyDescent="0.35">
      <c r="A2834" t="s">
        <v>256</v>
      </c>
      <c r="B2834" t="s">
        <v>257</v>
      </c>
      <c r="C2834">
        <v>2010</v>
      </c>
      <c r="E2834">
        <v>5726</v>
      </c>
      <c r="F2834">
        <v>109127</v>
      </c>
    </row>
    <row r="2835" spans="1:6" x14ac:dyDescent="0.35">
      <c r="A2835" t="s">
        <v>256</v>
      </c>
      <c r="B2835" t="s">
        <v>257</v>
      </c>
      <c r="C2835">
        <v>2011</v>
      </c>
      <c r="E2835">
        <v>4992</v>
      </c>
      <c r="F2835">
        <v>101598</v>
      </c>
    </row>
    <row r="2836" spans="1:6" x14ac:dyDescent="0.35">
      <c r="A2836" t="s">
        <v>256</v>
      </c>
      <c r="B2836" t="s">
        <v>257</v>
      </c>
      <c r="C2836">
        <v>2012</v>
      </c>
      <c r="E2836">
        <v>4712</v>
      </c>
      <c r="F2836">
        <v>95807</v>
      </c>
    </row>
    <row r="2837" spans="1:6" x14ac:dyDescent="0.35">
      <c r="A2837" t="s">
        <v>256</v>
      </c>
      <c r="B2837" t="s">
        <v>257</v>
      </c>
      <c r="C2837">
        <v>2013</v>
      </c>
      <c r="E2837">
        <v>4614</v>
      </c>
      <c r="F2837">
        <v>89638</v>
      </c>
    </row>
    <row r="2838" spans="1:6" x14ac:dyDescent="0.35">
      <c r="A2838" t="s">
        <v>256</v>
      </c>
      <c r="B2838" t="s">
        <v>257</v>
      </c>
      <c r="C2838">
        <v>2014</v>
      </c>
      <c r="E2838">
        <v>4356</v>
      </c>
      <c r="F2838">
        <v>87951</v>
      </c>
    </row>
    <row r="2839" spans="1:6" x14ac:dyDescent="0.35">
      <c r="A2839" t="s">
        <v>256</v>
      </c>
      <c r="B2839" t="s">
        <v>257</v>
      </c>
      <c r="C2839">
        <v>2015</v>
      </c>
      <c r="E2839">
        <v>4670</v>
      </c>
      <c r="F2839">
        <v>87374</v>
      </c>
    </row>
    <row r="2840" spans="1:6" x14ac:dyDescent="0.35">
      <c r="A2840" t="s">
        <v>256</v>
      </c>
      <c r="B2840" t="s">
        <v>257</v>
      </c>
      <c r="C2840">
        <v>2016</v>
      </c>
      <c r="E2840">
        <v>4546</v>
      </c>
      <c r="F2840">
        <v>88583</v>
      </c>
    </row>
    <row r="2841" spans="1:6" x14ac:dyDescent="0.35">
      <c r="A2841" t="s">
        <v>256</v>
      </c>
      <c r="B2841" t="s">
        <v>257</v>
      </c>
      <c r="C2841">
        <v>2017</v>
      </c>
      <c r="E2841">
        <v>4438</v>
      </c>
      <c r="F2841">
        <v>84394</v>
      </c>
    </row>
    <row r="2842" spans="1:6" x14ac:dyDescent="0.35">
      <c r="A2842" t="s">
        <v>256</v>
      </c>
      <c r="B2842" t="s">
        <v>257</v>
      </c>
      <c r="C2842">
        <v>2018</v>
      </c>
      <c r="E2842">
        <v>4472</v>
      </c>
      <c r="F2842">
        <v>82222</v>
      </c>
    </row>
    <row r="2843" spans="1:6" x14ac:dyDescent="0.35">
      <c r="A2843" t="s">
        <v>256</v>
      </c>
      <c r="B2843" t="s">
        <v>257</v>
      </c>
      <c r="C2843">
        <v>2019</v>
      </c>
      <c r="E2843">
        <v>4212</v>
      </c>
      <c r="F2843">
        <v>79906</v>
      </c>
    </row>
    <row r="2844" spans="1:6" x14ac:dyDescent="0.35">
      <c r="A2844" t="s">
        <v>258</v>
      </c>
      <c r="B2844" t="s">
        <v>259</v>
      </c>
      <c r="C2844">
        <v>1850</v>
      </c>
      <c r="D2844">
        <v>34</v>
      </c>
      <c r="F2844">
        <v>2280</v>
      </c>
    </row>
    <row r="2845" spans="1:6" x14ac:dyDescent="0.35">
      <c r="A2845" t="s">
        <v>258</v>
      </c>
      <c r="B2845" t="s">
        <v>259</v>
      </c>
      <c r="C2845">
        <v>1851</v>
      </c>
      <c r="D2845">
        <v>20</v>
      </c>
      <c r="F2845">
        <v>2336</v>
      </c>
    </row>
    <row r="2846" spans="1:6" x14ac:dyDescent="0.35">
      <c r="A2846" t="s">
        <v>258</v>
      </c>
      <c r="B2846" t="s">
        <v>259</v>
      </c>
      <c r="C2846">
        <v>1852</v>
      </c>
      <c r="D2846">
        <v>46</v>
      </c>
      <c r="F2846">
        <v>2357</v>
      </c>
    </row>
    <row r="2847" spans="1:6" x14ac:dyDescent="0.35">
      <c r="A2847" t="s">
        <v>258</v>
      </c>
      <c r="B2847" t="s">
        <v>259</v>
      </c>
      <c r="C2847">
        <v>1853</v>
      </c>
    </row>
    <row r="2848" spans="1:6" x14ac:dyDescent="0.35">
      <c r="A2848" t="s">
        <v>258</v>
      </c>
      <c r="B2848" t="s">
        <v>259</v>
      </c>
      <c r="C2848">
        <v>1854</v>
      </c>
      <c r="D2848">
        <v>39</v>
      </c>
      <c r="F2848">
        <v>2476</v>
      </c>
    </row>
    <row r="2849" spans="1:6" x14ac:dyDescent="0.35">
      <c r="A2849" t="s">
        <v>258</v>
      </c>
      <c r="B2849" t="s">
        <v>259</v>
      </c>
      <c r="C2849">
        <v>1855</v>
      </c>
      <c r="D2849">
        <v>38</v>
      </c>
      <c r="F2849">
        <v>2423</v>
      </c>
    </row>
    <row r="2850" spans="1:6" x14ac:dyDescent="0.35">
      <c r="A2850" t="s">
        <v>258</v>
      </c>
      <c r="B2850" t="s">
        <v>259</v>
      </c>
      <c r="C2850">
        <v>1856</v>
      </c>
      <c r="D2850">
        <v>43</v>
      </c>
      <c r="F2850">
        <v>2388</v>
      </c>
    </row>
    <row r="2851" spans="1:6" x14ac:dyDescent="0.35">
      <c r="A2851" t="s">
        <v>258</v>
      </c>
      <c r="B2851" t="s">
        <v>259</v>
      </c>
      <c r="C2851">
        <v>1857</v>
      </c>
      <c r="D2851">
        <v>30</v>
      </c>
      <c r="F2851">
        <v>2685</v>
      </c>
    </row>
    <row r="2852" spans="1:6" x14ac:dyDescent="0.35">
      <c r="A2852" t="s">
        <v>258</v>
      </c>
      <c r="B2852" t="s">
        <v>259</v>
      </c>
      <c r="C2852">
        <v>1858</v>
      </c>
      <c r="D2852">
        <v>38</v>
      </c>
      <c r="F2852">
        <v>2858</v>
      </c>
    </row>
    <row r="2853" spans="1:6" x14ac:dyDescent="0.35">
      <c r="A2853" t="s">
        <v>258</v>
      </c>
      <c r="B2853" t="s">
        <v>259</v>
      </c>
      <c r="C2853">
        <v>1859</v>
      </c>
      <c r="D2853">
        <v>46</v>
      </c>
      <c r="F2853">
        <v>2585</v>
      </c>
    </row>
    <row r="2854" spans="1:6" x14ac:dyDescent="0.35">
      <c r="A2854" t="s">
        <v>258</v>
      </c>
      <c r="B2854" t="s">
        <v>259</v>
      </c>
      <c r="C2854">
        <v>1860</v>
      </c>
      <c r="D2854">
        <v>27</v>
      </c>
      <c r="F2854">
        <v>2406</v>
      </c>
    </row>
    <row r="2855" spans="1:6" x14ac:dyDescent="0.35">
      <c r="A2855" t="s">
        <v>258</v>
      </c>
      <c r="B2855" t="s">
        <v>259</v>
      </c>
      <c r="C2855">
        <v>1861</v>
      </c>
      <c r="D2855">
        <v>36</v>
      </c>
      <c r="F2855">
        <v>2450</v>
      </c>
    </row>
    <row r="2856" spans="1:6" x14ac:dyDescent="0.35">
      <c r="A2856" t="s">
        <v>258</v>
      </c>
      <c r="B2856" t="s">
        <v>259</v>
      </c>
      <c r="C2856">
        <v>1862</v>
      </c>
      <c r="D2856">
        <v>32</v>
      </c>
      <c r="F2856">
        <v>2626</v>
      </c>
    </row>
    <row r="2857" spans="1:6" x14ac:dyDescent="0.35">
      <c r="A2857" t="s">
        <v>258</v>
      </c>
      <c r="B2857" t="s">
        <v>259</v>
      </c>
      <c r="C2857">
        <v>1863</v>
      </c>
      <c r="D2857">
        <v>35</v>
      </c>
      <c r="F2857">
        <v>2572</v>
      </c>
    </row>
    <row r="2858" spans="1:6" x14ac:dyDescent="0.35">
      <c r="A2858" t="s">
        <v>258</v>
      </c>
      <c r="B2858" t="s">
        <v>259</v>
      </c>
      <c r="C2858">
        <v>1864</v>
      </c>
      <c r="D2858">
        <v>52</v>
      </c>
      <c r="F2858">
        <v>2656</v>
      </c>
    </row>
    <row r="2859" spans="1:6" x14ac:dyDescent="0.35">
      <c r="A2859" t="s">
        <v>258</v>
      </c>
      <c r="B2859" t="s">
        <v>259</v>
      </c>
      <c r="C2859">
        <v>1865</v>
      </c>
      <c r="D2859">
        <v>37</v>
      </c>
      <c r="F2859">
        <v>2677</v>
      </c>
    </row>
    <row r="2860" spans="1:6" x14ac:dyDescent="0.35">
      <c r="A2860" t="s">
        <v>258</v>
      </c>
      <c r="B2860" t="s">
        <v>259</v>
      </c>
      <c r="C2860">
        <v>1866</v>
      </c>
      <c r="D2860">
        <v>41</v>
      </c>
      <c r="F2860">
        <v>2577</v>
      </c>
    </row>
    <row r="2861" spans="1:6" x14ac:dyDescent="0.35">
      <c r="A2861" t="s">
        <v>258</v>
      </c>
      <c r="B2861" t="s">
        <v>259</v>
      </c>
      <c r="C2861">
        <v>1867</v>
      </c>
      <c r="D2861">
        <v>46</v>
      </c>
      <c r="F2861">
        <v>2645</v>
      </c>
    </row>
    <row r="2862" spans="1:6" x14ac:dyDescent="0.35">
      <c r="A2862" t="s">
        <v>258</v>
      </c>
      <c r="B2862" t="s">
        <v>259</v>
      </c>
      <c r="C2862">
        <v>1868</v>
      </c>
      <c r="D2862">
        <v>37</v>
      </c>
      <c r="F2862">
        <v>2375</v>
      </c>
    </row>
    <row r="2863" spans="1:6" x14ac:dyDescent="0.35">
      <c r="A2863" t="s">
        <v>258</v>
      </c>
      <c r="B2863" t="s">
        <v>259</v>
      </c>
      <c r="C2863">
        <v>1869</v>
      </c>
      <c r="D2863">
        <v>35</v>
      </c>
      <c r="F2863">
        <v>2107</v>
      </c>
    </row>
    <row r="2864" spans="1:6" x14ac:dyDescent="0.35">
      <c r="A2864" t="s">
        <v>258</v>
      </c>
      <c r="B2864" t="s">
        <v>259</v>
      </c>
      <c r="C2864">
        <v>1870</v>
      </c>
      <c r="D2864">
        <v>46</v>
      </c>
      <c r="F2864">
        <v>2184</v>
      </c>
    </row>
    <row r="2865" spans="1:6" x14ac:dyDescent="0.35">
      <c r="A2865" t="s">
        <v>258</v>
      </c>
      <c r="B2865" t="s">
        <v>259</v>
      </c>
      <c r="C2865">
        <v>1871</v>
      </c>
      <c r="D2865">
        <v>43</v>
      </c>
      <c r="F2865">
        <v>2190</v>
      </c>
    </row>
    <row r="2866" spans="1:6" x14ac:dyDescent="0.35">
      <c r="A2866" t="s">
        <v>258</v>
      </c>
      <c r="B2866" t="s">
        <v>259</v>
      </c>
      <c r="C2866">
        <v>1872</v>
      </c>
      <c r="D2866">
        <v>34</v>
      </c>
      <c r="F2866">
        <v>2197</v>
      </c>
    </row>
    <row r="2867" spans="1:6" x14ac:dyDescent="0.35">
      <c r="A2867" t="s">
        <v>258</v>
      </c>
      <c r="B2867" t="s">
        <v>259</v>
      </c>
      <c r="C2867">
        <v>1873</v>
      </c>
      <c r="D2867">
        <v>36</v>
      </c>
      <c r="F2867">
        <v>2365</v>
      </c>
    </row>
    <row r="2868" spans="1:6" x14ac:dyDescent="0.35">
      <c r="A2868" t="s">
        <v>258</v>
      </c>
      <c r="B2868" t="s">
        <v>259</v>
      </c>
      <c r="C2868">
        <v>1874</v>
      </c>
      <c r="D2868">
        <v>25</v>
      </c>
      <c r="F2868">
        <v>2296</v>
      </c>
    </row>
    <row r="2869" spans="1:6" x14ac:dyDescent="0.35">
      <c r="A2869" t="s">
        <v>258</v>
      </c>
      <c r="B2869" t="s">
        <v>259</v>
      </c>
      <c r="C2869">
        <v>1875</v>
      </c>
      <c r="D2869">
        <v>46</v>
      </c>
      <c r="F2869">
        <v>2254</v>
      </c>
    </row>
    <row r="2870" spans="1:6" x14ac:dyDescent="0.35">
      <c r="A2870" t="s">
        <v>258</v>
      </c>
      <c r="B2870" t="s">
        <v>259</v>
      </c>
      <c r="C2870">
        <v>1876</v>
      </c>
      <c r="D2870">
        <v>37</v>
      </c>
      <c r="F2870">
        <v>2350</v>
      </c>
    </row>
    <row r="2871" spans="1:6" x14ac:dyDescent="0.35">
      <c r="A2871" t="s">
        <v>258</v>
      </c>
      <c r="B2871" t="s">
        <v>259</v>
      </c>
      <c r="C2871">
        <v>1877</v>
      </c>
      <c r="D2871">
        <v>39</v>
      </c>
      <c r="F2871">
        <v>2178</v>
      </c>
    </row>
    <row r="2872" spans="1:6" x14ac:dyDescent="0.35">
      <c r="A2872" t="s">
        <v>258</v>
      </c>
      <c r="B2872" t="s">
        <v>259</v>
      </c>
      <c r="C2872">
        <v>1878</v>
      </c>
      <c r="D2872">
        <v>47</v>
      </c>
      <c r="F2872">
        <v>2343</v>
      </c>
    </row>
    <row r="2873" spans="1:6" x14ac:dyDescent="0.35">
      <c r="A2873" t="s">
        <v>258</v>
      </c>
      <c r="B2873" t="s">
        <v>259</v>
      </c>
      <c r="C2873">
        <v>1879</v>
      </c>
      <c r="D2873">
        <v>31</v>
      </c>
      <c r="F2873">
        <v>2260</v>
      </c>
    </row>
    <row r="2874" spans="1:6" x14ac:dyDescent="0.35">
      <c r="A2874" t="s">
        <v>258</v>
      </c>
      <c r="B2874" t="s">
        <v>259</v>
      </c>
      <c r="C2874">
        <v>1880</v>
      </c>
      <c r="D2874">
        <v>34</v>
      </c>
      <c r="F2874">
        <v>2273</v>
      </c>
    </row>
    <row r="2875" spans="1:6" x14ac:dyDescent="0.35">
      <c r="A2875" t="s">
        <v>258</v>
      </c>
      <c r="B2875" t="s">
        <v>259</v>
      </c>
      <c r="C2875">
        <v>1881</v>
      </c>
      <c r="D2875">
        <v>57</v>
      </c>
      <c r="F2875">
        <v>2323</v>
      </c>
    </row>
    <row r="2876" spans="1:6" x14ac:dyDescent="0.35">
      <c r="A2876" t="s">
        <v>258</v>
      </c>
      <c r="B2876" t="s">
        <v>259</v>
      </c>
      <c r="C2876">
        <v>1882</v>
      </c>
      <c r="D2876">
        <v>36</v>
      </c>
      <c r="F2876">
        <v>2315</v>
      </c>
    </row>
    <row r="2877" spans="1:6" x14ac:dyDescent="0.35">
      <c r="A2877" t="s">
        <v>258</v>
      </c>
      <c r="B2877" t="s">
        <v>259</v>
      </c>
      <c r="C2877">
        <v>1883</v>
      </c>
      <c r="D2877">
        <v>31</v>
      </c>
      <c r="F2877">
        <v>2119</v>
      </c>
    </row>
    <row r="2878" spans="1:6" x14ac:dyDescent="0.35">
      <c r="A2878" t="s">
        <v>258</v>
      </c>
      <c r="B2878" t="s">
        <v>259</v>
      </c>
      <c r="C2878">
        <v>1884</v>
      </c>
      <c r="D2878">
        <v>32</v>
      </c>
      <c r="F2878">
        <v>2318</v>
      </c>
    </row>
    <row r="2879" spans="1:6" x14ac:dyDescent="0.35">
      <c r="A2879" t="s">
        <v>258</v>
      </c>
      <c r="B2879" t="s">
        <v>259</v>
      </c>
      <c r="C2879">
        <v>1885</v>
      </c>
      <c r="D2879">
        <v>40</v>
      </c>
      <c r="F2879">
        <v>2253</v>
      </c>
    </row>
    <row r="2880" spans="1:6" x14ac:dyDescent="0.35">
      <c r="A2880" t="s">
        <v>258</v>
      </c>
      <c r="B2880" t="s">
        <v>259</v>
      </c>
      <c r="C2880">
        <v>1886</v>
      </c>
      <c r="D2880">
        <v>31</v>
      </c>
      <c r="F2880">
        <v>2152</v>
      </c>
    </row>
    <row r="2881" spans="1:6" x14ac:dyDescent="0.35">
      <c r="A2881" t="s">
        <v>258</v>
      </c>
      <c r="B2881" t="s">
        <v>259</v>
      </c>
      <c r="C2881">
        <v>1887</v>
      </c>
      <c r="D2881">
        <v>35</v>
      </c>
      <c r="F2881">
        <v>2010</v>
      </c>
    </row>
    <row r="2882" spans="1:6" x14ac:dyDescent="0.35">
      <c r="A2882" t="s">
        <v>258</v>
      </c>
      <c r="B2882" t="s">
        <v>259</v>
      </c>
      <c r="C2882">
        <v>1888</v>
      </c>
      <c r="D2882">
        <v>33</v>
      </c>
      <c r="F2882">
        <v>1925</v>
      </c>
    </row>
    <row r="2883" spans="1:6" x14ac:dyDescent="0.35">
      <c r="A2883" t="s">
        <v>258</v>
      </c>
      <c r="B2883" t="s">
        <v>259</v>
      </c>
      <c r="C2883">
        <v>1889</v>
      </c>
      <c r="D2883">
        <v>48</v>
      </c>
      <c r="F2883">
        <v>2169</v>
      </c>
    </row>
    <row r="2884" spans="1:6" x14ac:dyDescent="0.35">
      <c r="A2884" t="s">
        <v>258</v>
      </c>
      <c r="B2884" t="s">
        <v>259</v>
      </c>
      <c r="C2884">
        <v>1890</v>
      </c>
      <c r="D2884">
        <v>49</v>
      </c>
      <c r="F2884">
        <v>2167</v>
      </c>
    </row>
    <row r="2885" spans="1:6" x14ac:dyDescent="0.35">
      <c r="A2885" t="s">
        <v>258</v>
      </c>
      <c r="B2885" t="s">
        <v>259</v>
      </c>
      <c r="C2885">
        <v>1891</v>
      </c>
      <c r="D2885">
        <v>47</v>
      </c>
      <c r="F2885">
        <v>2343</v>
      </c>
    </row>
    <row r="2886" spans="1:6" x14ac:dyDescent="0.35">
      <c r="A2886" t="s">
        <v>258</v>
      </c>
      <c r="B2886" t="s">
        <v>259</v>
      </c>
      <c r="C2886">
        <v>1892</v>
      </c>
      <c r="D2886">
        <v>39</v>
      </c>
      <c r="F2886">
        <v>2272</v>
      </c>
    </row>
    <row r="2887" spans="1:6" x14ac:dyDescent="0.35">
      <c r="A2887" t="s">
        <v>258</v>
      </c>
      <c r="B2887" t="s">
        <v>259</v>
      </c>
      <c r="C2887">
        <v>1893</v>
      </c>
      <c r="D2887">
        <v>44</v>
      </c>
      <c r="F2887">
        <v>2316</v>
      </c>
    </row>
    <row r="2888" spans="1:6" x14ac:dyDescent="0.35">
      <c r="A2888" t="s">
        <v>258</v>
      </c>
      <c r="B2888" t="s">
        <v>259</v>
      </c>
      <c r="C2888">
        <v>1894</v>
      </c>
      <c r="D2888">
        <v>38</v>
      </c>
      <c r="F2888">
        <v>2175</v>
      </c>
    </row>
    <row r="2889" spans="1:6" x14ac:dyDescent="0.35">
      <c r="A2889" t="s">
        <v>258</v>
      </c>
      <c r="B2889" t="s">
        <v>259</v>
      </c>
      <c r="C2889">
        <v>1895</v>
      </c>
      <c r="D2889">
        <v>39</v>
      </c>
      <c r="F2889">
        <v>2479</v>
      </c>
    </row>
    <row r="2890" spans="1:6" x14ac:dyDescent="0.35">
      <c r="A2890" t="s">
        <v>258</v>
      </c>
      <c r="B2890" t="s">
        <v>259</v>
      </c>
      <c r="C2890">
        <v>1896</v>
      </c>
      <c r="D2890">
        <v>47</v>
      </c>
      <c r="F2890">
        <v>2329</v>
      </c>
    </row>
    <row r="2891" spans="1:6" x14ac:dyDescent="0.35">
      <c r="A2891" t="s">
        <v>258</v>
      </c>
      <c r="B2891" t="s">
        <v>259</v>
      </c>
      <c r="C2891">
        <v>1897</v>
      </c>
      <c r="D2891">
        <v>39</v>
      </c>
      <c r="F2891">
        <v>2376</v>
      </c>
    </row>
    <row r="2892" spans="1:6" x14ac:dyDescent="0.35">
      <c r="A2892" t="s">
        <v>258</v>
      </c>
      <c r="B2892" t="s">
        <v>259</v>
      </c>
      <c r="C2892">
        <v>1898</v>
      </c>
      <c r="D2892">
        <v>45</v>
      </c>
      <c r="F2892">
        <v>2265</v>
      </c>
    </row>
    <row r="2893" spans="1:6" x14ac:dyDescent="0.35">
      <c r="A2893" t="s">
        <v>258</v>
      </c>
      <c r="B2893" t="s">
        <v>259</v>
      </c>
      <c r="C2893">
        <v>1899</v>
      </c>
      <c r="D2893">
        <v>37</v>
      </c>
      <c r="F2893">
        <v>2246</v>
      </c>
    </row>
    <row r="2894" spans="1:6" x14ac:dyDescent="0.35">
      <c r="A2894" t="s">
        <v>258</v>
      </c>
      <c r="B2894" t="s">
        <v>259</v>
      </c>
      <c r="C2894">
        <v>1900</v>
      </c>
      <c r="D2894">
        <v>35</v>
      </c>
      <c r="F2894">
        <v>2235</v>
      </c>
    </row>
    <row r="2895" spans="1:6" x14ac:dyDescent="0.35">
      <c r="A2895" t="s">
        <v>258</v>
      </c>
      <c r="B2895" t="s">
        <v>259</v>
      </c>
      <c r="C2895">
        <v>1901</v>
      </c>
      <c r="D2895">
        <v>30</v>
      </c>
      <c r="F2895">
        <v>2193</v>
      </c>
    </row>
    <row r="2896" spans="1:6" x14ac:dyDescent="0.35">
      <c r="A2896" t="s">
        <v>258</v>
      </c>
      <c r="B2896" t="s">
        <v>259</v>
      </c>
      <c r="C2896">
        <v>1902</v>
      </c>
      <c r="D2896">
        <v>42</v>
      </c>
      <c r="F2896">
        <v>2206</v>
      </c>
    </row>
    <row r="2897" spans="1:6" x14ac:dyDescent="0.35">
      <c r="A2897" t="s">
        <v>258</v>
      </c>
      <c r="B2897" t="s">
        <v>259</v>
      </c>
      <c r="C2897">
        <v>1903</v>
      </c>
      <c r="D2897">
        <v>36</v>
      </c>
      <c r="F2897">
        <v>2259</v>
      </c>
    </row>
    <row r="2898" spans="1:6" x14ac:dyDescent="0.35">
      <c r="A2898" t="s">
        <v>258</v>
      </c>
      <c r="B2898" t="s">
        <v>259</v>
      </c>
      <c r="C2898">
        <v>1904</v>
      </c>
      <c r="D2898">
        <v>42</v>
      </c>
      <c r="F2898">
        <v>2273</v>
      </c>
    </row>
    <row r="2899" spans="1:6" x14ac:dyDescent="0.35">
      <c r="A2899" t="s">
        <v>258</v>
      </c>
      <c r="B2899" t="s">
        <v>259</v>
      </c>
      <c r="C2899">
        <v>1905</v>
      </c>
      <c r="D2899">
        <v>26</v>
      </c>
      <c r="F2899">
        <v>2278</v>
      </c>
    </row>
    <row r="2900" spans="1:6" x14ac:dyDescent="0.35">
      <c r="A2900" t="s">
        <v>258</v>
      </c>
      <c r="B2900" t="s">
        <v>259</v>
      </c>
      <c r="C2900">
        <v>1906</v>
      </c>
      <c r="D2900">
        <v>38</v>
      </c>
      <c r="F2900">
        <v>2342</v>
      </c>
    </row>
    <row r="2901" spans="1:6" x14ac:dyDescent="0.35">
      <c r="A2901" t="s">
        <v>258</v>
      </c>
      <c r="B2901" t="s">
        <v>259</v>
      </c>
      <c r="C2901">
        <v>1907</v>
      </c>
      <c r="D2901">
        <v>53</v>
      </c>
      <c r="F2901">
        <v>2264</v>
      </c>
    </row>
    <row r="2902" spans="1:6" x14ac:dyDescent="0.35">
      <c r="A2902" t="s">
        <v>258</v>
      </c>
      <c r="B2902" t="s">
        <v>259</v>
      </c>
      <c r="C2902">
        <v>1908</v>
      </c>
      <c r="D2902">
        <v>27</v>
      </c>
      <c r="F2902">
        <v>2293</v>
      </c>
    </row>
    <row r="2903" spans="1:6" x14ac:dyDescent="0.35">
      <c r="A2903" t="s">
        <v>258</v>
      </c>
      <c r="B2903" t="s">
        <v>259</v>
      </c>
      <c r="C2903">
        <v>1909</v>
      </c>
      <c r="D2903">
        <v>45</v>
      </c>
      <c r="F2903">
        <v>2259</v>
      </c>
    </row>
    <row r="2904" spans="1:6" x14ac:dyDescent="0.35">
      <c r="A2904" t="s">
        <v>258</v>
      </c>
      <c r="B2904" t="s">
        <v>259</v>
      </c>
      <c r="C2904">
        <v>1910</v>
      </c>
      <c r="D2904">
        <v>35</v>
      </c>
      <c r="F2904">
        <v>2164</v>
      </c>
    </row>
    <row r="2905" spans="1:6" x14ac:dyDescent="0.35">
      <c r="A2905" t="s">
        <v>258</v>
      </c>
      <c r="B2905" t="s">
        <v>259</v>
      </c>
      <c r="C2905">
        <v>1911</v>
      </c>
      <c r="D2905">
        <v>35</v>
      </c>
      <c r="F2905">
        <v>2194</v>
      </c>
    </row>
    <row r="2906" spans="1:6" x14ac:dyDescent="0.35">
      <c r="A2906" t="s">
        <v>258</v>
      </c>
      <c r="B2906" t="s">
        <v>259</v>
      </c>
      <c r="C2906">
        <v>1912</v>
      </c>
      <c r="D2906">
        <v>33</v>
      </c>
      <c r="F2906">
        <v>2241</v>
      </c>
    </row>
    <row r="2907" spans="1:6" x14ac:dyDescent="0.35">
      <c r="A2907" t="s">
        <v>258</v>
      </c>
      <c r="B2907" t="s">
        <v>259</v>
      </c>
      <c r="C2907">
        <v>1913</v>
      </c>
      <c r="D2907">
        <v>34</v>
      </c>
      <c r="F2907">
        <v>2229</v>
      </c>
    </row>
    <row r="2908" spans="1:6" x14ac:dyDescent="0.35">
      <c r="A2908" t="s">
        <v>258</v>
      </c>
      <c r="B2908" t="s">
        <v>259</v>
      </c>
      <c r="C2908">
        <v>1914</v>
      </c>
      <c r="D2908">
        <v>25</v>
      </c>
      <c r="F2908">
        <v>2345</v>
      </c>
    </row>
    <row r="2909" spans="1:6" x14ac:dyDescent="0.35">
      <c r="A2909" t="s">
        <v>258</v>
      </c>
      <c r="B2909" t="s">
        <v>259</v>
      </c>
      <c r="C2909">
        <v>1915</v>
      </c>
      <c r="D2909">
        <v>41</v>
      </c>
      <c r="F2909">
        <v>2443</v>
      </c>
    </row>
    <row r="2910" spans="1:6" x14ac:dyDescent="0.35">
      <c r="A2910" t="s">
        <v>258</v>
      </c>
      <c r="B2910" t="s">
        <v>259</v>
      </c>
      <c r="C2910">
        <v>1916</v>
      </c>
      <c r="D2910">
        <v>32</v>
      </c>
      <c r="F2910">
        <v>2405</v>
      </c>
    </row>
    <row r="2911" spans="1:6" x14ac:dyDescent="0.35">
      <c r="A2911" t="s">
        <v>258</v>
      </c>
      <c r="B2911" t="s">
        <v>259</v>
      </c>
      <c r="C2911">
        <v>1917</v>
      </c>
      <c r="D2911">
        <v>39</v>
      </c>
      <c r="F2911">
        <v>2399</v>
      </c>
    </row>
    <row r="2912" spans="1:6" x14ac:dyDescent="0.35">
      <c r="A2912" t="s">
        <v>258</v>
      </c>
      <c r="B2912" t="s">
        <v>259</v>
      </c>
      <c r="C2912">
        <v>1918</v>
      </c>
      <c r="D2912">
        <v>47</v>
      </c>
      <c r="F2912">
        <v>2425</v>
      </c>
    </row>
    <row r="2913" spans="1:6" x14ac:dyDescent="0.35">
      <c r="A2913" t="s">
        <v>258</v>
      </c>
      <c r="B2913" t="s">
        <v>259</v>
      </c>
      <c r="C2913">
        <v>1919</v>
      </c>
      <c r="D2913">
        <v>35</v>
      </c>
      <c r="F2913">
        <v>2330</v>
      </c>
    </row>
    <row r="2914" spans="1:6" x14ac:dyDescent="0.35">
      <c r="A2914" t="s">
        <v>258</v>
      </c>
      <c r="B2914" t="s">
        <v>259</v>
      </c>
      <c r="C2914">
        <v>1920</v>
      </c>
      <c r="D2914">
        <v>42</v>
      </c>
      <c r="F2914">
        <v>2615</v>
      </c>
    </row>
    <row r="2915" spans="1:6" x14ac:dyDescent="0.35">
      <c r="A2915" t="s">
        <v>258</v>
      </c>
      <c r="B2915" t="s">
        <v>259</v>
      </c>
      <c r="C2915">
        <v>1921</v>
      </c>
      <c r="D2915">
        <v>42</v>
      </c>
      <c r="F2915">
        <v>2595</v>
      </c>
    </row>
    <row r="2916" spans="1:6" x14ac:dyDescent="0.35">
      <c r="A2916" t="s">
        <v>258</v>
      </c>
      <c r="B2916" t="s">
        <v>259</v>
      </c>
      <c r="C2916">
        <v>1922</v>
      </c>
      <c r="D2916">
        <v>30</v>
      </c>
      <c r="F2916">
        <v>2538</v>
      </c>
    </row>
    <row r="2917" spans="1:6" x14ac:dyDescent="0.35">
      <c r="A2917" t="s">
        <v>258</v>
      </c>
      <c r="B2917" t="s">
        <v>259</v>
      </c>
      <c r="C2917">
        <v>1923</v>
      </c>
      <c r="D2917">
        <v>35</v>
      </c>
      <c r="F2917">
        <v>2590</v>
      </c>
    </row>
    <row r="2918" spans="1:6" x14ac:dyDescent="0.35">
      <c r="A2918" t="s">
        <v>258</v>
      </c>
      <c r="B2918" t="s">
        <v>259</v>
      </c>
      <c r="C2918">
        <v>1924</v>
      </c>
      <c r="D2918">
        <v>42</v>
      </c>
      <c r="F2918">
        <v>2508</v>
      </c>
    </row>
    <row r="2919" spans="1:6" x14ac:dyDescent="0.35">
      <c r="A2919" t="s">
        <v>258</v>
      </c>
      <c r="B2919" t="s">
        <v>259</v>
      </c>
      <c r="C2919">
        <v>1925</v>
      </c>
      <c r="D2919">
        <v>32</v>
      </c>
      <c r="F2919">
        <v>2557</v>
      </c>
    </row>
    <row r="2920" spans="1:6" x14ac:dyDescent="0.35">
      <c r="A2920" t="s">
        <v>258</v>
      </c>
      <c r="B2920" t="s">
        <v>259</v>
      </c>
      <c r="C2920">
        <v>1926</v>
      </c>
      <c r="D2920">
        <v>48</v>
      </c>
      <c r="F2920">
        <v>2650</v>
      </c>
    </row>
    <row r="2921" spans="1:6" x14ac:dyDescent="0.35">
      <c r="A2921" t="s">
        <v>258</v>
      </c>
      <c r="B2921" t="s">
        <v>259</v>
      </c>
      <c r="C2921">
        <v>1927</v>
      </c>
      <c r="D2921">
        <v>42</v>
      </c>
      <c r="F2921">
        <v>2631</v>
      </c>
    </row>
    <row r="2922" spans="1:6" x14ac:dyDescent="0.35">
      <c r="A2922" t="s">
        <v>258</v>
      </c>
      <c r="B2922" t="s">
        <v>259</v>
      </c>
      <c r="C2922">
        <v>1928</v>
      </c>
      <c r="D2922">
        <v>40</v>
      </c>
      <c r="F2922">
        <v>2520</v>
      </c>
    </row>
    <row r="2923" spans="1:6" x14ac:dyDescent="0.35">
      <c r="A2923" t="s">
        <v>258</v>
      </c>
      <c r="B2923" t="s">
        <v>259</v>
      </c>
      <c r="C2923">
        <v>1929</v>
      </c>
      <c r="D2923">
        <v>44</v>
      </c>
      <c r="F2923">
        <v>2638</v>
      </c>
    </row>
    <row r="2924" spans="1:6" x14ac:dyDescent="0.35">
      <c r="A2924" t="s">
        <v>258</v>
      </c>
      <c r="B2924" t="s">
        <v>259</v>
      </c>
      <c r="C2924">
        <v>1930</v>
      </c>
      <c r="D2924">
        <v>41</v>
      </c>
      <c r="F2924">
        <v>2789</v>
      </c>
    </row>
    <row r="2925" spans="1:6" x14ac:dyDescent="0.35">
      <c r="A2925" t="s">
        <v>258</v>
      </c>
      <c r="B2925" t="s">
        <v>259</v>
      </c>
      <c r="C2925">
        <v>1931</v>
      </c>
      <c r="D2925">
        <v>34</v>
      </c>
      <c r="F2925">
        <v>2800</v>
      </c>
    </row>
    <row r="2926" spans="1:6" x14ac:dyDescent="0.35">
      <c r="A2926" t="s">
        <v>258</v>
      </c>
      <c r="B2926" t="s">
        <v>259</v>
      </c>
      <c r="C2926">
        <v>1932</v>
      </c>
      <c r="D2926">
        <v>27</v>
      </c>
      <c r="F2926">
        <v>2695</v>
      </c>
    </row>
    <row r="2927" spans="1:6" x14ac:dyDescent="0.35">
      <c r="A2927" t="s">
        <v>258</v>
      </c>
      <c r="B2927" t="s">
        <v>259</v>
      </c>
      <c r="C2927">
        <v>1933</v>
      </c>
      <c r="D2927">
        <v>34</v>
      </c>
      <c r="F2927">
        <v>2515</v>
      </c>
    </row>
    <row r="2928" spans="1:6" x14ac:dyDescent="0.35">
      <c r="A2928" t="s">
        <v>258</v>
      </c>
      <c r="B2928" t="s">
        <v>259</v>
      </c>
      <c r="C2928">
        <v>1934</v>
      </c>
      <c r="D2928">
        <v>42</v>
      </c>
      <c r="F2928">
        <v>2569</v>
      </c>
    </row>
    <row r="2929" spans="1:6" x14ac:dyDescent="0.35">
      <c r="A2929" t="s">
        <v>258</v>
      </c>
      <c r="B2929" t="s">
        <v>259</v>
      </c>
      <c r="C2929">
        <v>1935</v>
      </c>
      <c r="D2929">
        <v>25</v>
      </c>
      <c r="F2929">
        <v>2558</v>
      </c>
    </row>
    <row r="2930" spans="1:6" x14ac:dyDescent="0.35">
      <c r="A2930" t="s">
        <v>258</v>
      </c>
      <c r="B2930" t="s">
        <v>259</v>
      </c>
      <c r="C2930">
        <v>1936</v>
      </c>
      <c r="D2930">
        <v>24</v>
      </c>
      <c r="F2930">
        <v>2557</v>
      </c>
    </row>
    <row r="2931" spans="1:6" x14ac:dyDescent="0.35">
      <c r="A2931" t="s">
        <v>258</v>
      </c>
      <c r="B2931" t="s">
        <v>259</v>
      </c>
      <c r="C2931">
        <v>1937</v>
      </c>
      <c r="D2931">
        <v>34</v>
      </c>
      <c r="F2931">
        <v>2387</v>
      </c>
    </row>
    <row r="2932" spans="1:6" x14ac:dyDescent="0.35">
      <c r="A2932" t="s">
        <v>258</v>
      </c>
      <c r="B2932" t="s">
        <v>259</v>
      </c>
      <c r="C2932">
        <v>1938</v>
      </c>
      <c r="D2932">
        <v>34</v>
      </c>
      <c r="F2932">
        <v>2365</v>
      </c>
    </row>
    <row r="2933" spans="1:6" x14ac:dyDescent="0.35">
      <c r="A2933" t="s">
        <v>258</v>
      </c>
      <c r="B2933" t="s">
        <v>259</v>
      </c>
      <c r="C2933">
        <v>1939</v>
      </c>
      <c r="D2933">
        <v>36</v>
      </c>
      <c r="F2933">
        <v>2328</v>
      </c>
    </row>
    <row r="2934" spans="1:6" x14ac:dyDescent="0.35">
      <c r="A2934" t="s">
        <v>258</v>
      </c>
      <c r="B2934" t="s">
        <v>259</v>
      </c>
      <c r="C2934">
        <v>1940</v>
      </c>
      <c r="D2934">
        <v>25</v>
      </c>
      <c r="F2934">
        <v>2481</v>
      </c>
    </row>
    <row r="2935" spans="1:6" x14ac:dyDescent="0.35">
      <c r="A2935" t="s">
        <v>258</v>
      </c>
      <c r="B2935" t="s">
        <v>259</v>
      </c>
      <c r="C2935">
        <v>1941</v>
      </c>
      <c r="D2935">
        <v>33</v>
      </c>
      <c r="F2935">
        <v>2621</v>
      </c>
    </row>
    <row r="2936" spans="1:6" x14ac:dyDescent="0.35">
      <c r="A2936" t="s">
        <v>258</v>
      </c>
      <c r="B2936" t="s">
        <v>259</v>
      </c>
      <c r="C2936">
        <v>1942</v>
      </c>
      <c r="D2936">
        <v>39</v>
      </c>
      <c r="F2936">
        <v>3003</v>
      </c>
    </row>
    <row r="2937" spans="1:6" x14ac:dyDescent="0.35">
      <c r="A2937" t="s">
        <v>258</v>
      </c>
      <c r="B2937" t="s">
        <v>259</v>
      </c>
      <c r="C2937">
        <v>1943</v>
      </c>
      <c r="D2937">
        <v>56</v>
      </c>
      <c r="F2937">
        <v>3126</v>
      </c>
    </row>
    <row r="2938" spans="1:6" x14ac:dyDescent="0.35">
      <c r="A2938" t="s">
        <v>258</v>
      </c>
      <c r="B2938" t="s">
        <v>259</v>
      </c>
      <c r="C2938">
        <v>1944</v>
      </c>
      <c r="D2938">
        <v>41</v>
      </c>
      <c r="F2938">
        <v>3225</v>
      </c>
    </row>
    <row r="2939" spans="1:6" x14ac:dyDescent="0.35">
      <c r="A2939" t="s">
        <v>258</v>
      </c>
      <c r="B2939" t="s">
        <v>259</v>
      </c>
      <c r="C2939">
        <v>1945</v>
      </c>
      <c r="D2939">
        <v>37</v>
      </c>
      <c r="F2939">
        <v>3425</v>
      </c>
    </row>
    <row r="2940" spans="1:6" x14ac:dyDescent="0.35">
      <c r="A2940" t="s">
        <v>258</v>
      </c>
      <c r="B2940" t="s">
        <v>259</v>
      </c>
      <c r="C2940">
        <v>1946</v>
      </c>
      <c r="D2940">
        <v>39</v>
      </c>
      <c r="F2940">
        <v>3426</v>
      </c>
    </row>
    <row r="2941" spans="1:6" x14ac:dyDescent="0.35">
      <c r="A2941" t="s">
        <v>258</v>
      </c>
      <c r="B2941" t="s">
        <v>259</v>
      </c>
      <c r="C2941">
        <v>1947</v>
      </c>
      <c r="D2941">
        <v>51</v>
      </c>
      <c r="F2941">
        <v>3657</v>
      </c>
    </row>
    <row r="2942" spans="1:6" x14ac:dyDescent="0.35">
      <c r="A2942" t="s">
        <v>258</v>
      </c>
      <c r="B2942" t="s">
        <v>259</v>
      </c>
      <c r="C2942">
        <v>1948</v>
      </c>
      <c r="D2942">
        <v>47</v>
      </c>
      <c r="F2942">
        <v>3805</v>
      </c>
    </row>
    <row r="2943" spans="1:6" x14ac:dyDescent="0.35">
      <c r="A2943" t="s">
        <v>258</v>
      </c>
      <c r="B2943" t="s">
        <v>259</v>
      </c>
      <c r="C2943">
        <v>1949</v>
      </c>
      <c r="D2943">
        <v>36</v>
      </c>
      <c r="F2943">
        <v>3876</v>
      </c>
    </row>
    <row r="2944" spans="1:6" x14ac:dyDescent="0.35">
      <c r="A2944" t="s">
        <v>258</v>
      </c>
      <c r="B2944" t="s">
        <v>259</v>
      </c>
      <c r="C2944">
        <v>1950</v>
      </c>
      <c r="D2944">
        <v>42</v>
      </c>
      <c r="F2944">
        <v>4075</v>
      </c>
    </row>
    <row r="2945" spans="1:6" x14ac:dyDescent="0.35">
      <c r="A2945" t="s">
        <v>258</v>
      </c>
      <c r="B2945" t="s">
        <v>259</v>
      </c>
      <c r="C2945">
        <v>1951</v>
      </c>
      <c r="D2945">
        <v>42</v>
      </c>
      <c r="E2945">
        <v>84</v>
      </c>
      <c r="F2945">
        <v>3977</v>
      </c>
    </row>
    <row r="2946" spans="1:6" x14ac:dyDescent="0.35">
      <c r="A2946" t="s">
        <v>258</v>
      </c>
      <c r="B2946" t="s">
        <v>259</v>
      </c>
      <c r="C2946">
        <v>1952</v>
      </c>
      <c r="D2946">
        <v>45</v>
      </c>
      <c r="E2946">
        <v>90</v>
      </c>
      <c r="F2946">
        <v>4063</v>
      </c>
    </row>
    <row r="2947" spans="1:6" x14ac:dyDescent="0.35">
      <c r="A2947" t="s">
        <v>258</v>
      </c>
      <c r="B2947" t="s">
        <v>259</v>
      </c>
      <c r="C2947">
        <v>1953</v>
      </c>
      <c r="D2947">
        <v>45</v>
      </c>
      <c r="E2947">
        <v>90</v>
      </c>
      <c r="F2947">
        <v>4223</v>
      </c>
    </row>
    <row r="2948" spans="1:6" x14ac:dyDescent="0.35">
      <c r="A2948" t="s">
        <v>258</v>
      </c>
      <c r="B2948" t="s">
        <v>259</v>
      </c>
      <c r="C2948">
        <v>1954</v>
      </c>
      <c r="D2948">
        <v>40</v>
      </c>
      <c r="E2948">
        <v>80</v>
      </c>
      <c r="F2948">
        <v>4267</v>
      </c>
    </row>
    <row r="2949" spans="1:6" x14ac:dyDescent="0.35">
      <c r="A2949" t="s">
        <v>258</v>
      </c>
      <c r="B2949" t="s">
        <v>259</v>
      </c>
      <c r="C2949">
        <v>1955</v>
      </c>
      <c r="D2949">
        <v>53</v>
      </c>
      <c r="E2949">
        <v>106</v>
      </c>
      <c r="F2949">
        <v>4459</v>
      </c>
    </row>
    <row r="2950" spans="1:6" x14ac:dyDescent="0.35">
      <c r="A2950" t="s">
        <v>258</v>
      </c>
      <c r="B2950" t="s">
        <v>259</v>
      </c>
      <c r="C2950">
        <v>1956</v>
      </c>
      <c r="D2950">
        <v>51</v>
      </c>
      <c r="E2950">
        <v>102</v>
      </c>
      <c r="F2950">
        <v>4566</v>
      </c>
    </row>
    <row r="2951" spans="1:6" x14ac:dyDescent="0.35">
      <c r="A2951" t="s">
        <v>258</v>
      </c>
      <c r="B2951" t="s">
        <v>259</v>
      </c>
      <c r="C2951">
        <v>1957</v>
      </c>
      <c r="D2951">
        <v>42</v>
      </c>
      <c r="E2951">
        <v>84</v>
      </c>
      <c r="F2951">
        <v>4703</v>
      </c>
    </row>
    <row r="2952" spans="1:6" x14ac:dyDescent="0.35">
      <c r="A2952" t="s">
        <v>258</v>
      </c>
      <c r="B2952" t="s">
        <v>259</v>
      </c>
      <c r="C2952">
        <v>1958</v>
      </c>
      <c r="D2952">
        <v>42</v>
      </c>
      <c r="E2952">
        <v>84</v>
      </c>
      <c r="F2952">
        <v>4620</v>
      </c>
    </row>
    <row r="2953" spans="1:6" x14ac:dyDescent="0.35">
      <c r="A2953" t="s">
        <v>258</v>
      </c>
      <c r="B2953" t="s">
        <v>259</v>
      </c>
      <c r="C2953">
        <v>1959</v>
      </c>
      <c r="D2953">
        <v>48</v>
      </c>
      <c r="E2953">
        <v>96</v>
      </c>
      <c r="F2953">
        <v>4795</v>
      </c>
    </row>
    <row r="2954" spans="1:6" x14ac:dyDescent="0.35">
      <c r="A2954" t="s">
        <v>258</v>
      </c>
      <c r="B2954" t="s">
        <v>259</v>
      </c>
      <c r="C2954">
        <v>1960</v>
      </c>
      <c r="D2954">
        <v>53</v>
      </c>
      <c r="E2954">
        <v>106</v>
      </c>
      <c r="F2954">
        <v>4870</v>
      </c>
    </row>
    <row r="2955" spans="1:6" x14ac:dyDescent="0.35">
      <c r="A2955" t="s">
        <v>258</v>
      </c>
      <c r="B2955" t="s">
        <v>259</v>
      </c>
      <c r="C2955">
        <v>1961</v>
      </c>
      <c r="D2955">
        <v>50</v>
      </c>
      <c r="E2955">
        <v>100</v>
      </c>
      <c r="F2955">
        <v>4534</v>
      </c>
    </row>
    <row r="2956" spans="1:6" x14ac:dyDescent="0.35">
      <c r="A2956" t="s">
        <v>258</v>
      </c>
      <c r="B2956" t="s">
        <v>259</v>
      </c>
      <c r="C2956">
        <v>1962</v>
      </c>
      <c r="D2956">
        <v>38</v>
      </c>
      <c r="E2956">
        <v>76</v>
      </c>
      <c r="F2956">
        <v>4693</v>
      </c>
    </row>
    <row r="2957" spans="1:6" x14ac:dyDescent="0.35">
      <c r="A2957" t="s">
        <v>258</v>
      </c>
      <c r="B2957" t="s">
        <v>259</v>
      </c>
      <c r="C2957">
        <v>1963</v>
      </c>
      <c r="D2957">
        <v>45</v>
      </c>
      <c r="E2957">
        <v>90</v>
      </c>
      <c r="F2957">
        <v>4795</v>
      </c>
    </row>
    <row r="2958" spans="1:6" x14ac:dyDescent="0.35">
      <c r="A2958" t="s">
        <v>258</v>
      </c>
      <c r="B2958" t="s">
        <v>259</v>
      </c>
      <c r="C2958">
        <v>1964</v>
      </c>
      <c r="D2958">
        <v>67</v>
      </c>
      <c r="E2958">
        <v>134</v>
      </c>
      <c r="F2958">
        <v>4708</v>
      </c>
    </row>
    <row r="2959" spans="1:6" x14ac:dyDescent="0.35">
      <c r="A2959" t="s">
        <v>258</v>
      </c>
      <c r="B2959" t="s">
        <v>259</v>
      </c>
      <c r="C2959">
        <v>1965</v>
      </c>
      <c r="D2959">
        <v>63</v>
      </c>
      <c r="E2959">
        <v>126</v>
      </c>
      <c r="F2959">
        <v>4666</v>
      </c>
    </row>
    <row r="2960" spans="1:6" x14ac:dyDescent="0.35">
      <c r="A2960" t="s">
        <v>258</v>
      </c>
      <c r="B2960" t="s">
        <v>259</v>
      </c>
      <c r="C2960">
        <v>1966</v>
      </c>
      <c r="D2960">
        <v>40</v>
      </c>
      <c r="E2960">
        <v>80</v>
      </c>
      <c r="F2960">
        <v>4667</v>
      </c>
    </row>
    <row r="2961" spans="1:6" x14ac:dyDescent="0.35">
      <c r="A2961" t="s">
        <v>258</v>
      </c>
      <c r="B2961" t="s">
        <v>259</v>
      </c>
      <c r="C2961">
        <v>1967</v>
      </c>
      <c r="D2961">
        <v>39</v>
      </c>
      <c r="E2961">
        <v>78</v>
      </c>
      <c r="F2961">
        <v>4370</v>
      </c>
    </row>
    <row r="2962" spans="1:6" x14ac:dyDescent="0.35">
      <c r="A2962" t="s">
        <v>258</v>
      </c>
      <c r="B2962" t="s">
        <v>259</v>
      </c>
      <c r="C2962">
        <v>1968</v>
      </c>
      <c r="D2962">
        <v>43</v>
      </c>
      <c r="E2962">
        <v>86</v>
      </c>
      <c r="F2962">
        <v>4193</v>
      </c>
    </row>
    <row r="2963" spans="1:6" x14ac:dyDescent="0.35">
      <c r="A2963" t="s">
        <v>258</v>
      </c>
      <c r="B2963" t="s">
        <v>259</v>
      </c>
      <c r="C2963">
        <v>1969</v>
      </c>
      <c r="D2963">
        <v>38</v>
      </c>
      <c r="E2963">
        <v>76</v>
      </c>
      <c r="F2963">
        <v>4186</v>
      </c>
    </row>
    <row r="2964" spans="1:6" x14ac:dyDescent="0.35">
      <c r="A2964" t="s">
        <v>258</v>
      </c>
      <c r="B2964" t="s">
        <v>259</v>
      </c>
      <c r="C2964">
        <v>1970</v>
      </c>
      <c r="D2964">
        <v>29</v>
      </c>
      <c r="E2964">
        <v>58</v>
      </c>
      <c r="F2964">
        <v>4002</v>
      </c>
    </row>
    <row r="2965" spans="1:6" x14ac:dyDescent="0.35">
      <c r="A2965" t="s">
        <v>258</v>
      </c>
      <c r="B2965" t="s">
        <v>259</v>
      </c>
      <c r="C2965">
        <v>1971</v>
      </c>
      <c r="D2965">
        <v>40</v>
      </c>
      <c r="E2965">
        <v>80</v>
      </c>
      <c r="F2965">
        <v>4235</v>
      </c>
    </row>
    <row r="2966" spans="1:6" x14ac:dyDescent="0.35">
      <c r="A2966" t="s">
        <v>258</v>
      </c>
      <c r="B2966" t="s">
        <v>259</v>
      </c>
      <c r="C2966">
        <v>1972</v>
      </c>
      <c r="D2966">
        <v>37</v>
      </c>
      <c r="E2966">
        <v>74</v>
      </c>
      <c r="F2966">
        <v>4652</v>
      </c>
    </row>
    <row r="2967" spans="1:6" x14ac:dyDescent="0.35">
      <c r="A2967" t="s">
        <v>258</v>
      </c>
      <c r="B2967" t="s">
        <v>259</v>
      </c>
      <c r="C2967">
        <v>1973</v>
      </c>
      <c r="D2967">
        <v>46</v>
      </c>
      <c r="E2967">
        <v>92</v>
      </c>
      <c r="F2967">
        <v>4549</v>
      </c>
    </row>
    <row r="2968" spans="1:6" x14ac:dyDescent="0.35">
      <c r="A2968" t="s">
        <v>258</v>
      </c>
      <c r="B2968" t="s">
        <v>259</v>
      </c>
      <c r="C2968">
        <v>1974</v>
      </c>
      <c r="D2968">
        <v>35</v>
      </c>
      <c r="E2968">
        <v>70</v>
      </c>
      <c r="F2968">
        <v>4240</v>
      </c>
    </row>
    <row r="2969" spans="1:6" x14ac:dyDescent="0.35">
      <c r="A2969" t="s">
        <v>258</v>
      </c>
      <c r="B2969" t="s">
        <v>259</v>
      </c>
      <c r="C2969">
        <v>1975</v>
      </c>
      <c r="D2969">
        <v>46</v>
      </c>
      <c r="E2969">
        <v>92</v>
      </c>
      <c r="F2969">
        <v>4322</v>
      </c>
    </row>
    <row r="2970" spans="1:6" x14ac:dyDescent="0.35">
      <c r="A2970" t="s">
        <v>258</v>
      </c>
      <c r="B2970" t="s">
        <v>259</v>
      </c>
      <c r="C2970">
        <v>1976</v>
      </c>
      <c r="D2970">
        <v>25</v>
      </c>
      <c r="E2970">
        <v>50</v>
      </c>
      <c r="F2970">
        <v>4268</v>
      </c>
    </row>
    <row r="2971" spans="1:6" x14ac:dyDescent="0.35">
      <c r="A2971" t="s">
        <v>258</v>
      </c>
      <c r="B2971" t="s">
        <v>259</v>
      </c>
      <c r="C2971">
        <v>1977</v>
      </c>
      <c r="D2971">
        <v>37</v>
      </c>
      <c r="E2971">
        <v>74</v>
      </c>
      <c r="F2971">
        <v>3944</v>
      </c>
    </row>
    <row r="2972" spans="1:6" x14ac:dyDescent="0.35">
      <c r="A2972" t="s">
        <v>258</v>
      </c>
      <c r="B2972" t="s">
        <v>259</v>
      </c>
      <c r="C2972">
        <v>1978</v>
      </c>
      <c r="D2972">
        <v>43</v>
      </c>
      <c r="E2972">
        <v>86</v>
      </c>
      <c r="F2972">
        <v>4103</v>
      </c>
    </row>
    <row r="2973" spans="1:6" x14ac:dyDescent="0.35">
      <c r="A2973" t="s">
        <v>258</v>
      </c>
      <c r="B2973" t="s">
        <v>259</v>
      </c>
      <c r="C2973">
        <v>1979</v>
      </c>
      <c r="D2973">
        <v>38</v>
      </c>
      <c r="E2973">
        <v>76</v>
      </c>
      <c r="F2973">
        <v>4416</v>
      </c>
    </row>
    <row r="2974" spans="1:6" x14ac:dyDescent="0.35">
      <c r="A2974" t="s">
        <v>258</v>
      </c>
      <c r="B2974" t="s">
        <v>259</v>
      </c>
      <c r="C2974">
        <v>1980</v>
      </c>
      <c r="D2974">
        <v>39</v>
      </c>
      <c r="E2974">
        <v>78</v>
      </c>
      <c r="F2974">
        <v>4471</v>
      </c>
    </row>
    <row r="2975" spans="1:6" x14ac:dyDescent="0.35">
      <c r="A2975" t="s">
        <v>258</v>
      </c>
      <c r="B2975" t="s">
        <v>259</v>
      </c>
      <c r="C2975">
        <v>1981</v>
      </c>
      <c r="D2975">
        <v>43</v>
      </c>
      <c r="E2975">
        <v>86</v>
      </c>
      <c r="F2975">
        <v>4280</v>
      </c>
    </row>
    <row r="2976" spans="1:6" x14ac:dyDescent="0.35">
      <c r="A2976" t="s">
        <v>258</v>
      </c>
      <c r="B2976" t="s">
        <v>259</v>
      </c>
      <c r="C2976">
        <v>1982</v>
      </c>
      <c r="D2976">
        <v>43</v>
      </c>
      <c r="E2976">
        <v>86</v>
      </c>
      <c r="F2976">
        <v>4268</v>
      </c>
    </row>
    <row r="2977" spans="1:6" x14ac:dyDescent="0.35">
      <c r="A2977" t="s">
        <v>258</v>
      </c>
      <c r="B2977" t="s">
        <v>259</v>
      </c>
      <c r="C2977">
        <v>1983</v>
      </c>
      <c r="D2977">
        <v>36</v>
      </c>
      <c r="E2977">
        <v>72</v>
      </c>
      <c r="F2977">
        <v>4310</v>
      </c>
    </row>
    <row r="2978" spans="1:6" x14ac:dyDescent="0.35">
      <c r="A2978" t="s">
        <v>258</v>
      </c>
      <c r="B2978" t="s">
        <v>259</v>
      </c>
      <c r="C2978">
        <v>1984</v>
      </c>
      <c r="D2978">
        <v>47</v>
      </c>
      <c r="E2978">
        <v>94</v>
      </c>
      <c r="F2978">
        <v>4036</v>
      </c>
    </row>
    <row r="2979" spans="1:6" x14ac:dyDescent="0.35">
      <c r="A2979" t="s">
        <v>258</v>
      </c>
      <c r="B2979" t="s">
        <v>259</v>
      </c>
      <c r="C2979">
        <v>1985</v>
      </c>
      <c r="D2979">
        <v>47</v>
      </c>
      <c r="E2979">
        <v>94</v>
      </c>
      <c r="F2979">
        <v>3762</v>
      </c>
    </row>
    <row r="2980" spans="1:6" x14ac:dyDescent="0.35">
      <c r="A2980" t="s">
        <v>258</v>
      </c>
      <c r="B2980" t="s">
        <v>259</v>
      </c>
      <c r="C2980">
        <v>1986</v>
      </c>
      <c r="D2980">
        <v>35</v>
      </c>
      <c r="E2980">
        <v>70</v>
      </c>
      <c r="F2980">
        <v>3829</v>
      </c>
    </row>
    <row r="2981" spans="1:6" x14ac:dyDescent="0.35">
      <c r="A2981" t="s">
        <v>258</v>
      </c>
      <c r="B2981" t="s">
        <v>259</v>
      </c>
      <c r="C2981">
        <v>1987</v>
      </c>
      <c r="D2981">
        <v>31</v>
      </c>
      <c r="E2981">
        <v>62</v>
      </c>
      <c r="F2981">
        <v>4146</v>
      </c>
    </row>
    <row r="2982" spans="1:6" x14ac:dyDescent="0.35">
      <c r="A2982" t="s">
        <v>258</v>
      </c>
      <c r="B2982" t="s">
        <v>259</v>
      </c>
      <c r="C2982">
        <v>1988</v>
      </c>
      <c r="D2982">
        <v>40</v>
      </c>
      <c r="E2982">
        <v>80</v>
      </c>
      <c r="F2982">
        <v>4604</v>
      </c>
    </row>
    <row r="2983" spans="1:6" x14ac:dyDescent="0.35">
      <c r="A2983" t="s">
        <v>258</v>
      </c>
      <c r="B2983" t="s">
        <v>259</v>
      </c>
      <c r="C2983">
        <v>1989</v>
      </c>
      <c r="D2983">
        <v>41</v>
      </c>
      <c r="E2983">
        <v>82</v>
      </c>
      <c r="F2983">
        <v>4481</v>
      </c>
    </row>
    <row r="2984" spans="1:6" x14ac:dyDescent="0.35">
      <c r="A2984" t="s">
        <v>258</v>
      </c>
      <c r="B2984" t="s">
        <v>259</v>
      </c>
      <c r="C2984">
        <v>1990</v>
      </c>
      <c r="D2984">
        <v>48</v>
      </c>
      <c r="E2984">
        <v>96</v>
      </c>
      <c r="F2984">
        <v>4682</v>
      </c>
    </row>
    <row r="2985" spans="1:6" x14ac:dyDescent="0.35">
      <c r="A2985" t="s">
        <v>258</v>
      </c>
      <c r="B2985" t="s">
        <v>259</v>
      </c>
      <c r="C2985">
        <v>1991</v>
      </c>
      <c r="D2985">
        <v>67</v>
      </c>
      <c r="E2985">
        <v>134</v>
      </c>
      <c r="F2985">
        <v>4412</v>
      </c>
    </row>
    <row r="2986" spans="1:6" x14ac:dyDescent="0.35">
      <c r="A2986" t="s">
        <v>258</v>
      </c>
      <c r="B2986" t="s">
        <v>259</v>
      </c>
      <c r="C2986">
        <v>1992</v>
      </c>
      <c r="D2986">
        <v>71</v>
      </c>
      <c r="E2986">
        <v>142</v>
      </c>
      <c r="F2986">
        <v>4471</v>
      </c>
    </row>
    <row r="2987" spans="1:6" x14ac:dyDescent="0.35">
      <c r="A2987" t="s">
        <v>258</v>
      </c>
      <c r="B2987" t="s">
        <v>259</v>
      </c>
      <c r="C2987">
        <v>1993</v>
      </c>
      <c r="D2987">
        <v>62</v>
      </c>
      <c r="E2987">
        <v>124</v>
      </c>
      <c r="F2987">
        <v>4496</v>
      </c>
    </row>
    <row r="2988" spans="1:6" x14ac:dyDescent="0.35">
      <c r="A2988" t="s">
        <v>258</v>
      </c>
      <c r="B2988" t="s">
        <v>259</v>
      </c>
      <c r="C2988">
        <v>1994</v>
      </c>
      <c r="D2988">
        <v>79</v>
      </c>
      <c r="E2988">
        <v>158</v>
      </c>
      <c r="F2988">
        <v>4281</v>
      </c>
    </row>
    <row r="2989" spans="1:6" x14ac:dyDescent="0.35">
      <c r="A2989" t="s">
        <v>258</v>
      </c>
      <c r="B2989" t="s">
        <v>259</v>
      </c>
      <c r="C2989">
        <v>1995</v>
      </c>
      <c r="D2989">
        <v>82</v>
      </c>
      <c r="E2989">
        <v>164</v>
      </c>
      <c r="F2989">
        <v>4118</v>
      </c>
    </row>
    <row r="2990" spans="1:6" x14ac:dyDescent="0.35">
      <c r="A2990" t="s">
        <v>258</v>
      </c>
      <c r="B2990" t="s">
        <v>259</v>
      </c>
      <c r="C2990">
        <v>1996</v>
      </c>
      <c r="D2990">
        <v>67</v>
      </c>
      <c r="E2990">
        <v>134</v>
      </c>
      <c r="F2990">
        <v>4209</v>
      </c>
    </row>
    <row r="2991" spans="1:6" x14ac:dyDescent="0.35">
      <c r="A2991" t="s">
        <v>258</v>
      </c>
      <c r="B2991" t="s">
        <v>259</v>
      </c>
      <c r="C2991">
        <v>1997</v>
      </c>
      <c r="D2991">
        <v>83</v>
      </c>
      <c r="E2991">
        <v>166</v>
      </c>
      <c r="F2991">
        <v>3986</v>
      </c>
    </row>
    <row r="2992" spans="1:6" x14ac:dyDescent="0.35">
      <c r="A2992" t="s">
        <v>258</v>
      </c>
      <c r="B2992" t="s">
        <v>259</v>
      </c>
      <c r="C2992">
        <v>1998</v>
      </c>
      <c r="D2992">
        <v>75</v>
      </c>
      <c r="E2992">
        <v>150</v>
      </c>
      <c r="F2992">
        <v>4025</v>
      </c>
    </row>
    <row r="2993" spans="1:6" x14ac:dyDescent="0.35">
      <c r="A2993" t="s">
        <v>258</v>
      </c>
      <c r="B2993" t="s">
        <v>259</v>
      </c>
      <c r="C2993">
        <v>1999</v>
      </c>
      <c r="D2993">
        <v>81</v>
      </c>
      <c r="E2993">
        <v>162</v>
      </c>
      <c r="F2993">
        <v>3945</v>
      </c>
    </row>
    <row r="2994" spans="1:6" x14ac:dyDescent="0.35">
      <c r="A2994" t="s">
        <v>258</v>
      </c>
      <c r="B2994" t="s">
        <v>259</v>
      </c>
      <c r="C2994">
        <v>2000</v>
      </c>
      <c r="D2994">
        <v>73</v>
      </c>
      <c r="E2994">
        <v>146</v>
      </c>
      <c r="F2994">
        <v>4178</v>
      </c>
    </row>
    <row r="2995" spans="1:6" x14ac:dyDescent="0.35">
      <c r="A2995" t="s">
        <v>258</v>
      </c>
      <c r="B2995" t="s">
        <v>259</v>
      </c>
      <c r="C2995">
        <v>2001</v>
      </c>
      <c r="D2995">
        <v>68</v>
      </c>
      <c r="E2995">
        <v>136</v>
      </c>
      <c r="F2995">
        <v>3963</v>
      </c>
    </row>
    <row r="2996" spans="1:6" x14ac:dyDescent="0.35">
      <c r="A2996" t="s">
        <v>258</v>
      </c>
      <c r="B2996" t="s">
        <v>259</v>
      </c>
      <c r="C2996">
        <v>2002</v>
      </c>
      <c r="D2996">
        <v>81</v>
      </c>
      <c r="E2996">
        <v>162</v>
      </c>
      <c r="F2996">
        <v>3882</v>
      </c>
    </row>
    <row r="2997" spans="1:6" x14ac:dyDescent="0.35">
      <c r="A2997" t="s">
        <v>258</v>
      </c>
      <c r="B2997" t="s">
        <v>259</v>
      </c>
      <c r="C2997">
        <v>2003</v>
      </c>
      <c r="D2997">
        <v>74</v>
      </c>
      <c r="E2997">
        <v>148</v>
      </c>
      <c r="F2997">
        <v>3993</v>
      </c>
    </row>
    <row r="2998" spans="1:6" x14ac:dyDescent="0.35">
      <c r="A2998" t="s">
        <v>258</v>
      </c>
      <c r="B2998" t="s">
        <v>259</v>
      </c>
      <c r="C2998">
        <v>2004</v>
      </c>
      <c r="D2998">
        <v>76</v>
      </c>
      <c r="E2998">
        <v>152</v>
      </c>
      <c r="F2998">
        <v>4097</v>
      </c>
    </row>
    <row r="2999" spans="1:6" x14ac:dyDescent="0.35">
      <c r="A2999" t="s">
        <v>258</v>
      </c>
      <c r="B2999" t="s">
        <v>259</v>
      </c>
      <c r="C2999">
        <v>2005</v>
      </c>
      <c r="D2999">
        <v>66</v>
      </c>
      <c r="E2999">
        <v>132</v>
      </c>
      <c r="F2999">
        <v>4147</v>
      </c>
    </row>
    <row r="3000" spans="1:6" x14ac:dyDescent="0.35">
      <c r="A3000" t="s">
        <v>258</v>
      </c>
      <c r="B3000" t="s">
        <v>259</v>
      </c>
      <c r="C3000">
        <v>2006</v>
      </c>
      <c r="D3000">
        <v>92</v>
      </c>
      <c r="E3000">
        <v>184</v>
      </c>
      <c r="F3000">
        <v>4243</v>
      </c>
    </row>
    <row r="3001" spans="1:6" x14ac:dyDescent="0.35">
      <c r="A3001" t="s">
        <v>258</v>
      </c>
      <c r="B3001" t="s">
        <v>259</v>
      </c>
      <c r="C3001">
        <v>2007</v>
      </c>
      <c r="D3001">
        <v>77</v>
      </c>
      <c r="E3001">
        <v>154</v>
      </c>
      <c r="F3001">
        <v>4404</v>
      </c>
    </row>
    <row r="3002" spans="1:6" x14ac:dyDescent="0.35">
      <c r="A3002" t="s">
        <v>258</v>
      </c>
      <c r="B3002" t="s">
        <v>259</v>
      </c>
      <c r="C3002">
        <v>2008</v>
      </c>
      <c r="D3002">
        <v>78</v>
      </c>
      <c r="E3002">
        <v>156</v>
      </c>
      <c r="F3002">
        <v>4687</v>
      </c>
    </row>
    <row r="3003" spans="1:6" x14ac:dyDescent="0.35">
      <c r="A3003" t="s">
        <v>258</v>
      </c>
      <c r="B3003" t="s">
        <v>259</v>
      </c>
      <c r="C3003">
        <v>2009</v>
      </c>
      <c r="D3003">
        <v>73</v>
      </c>
      <c r="E3003">
        <v>146</v>
      </c>
      <c r="F3003">
        <v>4889</v>
      </c>
    </row>
    <row r="3004" spans="1:6" x14ac:dyDescent="0.35">
      <c r="A3004" t="s">
        <v>258</v>
      </c>
      <c r="B3004" t="s">
        <v>259</v>
      </c>
      <c r="C3004">
        <v>2010</v>
      </c>
      <c r="D3004">
        <v>67</v>
      </c>
      <c r="E3004">
        <v>134</v>
      </c>
      <c r="F3004">
        <v>4782</v>
      </c>
    </row>
    <row r="3005" spans="1:6" x14ac:dyDescent="0.35">
      <c r="A3005" t="s">
        <v>258</v>
      </c>
      <c r="B3005" t="s">
        <v>259</v>
      </c>
      <c r="C3005">
        <v>2011</v>
      </c>
      <c r="D3005">
        <v>59</v>
      </c>
      <c r="E3005">
        <v>118</v>
      </c>
      <c r="F3005">
        <v>4378</v>
      </c>
    </row>
    <row r="3006" spans="1:6" x14ac:dyDescent="0.35">
      <c r="A3006" t="s">
        <v>258</v>
      </c>
      <c r="B3006" t="s">
        <v>259</v>
      </c>
      <c r="C3006">
        <v>2012</v>
      </c>
      <c r="D3006">
        <v>67</v>
      </c>
      <c r="E3006">
        <v>134</v>
      </c>
      <c r="F3006">
        <v>4409</v>
      </c>
    </row>
    <row r="3007" spans="1:6" x14ac:dyDescent="0.35">
      <c r="A3007" t="s">
        <v>258</v>
      </c>
      <c r="B3007" t="s">
        <v>259</v>
      </c>
      <c r="C3007">
        <v>2013</v>
      </c>
      <c r="D3007">
        <v>64</v>
      </c>
      <c r="E3007">
        <v>128</v>
      </c>
      <c r="F3007">
        <v>4193</v>
      </c>
    </row>
    <row r="3008" spans="1:6" x14ac:dyDescent="0.35">
      <c r="A3008" t="s">
        <v>258</v>
      </c>
      <c r="B3008" t="s">
        <v>259</v>
      </c>
      <c r="C3008">
        <v>2014</v>
      </c>
      <c r="D3008">
        <v>70</v>
      </c>
      <c r="E3008">
        <v>140</v>
      </c>
      <c r="F3008">
        <v>4246</v>
      </c>
    </row>
    <row r="3009" spans="1:6" x14ac:dyDescent="0.35">
      <c r="A3009" t="s">
        <v>258</v>
      </c>
      <c r="B3009" t="s">
        <v>259</v>
      </c>
      <c r="C3009">
        <v>2015</v>
      </c>
      <c r="D3009">
        <v>71</v>
      </c>
      <c r="E3009">
        <v>142</v>
      </c>
      <c r="F3009">
        <v>3992</v>
      </c>
    </row>
    <row r="3010" spans="1:6" x14ac:dyDescent="0.35">
      <c r="A3010" t="s">
        <v>258</v>
      </c>
      <c r="B3010" t="s">
        <v>259</v>
      </c>
      <c r="C3010">
        <v>2016</v>
      </c>
      <c r="D3010">
        <v>67</v>
      </c>
      <c r="E3010">
        <v>134</v>
      </c>
      <c r="F3010">
        <v>3904</v>
      </c>
    </row>
    <row r="3011" spans="1:6" x14ac:dyDescent="0.35">
      <c r="A3011" t="s">
        <v>258</v>
      </c>
      <c r="B3011" t="s">
        <v>259</v>
      </c>
      <c r="C3011">
        <v>2017</v>
      </c>
      <c r="E3011">
        <v>107</v>
      </c>
      <c r="F3011">
        <v>3968</v>
      </c>
    </row>
    <row r="3012" spans="1:6" x14ac:dyDescent="0.35">
      <c r="A3012" t="s">
        <v>258</v>
      </c>
      <c r="B3012" t="s">
        <v>259</v>
      </c>
      <c r="C3012">
        <v>2018</v>
      </c>
      <c r="E3012">
        <v>110</v>
      </c>
      <c r="F3012">
        <v>4123</v>
      </c>
    </row>
    <row r="3013" spans="1:6" x14ac:dyDescent="0.35">
      <c r="A3013" t="s">
        <v>258</v>
      </c>
      <c r="B3013" t="s">
        <v>259</v>
      </c>
      <c r="C3013">
        <v>2019</v>
      </c>
      <c r="E3013">
        <v>134</v>
      </c>
      <c r="F3013">
        <v>4329</v>
      </c>
    </row>
    <row r="3014" spans="1:6" x14ac:dyDescent="0.35">
      <c r="A3014" t="s">
        <v>258</v>
      </c>
      <c r="B3014" t="s">
        <v>259</v>
      </c>
      <c r="C3014">
        <v>2020</v>
      </c>
      <c r="E3014">
        <v>106</v>
      </c>
      <c r="F3014">
        <v>4415</v>
      </c>
    </row>
    <row r="3015" spans="1:6" x14ac:dyDescent="0.35">
      <c r="A3015" t="s">
        <v>260</v>
      </c>
      <c r="B3015" t="s">
        <v>261</v>
      </c>
      <c r="C3015">
        <v>1868</v>
      </c>
      <c r="D3015">
        <v>10269</v>
      </c>
      <c r="F3015">
        <v>900858</v>
      </c>
    </row>
    <row r="3016" spans="1:6" x14ac:dyDescent="0.35">
      <c r="A3016" t="s">
        <v>260</v>
      </c>
      <c r="B3016" t="s">
        <v>261</v>
      </c>
      <c r="C3016">
        <v>1869</v>
      </c>
      <c r="D3016">
        <v>8513</v>
      </c>
      <c r="F3016">
        <v>958338</v>
      </c>
    </row>
    <row r="3017" spans="1:6" x14ac:dyDescent="0.35">
      <c r="A3017" t="s">
        <v>260</v>
      </c>
      <c r="B3017" t="s">
        <v>261</v>
      </c>
      <c r="C3017">
        <v>1870</v>
      </c>
      <c r="D3017">
        <v>10701</v>
      </c>
      <c r="F3017">
        <v>954353</v>
      </c>
    </row>
    <row r="3018" spans="1:6" x14ac:dyDescent="0.35">
      <c r="A3018" t="s">
        <v>260</v>
      </c>
      <c r="B3018" t="s">
        <v>261</v>
      </c>
      <c r="C3018">
        <v>1871</v>
      </c>
      <c r="D3018">
        <v>11553</v>
      </c>
      <c r="F3018">
        <v>962945</v>
      </c>
    </row>
    <row r="3019" spans="1:6" x14ac:dyDescent="0.35">
      <c r="A3019" t="s">
        <v>260</v>
      </c>
      <c r="B3019" t="s">
        <v>261</v>
      </c>
      <c r="C3019">
        <v>1872</v>
      </c>
      <c r="D3019">
        <v>12101</v>
      </c>
      <c r="F3019">
        <v>1025542</v>
      </c>
    </row>
    <row r="3020" spans="1:6" x14ac:dyDescent="0.35">
      <c r="A3020" t="s">
        <v>260</v>
      </c>
      <c r="B3020" t="s">
        <v>261</v>
      </c>
      <c r="C3020">
        <v>1873</v>
      </c>
      <c r="D3020">
        <v>11551</v>
      </c>
      <c r="F3020">
        <v>989944</v>
      </c>
    </row>
    <row r="3021" spans="1:6" x14ac:dyDescent="0.35">
      <c r="A3021" t="s">
        <v>260</v>
      </c>
      <c r="B3021" t="s">
        <v>261</v>
      </c>
      <c r="C3021">
        <v>1874</v>
      </c>
      <c r="D3021">
        <v>11500</v>
      </c>
      <c r="F3021">
        <v>955216</v>
      </c>
    </row>
    <row r="3022" spans="1:6" x14ac:dyDescent="0.35">
      <c r="A3022" t="s">
        <v>260</v>
      </c>
      <c r="B3022" t="s">
        <v>261</v>
      </c>
      <c r="C3022">
        <v>1875</v>
      </c>
      <c r="D3022">
        <v>13063</v>
      </c>
      <c r="F3022">
        <v>1038637</v>
      </c>
    </row>
    <row r="3023" spans="1:6" x14ac:dyDescent="0.35">
      <c r="A3023" t="s">
        <v>260</v>
      </c>
      <c r="B3023" t="s">
        <v>261</v>
      </c>
      <c r="C3023">
        <v>1876</v>
      </c>
      <c r="D3023">
        <v>13438</v>
      </c>
      <c r="F3023">
        <v>1089440</v>
      </c>
    </row>
    <row r="3024" spans="1:6" x14ac:dyDescent="0.35">
      <c r="A3024" t="s">
        <v>260</v>
      </c>
      <c r="B3024" t="s">
        <v>261</v>
      </c>
      <c r="C3024">
        <v>1877</v>
      </c>
      <c r="D3024">
        <v>12373</v>
      </c>
      <c r="F3024">
        <v>1035193</v>
      </c>
    </row>
    <row r="3025" spans="1:6" x14ac:dyDescent="0.35">
      <c r="A3025" t="s">
        <v>260</v>
      </c>
      <c r="B3025" t="s">
        <v>261</v>
      </c>
      <c r="C3025">
        <v>1878</v>
      </c>
      <c r="D3025">
        <v>12244</v>
      </c>
      <c r="F3025">
        <v>1018838</v>
      </c>
    </row>
    <row r="3026" spans="1:6" x14ac:dyDescent="0.35">
      <c r="A3026" t="s">
        <v>260</v>
      </c>
      <c r="B3026" t="s">
        <v>261</v>
      </c>
      <c r="C3026">
        <v>1879</v>
      </c>
      <c r="D3026">
        <v>13354</v>
      </c>
      <c r="F3026">
        <v>1070525</v>
      </c>
    </row>
    <row r="3027" spans="1:6" x14ac:dyDescent="0.35">
      <c r="A3027" t="s">
        <v>260</v>
      </c>
      <c r="B3027" t="s">
        <v>261</v>
      </c>
      <c r="C3027">
        <v>1880</v>
      </c>
      <c r="D3027">
        <v>11485</v>
      </c>
      <c r="F3027">
        <v>964917</v>
      </c>
    </row>
    <row r="3028" spans="1:6" x14ac:dyDescent="0.35">
      <c r="A3028" t="s">
        <v>260</v>
      </c>
      <c r="B3028" t="s">
        <v>261</v>
      </c>
      <c r="C3028">
        <v>1881</v>
      </c>
      <c r="D3028">
        <v>14244</v>
      </c>
      <c r="F3028">
        <v>1087353</v>
      </c>
    </row>
    <row r="3029" spans="1:6" x14ac:dyDescent="0.35">
      <c r="A3029" t="s">
        <v>260</v>
      </c>
      <c r="B3029" t="s">
        <v>261</v>
      </c>
      <c r="C3029">
        <v>1882</v>
      </c>
      <c r="D3029">
        <v>13264</v>
      </c>
      <c r="F3029">
        <v>1069455</v>
      </c>
    </row>
    <row r="3030" spans="1:6" x14ac:dyDescent="0.35">
      <c r="A3030" t="s">
        <v>260</v>
      </c>
      <c r="B3030" t="s">
        <v>261</v>
      </c>
      <c r="C3030">
        <v>1883</v>
      </c>
      <c r="D3030">
        <v>12886</v>
      </c>
      <c r="F3030">
        <v>1082468</v>
      </c>
    </row>
    <row r="3031" spans="1:6" x14ac:dyDescent="0.35">
      <c r="A3031" t="s">
        <v>260</v>
      </c>
      <c r="B3031" t="s">
        <v>261</v>
      </c>
      <c r="C3031">
        <v>1884</v>
      </c>
      <c r="D3031">
        <v>13647</v>
      </c>
      <c r="F3031">
        <v>1141121</v>
      </c>
    </row>
    <row r="3032" spans="1:6" x14ac:dyDescent="0.35">
      <c r="A3032" t="s">
        <v>260</v>
      </c>
      <c r="B3032" t="s">
        <v>261</v>
      </c>
      <c r="C3032">
        <v>1885</v>
      </c>
      <c r="D3032">
        <v>13223</v>
      </c>
      <c r="F3032">
        <v>1138357</v>
      </c>
    </row>
    <row r="3033" spans="1:6" x14ac:dyDescent="0.35">
      <c r="A3033" t="s">
        <v>260</v>
      </c>
      <c r="B3033" t="s">
        <v>261</v>
      </c>
      <c r="C3033">
        <v>1886</v>
      </c>
      <c r="D3033">
        <v>12766</v>
      </c>
      <c r="F3033">
        <v>1100087</v>
      </c>
    </row>
    <row r="3034" spans="1:6" x14ac:dyDescent="0.35">
      <c r="A3034" t="s">
        <v>260</v>
      </c>
      <c r="B3034" t="s">
        <v>261</v>
      </c>
      <c r="C3034">
        <v>1887</v>
      </c>
      <c r="D3034">
        <v>13765</v>
      </c>
      <c r="F3034">
        <v>1167340</v>
      </c>
    </row>
    <row r="3035" spans="1:6" x14ac:dyDescent="0.35">
      <c r="A3035" t="s">
        <v>260</v>
      </c>
      <c r="B3035" t="s">
        <v>261</v>
      </c>
      <c r="C3035">
        <v>1888</v>
      </c>
      <c r="D3035">
        <v>13066</v>
      </c>
      <c r="F3035">
        <v>1134951</v>
      </c>
    </row>
    <row r="3036" spans="1:6" x14ac:dyDescent="0.35">
      <c r="A3036" t="s">
        <v>260</v>
      </c>
      <c r="B3036" t="s">
        <v>261</v>
      </c>
      <c r="C3036">
        <v>1889</v>
      </c>
      <c r="D3036">
        <v>13384</v>
      </c>
      <c r="F3036">
        <v>1165891</v>
      </c>
    </row>
    <row r="3037" spans="1:6" x14ac:dyDescent="0.35">
      <c r="A3037" t="s">
        <v>260</v>
      </c>
      <c r="B3037" t="s">
        <v>261</v>
      </c>
      <c r="C3037">
        <v>1890</v>
      </c>
      <c r="D3037">
        <v>12817</v>
      </c>
      <c r="F3037">
        <v>1099076</v>
      </c>
    </row>
    <row r="3038" spans="1:6" x14ac:dyDescent="0.35">
      <c r="A3038" t="s">
        <v>260</v>
      </c>
      <c r="B3038" t="s">
        <v>261</v>
      </c>
      <c r="C3038">
        <v>1891</v>
      </c>
      <c r="D3038">
        <v>13754</v>
      </c>
      <c r="F3038">
        <v>1148495</v>
      </c>
    </row>
    <row r="3039" spans="1:6" x14ac:dyDescent="0.35">
      <c r="A3039" t="s">
        <v>260</v>
      </c>
      <c r="B3039" t="s">
        <v>261</v>
      </c>
      <c r="C3039">
        <v>1892</v>
      </c>
      <c r="D3039">
        <v>13073</v>
      </c>
      <c r="F3039">
        <v>1128729</v>
      </c>
    </row>
    <row r="3040" spans="1:6" x14ac:dyDescent="0.35">
      <c r="A3040" t="s">
        <v>260</v>
      </c>
      <c r="B3040" t="s">
        <v>261</v>
      </c>
      <c r="C3040">
        <v>1893</v>
      </c>
      <c r="D3040">
        <v>13699</v>
      </c>
      <c r="F3040">
        <v>1144704</v>
      </c>
    </row>
    <row r="3041" spans="1:6" x14ac:dyDescent="0.35">
      <c r="A3041" t="s">
        <v>260</v>
      </c>
      <c r="B3041" t="s">
        <v>261</v>
      </c>
      <c r="C3041">
        <v>1894</v>
      </c>
      <c r="D3041">
        <v>13417</v>
      </c>
      <c r="F3041">
        <v>1121887</v>
      </c>
    </row>
    <row r="3042" spans="1:6" x14ac:dyDescent="0.35">
      <c r="A3042" t="s">
        <v>260</v>
      </c>
      <c r="B3042" t="s">
        <v>261</v>
      </c>
      <c r="C3042">
        <v>1895</v>
      </c>
      <c r="D3042">
        <v>12590</v>
      </c>
      <c r="F3042">
        <v>1112403</v>
      </c>
    </row>
    <row r="3043" spans="1:6" x14ac:dyDescent="0.35">
      <c r="A3043" t="s">
        <v>260</v>
      </c>
      <c r="B3043" t="s">
        <v>261</v>
      </c>
      <c r="C3043">
        <v>1896</v>
      </c>
      <c r="D3043">
        <v>12761</v>
      </c>
      <c r="F3043">
        <v>1115858</v>
      </c>
    </row>
    <row r="3044" spans="1:6" x14ac:dyDescent="0.35">
      <c r="A3044" t="s">
        <v>260</v>
      </c>
      <c r="B3044" t="s">
        <v>261</v>
      </c>
      <c r="C3044">
        <v>1897</v>
      </c>
      <c r="D3044">
        <v>13124</v>
      </c>
      <c r="F3044">
        <v>1122206</v>
      </c>
    </row>
    <row r="3045" spans="1:6" x14ac:dyDescent="0.35">
      <c r="A3045" t="s">
        <v>260</v>
      </c>
      <c r="B3045" t="s">
        <v>261</v>
      </c>
      <c r="C3045">
        <v>1898</v>
      </c>
      <c r="D3045">
        <v>12412</v>
      </c>
      <c r="F3045">
        <v>1089771</v>
      </c>
    </row>
    <row r="3046" spans="1:6" x14ac:dyDescent="0.35">
      <c r="A3046" t="s">
        <v>260</v>
      </c>
      <c r="B3046" t="s">
        <v>261</v>
      </c>
      <c r="C3046">
        <v>1899</v>
      </c>
      <c r="D3046">
        <v>12992</v>
      </c>
      <c r="F3046">
        <v>1107898</v>
      </c>
    </row>
    <row r="3047" spans="1:6" x14ac:dyDescent="0.35">
      <c r="A3047" t="s">
        <v>260</v>
      </c>
      <c r="B3047" t="s">
        <v>261</v>
      </c>
      <c r="C3047">
        <v>1900</v>
      </c>
      <c r="D3047">
        <v>12701</v>
      </c>
      <c r="F3047">
        <v>1087205</v>
      </c>
    </row>
    <row r="3048" spans="1:6" x14ac:dyDescent="0.35">
      <c r="A3048" t="s">
        <v>260</v>
      </c>
      <c r="B3048" t="s">
        <v>261</v>
      </c>
      <c r="C3048">
        <v>1901</v>
      </c>
      <c r="D3048">
        <v>12750</v>
      </c>
      <c r="F3048">
        <v>1077977</v>
      </c>
    </row>
    <row r="3049" spans="1:6" x14ac:dyDescent="0.35">
      <c r="A3049" t="s">
        <v>260</v>
      </c>
      <c r="B3049" t="s">
        <v>261</v>
      </c>
      <c r="C3049">
        <v>1902</v>
      </c>
      <c r="D3049">
        <v>13459</v>
      </c>
      <c r="F3049">
        <v>1114248</v>
      </c>
    </row>
    <row r="3050" spans="1:6" x14ac:dyDescent="0.35">
      <c r="A3050" t="s">
        <v>260</v>
      </c>
      <c r="B3050" t="s">
        <v>261</v>
      </c>
      <c r="C3050">
        <v>1903</v>
      </c>
      <c r="D3050">
        <v>12595</v>
      </c>
      <c r="F3050">
        <v>1063081</v>
      </c>
    </row>
    <row r="3051" spans="1:6" x14ac:dyDescent="0.35">
      <c r="A3051" t="s">
        <v>260</v>
      </c>
      <c r="B3051" t="s">
        <v>261</v>
      </c>
      <c r="C3051">
        <v>1904</v>
      </c>
      <c r="D3051">
        <v>13376</v>
      </c>
      <c r="F3051">
        <v>1107320</v>
      </c>
    </row>
    <row r="3052" spans="1:6" x14ac:dyDescent="0.35">
      <c r="A3052" t="s">
        <v>260</v>
      </c>
      <c r="B3052" t="s">
        <v>261</v>
      </c>
      <c r="C3052">
        <v>1905</v>
      </c>
      <c r="D3052">
        <v>12976</v>
      </c>
      <c r="F3052">
        <v>0</v>
      </c>
    </row>
    <row r="3053" spans="1:6" x14ac:dyDescent="0.35">
      <c r="A3053" t="s">
        <v>260</v>
      </c>
      <c r="B3053" t="s">
        <v>261</v>
      </c>
      <c r="C3053">
        <v>1906</v>
      </c>
      <c r="D3053">
        <v>12938</v>
      </c>
      <c r="F3053">
        <v>1092814</v>
      </c>
    </row>
    <row r="3054" spans="1:6" x14ac:dyDescent="0.35">
      <c r="A3054" t="s">
        <v>260</v>
      </c>
      <c r="B3054" t="s">
        <v>261</v>
      </c>
      <c r="C3054">
        <v>1907</v>
      </c>
      <c r="D3054">
        <v>12794</v>
      </c>
      <c r="F3054">
        <v>1084260</v>
      </c>
    </row>
    <row r="3055" spans="1:6" x14ac:dyDescent="0.35">
      <c r="A3055" t="s">
        <v>260</v>
      </c>
      <c r="B3055" t="s">
        <v>261</v>
      </c>
      <c r="C3055">
        <v>1908</v>
      </c>
      <c r="D3055">
        <v>13722</v>
      </c>
      <c r="F3055">
        <v>1162302</v>
      </c>
    </row>
    <row r="3056" spans="1:6" x14ac:dyDescent="0.35">
      <c r="A3056" t="s">
        <v>260</v>
      </c>
      <c r="B3056" t="s">
        <v>261</v>
      </c>
      <c r="C3056">
        <v>1909</v>
      </c>
      <c r="D3056">
        <v>13072</v>
      </c>
      <c r="F3056">
        <v>1139506</v>
      </c>
    </row>
    <row r="3057" spans="1:6" x14ac:dyDescent="0.35">
      <c r="A3057" t="s">
        <v>260</v>
      </c>
      <c r="B3057" t="s">
        <v>261</v>
      </c>
      <c r="C3057">
        <v>1910</v>
      </c>
      <c r="D3057">
        <v>13368</v>
      </c>
      <c r="F3057">
        <v>1167505</v>
      </c>
    </row>
    <row r="3058" spans="1:6" x14ac:dyDescent="0.35">
      <c r="A3058" t="s">
        <v>260</v>
      </c>
      <c r="B3058" t="s">
        <v>261</v>
      </c>
      <c r="C3058">
        <v>1911</v>
      </c>
      <c r="D3058">
        <v>12669</v>
      </c>
      <c r="F3058">
        <v>1115233</v>
      </c>
    </row>
    <row r="3059" spans="1:6" x14ac:dyDescent="0.35">
      <c r="A3059" t="s">
        <v>260</v>
      </c>
      <c r="B3059" t="s">
        <v>261</v>
      </c>
      <c r="C3059">
        <v>1912</v>
      </c>
      <c r="D3059">
        <v>13438</v>
      </c>
      <c r="F3059">
        <v>1154230</v>
      </c>
    </row>
    <row r="3060" spans="1:6" x14ac:dyDescent="0.35">
      <c r="A3060" t="s">
        <v>260</v>
      </c>
      <c r="B3060" t="s">
        <v>261</v>
      </c>
      <c r="C3060">
        <v>1913</v>
      </c>
      <c r="D3060">
        <v>13131</v>
      </c>
      <c r="F3060">
        <v>1142621</v>
      </c>
    </row>
    <row r="3061" spans="1:6" x14ac:dyDescent="0.35">
      <c r="A3061" t="s">
        <v>260</v>
      </c>
      <c r="B3061" t="s">
        <v>261</v>
      </c>
      <c r="C3061">
        <v>1914</v>
      </c>
      <c r="D3061">
        <v>13149</v>
      </c>
      <c r="F3061">
        <v>1134931</v>
      </c>
    </row>
    <row r="3062" spans="1:6" x14ac:dyDescent="0.35">
      <c r="A3062" t="s">
        <v>260</v>
      </c>
      <c r="B3062" t="s">
        <v>261</v>
      </c>
      <c r="C3062">
        <v>1915</v>
      </c>
      <c r="D3062">
        <v>12850</v>
      </c>
      <c r="F3062">
        <v>1130263</v>
      </c>
    </row>
    <row r="3063" spans="1:6" x14ac:dyDescent="0.35">
      <c r="A3063" t="s">
        <v>260</v>
      </c>
      <c r="B3063" t="s">
        <v>261</v>
      </c>
      <c r="C3063">
        <v>1916</v>
      </c>
      <c r="D3063">
        <v>9712</v>
      </c>
      <c r="F3063">
        <v>899104</v>
      </c>
    </row>
    <row r="3064" spans="1:6" x14ac:dyDescent="0.35">
      <c r="A3064" t="s">
        <v>260</v>
      </c>
      <c r="B3064" t="s">
        <v>261</v>
      </c>
      <c r="C3064">
        <v>1917</v>
      </c>
      <c r="D3064">
        <v>7867</v>
      </c>
      <c r="F3064">
        <v>705007</v>
      </c>
    </row>
    <row r="3065" spans="1:6" x14ac:dyDescent="0.35">
      <c r="A3065" t="s">
        <v>260</v>
      </c>
      <c r="B3065" t="s">
        <v>261</v>
      </c>
      <c r="C3065">
        <v>1918</v>
      </c>
      <c r="D3065">
        <v>7682</v>
      </c>
      <c r="F3065">
        <v>656981</v>
      </c>
    </row>
    <row r="3066" spans="1:6" x14ac:dyDescent="0.35">
      <c r="A3066" t="s">
        <v>260</v>
      </c>
      <c r="B3066" t="s">
        <v>261</v>
      </c>
      <c r="C3066">
        <v>1919</v>
      </c>
      <c r="D3066">
        <v>10875</v>
      </c>
      <c r="F3066">
        <v>784870</v>
      </c>
    </row>
    <row r="3067" spans="1:6" x14ac:dyDescent="0.35">
      <c r="A3067" t="s">
        <v>260</v>
      </c>
      <c r="B3067" t="s">
        <v>261</v>
      </c>
      <c r="C3067">
        <v>1920</v>
      </c>
      <c r="D3067">
        <v>14685</v>
      </c>
      <c r="F3067">
        <v>1180619</v>
      </c>
    </row>
    <row r="3068" spans="1:6" x14ac:dyDescent="0.35">
      <c r="A3068" t="s">
        <v>260</v>
      </c>
      <c r="B3068" t="s">
        <v>261</v>
      </c>
      <c r="C3068">
        <v>1921</v>
      </c>
      <c r="D3068">
        <v>13127</v>
      </c>
      <c r="F3068">
        <v>1145402</v>
      </c>
    </row>
    <row r="3069" spans="1:6" x14ac:dyDescent="0.35">
      <c r="A3069" t="s">
        <v>260</v>
      </c>
      <c r="B3069" t="s">
        <v>261</v>
      </c>
      <c r="C3069">
        <v>1922</v>
      </c>
      <c r="D3069">
        <v>13290</v>
      </c>
      <c r="F3069">
        <v>1153355</v>
      </c>
    </row>
    <row r="3070" spans="1:6" x14ac:dyDescent="0.35">
      <c r="A3070" t="s">
        <v>260</v>
      </c>
      <c r="B3070" t="s">
        <v>261</v>
      </c>
      <c r="C3070">
        <v>1923</v>
      </c>
      <c r="D3070">
        <v>12949</v>
      </c>
      <c r="F3070">
        <v>1131866</v>
      </c>
    </row>
    <row r="3071" spans="1:6" x14ac:dyDescent="0.35">
      <c r="A3071" t="s">
        <v>260</v>
      </c>
      <c r="B3071" t="s">
        <v>261</v>
      </c>
      <c r="C3071">
        <v>1924</v>
      </c>
      <c r="D3071">
        <v>13556</v>
      </c>
      <c r="F3071">
        <v>1145743</v>
      </c>
    </row>
    <row r="3072" spans="1:6" x14ac:dyDescent="0.35">
      <c r="A3072" t="s">
        <v>260</v>
      </c>
      <c r="B3072" t="s">
        <v>261</v>
      </c>
      <c r="C3072">
        <v>1925</v>
      </c>
      <c r="D3072">
        <v>13354</v>
      </c>
      <c r="F3072">
        <v>1130748</v>
      </c>
    </row>
    <row r="3073" spans="1:6" x14ac:dyDescent="0.35">
      <c r="A3073" t="s">
        <v>260</v>
      </c>
      <c r="B3073" t="s">
        <v>261</v>
      </c>
      <c r="C3073">
        <v>1926</v>
      </c>
      <c r="D3073">
        <v>12783</v>
      </c>
      <c r="F3073">
        <v>1112517</v>
      </c>
    </row>
    <row r="3074" spans="1:6" x14ac:dyDescent="0.35">
      <c r="A3074" t="s">
        <v>260</v>
      </c>
      <c r="B3074" t="s">
        <v>261</v>
      </c>
      <c r="C3074">
        <v>1927</v>
      </c>
      <c r="D3074">
        <v>13496</v>
      </c>
      <c r="F3074">
        <v>1108165</v>
      </c>
    </row>
    <row r="3075" spans="1:6" x14ac:dyDescent="0.35">
      <c r="A3075" t="s">
        <v>260</v>
      </c>
      <c r="B3075" t="s">
        <v>261</v>
      </c>
      <c r="C3075">
        <v>1928</v>
      </c>
      <c r="D3075">
        <v>12669</v>
      </c>
      <c r="F3075">
        <v>1086171</v>
      </c>
    </row>
    <row r="3076" spans="1:6" x14ac:dyDescent="0.35">
      <c r="A3076" t="s">
        <v>260</v>
      </c>
      <c r="B3076" t="s">
        <v>261</v>
      </c>
      <c r="C3076">
        <v>1929</v>
      </c>
      <c r="D3076">
        <v>12918</v>
      </c>
      <c r="F3076">
        <v>1049611</v>
      </c>
    </row>
    <row r="3077" spans="1:6" x14ac:dyDescent="0.35">
      <c r="A3077" t="s">
        <v>260</v>
      </c>
      <c r="B3077" t="s">
        <v>261</v>
      </c>
      <c r="C3077">
        <v>1930</v>
      </c>
      <c r="D3077">
        <v>15305</v>
      </c>
      <c r="F3077">
        <v>1101430</v>
      </c>
    </row>
    <row r="3078" spans="1:6" x14ac:dyDescent="0.35">
      <c r="A3078" t="s">
        <v>260</v>
      </c>
      <c r="B3078" t="s">
        <v>261</v>
      </c>
      <c r="C3078">
        <v>1931</v>
      </c>
      <c r="D3078">
        <v>13999</v>
      </c>
      <c r="F3078">
        <v>1034125</v>
      </c>
    </row>
    <row r="3079" spans="1:6" x14ac:dyDescent="0.35">
      <c r="A3079" t="s">
        <v>260</v>
      </c>
      <c r="B3079" t="s">
        <v>261</v>
      </c>
      <c r="C3079">
        <v>1932</v>
      </c>
      <c r="D3079">
        <v>13408</v>
      </c>
      <c r="F3079">
        <v>998574</v>
      </c>
    </row>
    <row r="3080" spans="1:6" x14ac:dyDescent="0.35">
      <c r="A3080" t="s">
        <v>260</v>
      </c>
      <c r="B3080" t="s">
        <v>261</v>
      </c>
      <c r="C3080">
        <v>1933</v>
      </c>
      <c r="D3080">
        <v>13991</v>
      </c>
      <c r="F3080">
        <v>1002820</v>
      </c>
    </row>
    <row r="3081" spans="1:6" x14ac:dyDescent="0.35">
      <c r="A3081" t="s">
        <v>260</v>
      </c>
      <c r="B3081" t="s">
        <v>261</v>
      </c>
      <c r="C3081">
        <v>1934</v>
      </c>
      <c r="D3081">
        <v>13345</v>
      </c>
      <c r="F3081">
        <v>1000113</v>
      </c>
    </row>
    <row r="3082" spans="1:6" x14ac:dyDescent="0.35">
      <c r="A3082" t="s">
        <v>260</v>
      </c>
      <c r="B3082" t="s">
        <v>261</v>
      </c>
      <c r="C3082">
        <v>1935</v>
      </c>
      <c r="D3082">
        <v>13700</v>
      </c>
      <c r="F3082">
        <v>1002679</v>
      </c>
    </row>
    <row r="3083" spans="1:6" x14ac:dyDescent="0.35">
      <c r="A3083" t="s">
        <v>260</v>
      </c>
      <c r="B3083" t="s">
        <v>261</v>
      </c>
      <c r="C3083">
        <v>1936</v>
      </c>
      <c r="D3083">
        <v>13145</v>
      </c>
      <c r="F3083">
        <v>968149</v>
      </c>
    </row>
    <row r="3084" spans="1:6" x14ac:dyDescent="0.35">
      <c r="A3084" t="s">
        <v>260</v>
      </c>
      <c r="B3084" t="s">
        <v>261</v>
      </c>
      <c r="C3084">
        <v>1937</v>
      </c>
      <c r="D3084">
        <v>13571</v>
      </c>
      <c r="F3084">
        <v>996840</v>
      </c>
    </row>
    <row r="3085" spans="1:6" x14ac:dyDescent="0.35">
      <c r="A3085" t="s">
        <v>260</v>
      </c>
      <c r="B3085" t="s">
        <v>261</v>
      </c>
      <c r="C3085">
        <v>1938</v>
      </c>
      <c r="D3085">
        <v>14040</v>
      </c>
      <c r="F3085">
        <v>1042845</v>
      </c>
    </row>
    <row r="3086" spans="1:6" x14ac:dyDescent="0.35">
      <c r="A3086" t="s">
        <v>260</v>
      </c>
      <c r="B3086" t="s">
        <v>261</v>
      </c>
      <c r="C3086">
        <v>1939</v>
      </c>
      <c r="D3086">
        <v>14591</v>
      </c>
      <c r="F3086">
        <v>1044144</v>
      </c>
    </row>
    <row r="3087" spans="1:6" x14ac:dyDescent="0.35">
      <c r="A3087" t="s">
        <v>260</v>
      </c>
      <c r="B3087" t="s">
        <v>261</v>
      </c>
      <c r="C3087">
        <v>1940</v>
      </c>
      <c r="D3087">
        <v>14032</v>
      </c>
      <c r="F3087">
        <v>1050187</v>
      </c>
    </row>
    <row r="3088" spans="1:6" x14ac:dyDescent="0.35">
      <c r="A3088" t="s">
        <v>260</v>
      </c>
      <c r="B3088" t="s">
        <v>261</v>
      </c>
      <c r="C3088">
        <v>1941</v>
      </c>
      <c r="D3088">
        <v>12686</v>
      </c>
      <c r="F3088">
        <v>939517</v>
      </c>
    </row>
    <row r="3089" spans="1:6" x14ac:dyDescent="0.35">
      <c r="A3089" t="s">
        <v>260</v>
      </c>
      <c r="B3089" t="s">
        <v>261</v>
      </c>
      <c r="C3089">
        <v>1942</v>
      </c>
      <c r="D3089">
        <v>12847</v>
      </c>
      <c r="F3089">
        <v>926717</v>
      </c>
    </row>
    <row r="3090" spans="1:6" x14ac:dyDescent="0.35">
      <c r="A3090" t="s">
        <v>260</v>
      </c>
      <c r="B3090" t="s">
        <v>261</v>
      </c>
      <c r="C3090">
        <v>1943</v>
      </c>
      <c r="D3090">
        <v>12290</v>
      </c>
      <c r="F3090">
        <v>882916</v>
      </c>
    </row>
    <row r="3091" spans="1:6" x14ac:dyDescent="0.35">
      <c r="A3091" t="s">
        <v>260</v>
      </c>
      <c r="B3091" t="s">
        <v>261</v>
      </c>
      <c r="C3091">
        <v>1944</v>
      </c>
      <c r="D3091">
        <v>10492</v>
      </c>
      <c r="F3091">
        <v>816275</v>
      </c>
    </row>
    <row r="3092" spans="1:6" x14ac:dyDescent="0.35">
      <c r="A3092" t="s">
        <v>260</v>
      </c>
      <c r="B3092" t="s">
        <v>261</v>
      </c>
      <c r="C3092">
        <v>1945</v>
      </c>
      <c r="D3092">
        <v>10736</v>
      </c>
      <c r="F3092">
        <v>819714</v>
      </c>
    </row>
    <row r="3093" spans="1:6" x14ac:dyDescent="0.35">
      <c r="A3093" t="s">
        <v>260</v>
      </c>
      <c r="B3093" t="s">
        <v>261</v>
      </c>
      <c r="C3093">
        <v>1946</v>
      </c>
      <c r="D3093">
        <v>13975</v>
      </c>
      <c r="F3093">
        <v>1039273</v>
      </c>
    </row>
    <row r="3094" spans="1:6" x14ac:dyDescent="0.35">
      <c r="A3094" t="s">
        <v>260</v>
      </c>
      <c r="B3094" t="s">
        <v>261</v>
      </c>
      <c r="C3094">
        <v>1947</v>
      </c>
      <c r="D3094">
        <v>13266</v>
      </c>
      <c r="F3094">
        <v>1017142</v>
      </c>
    </row>
    <row r="3095" spans="1:6" x14ac:dyDescent="0.35">
      <c r="A3095" t="s">
        <v>260</v>
      </c>
      <c r="B3095" t="s">
        <v>261</v>
      </c>
      <c r="C3095">
        <v>1948</v>
      </c>
      <c r="D3095">
        <v>13089</v>
      </c>
      <c r="F3095">
        <v>1013278</v>
      </c>
    </row>
    <row r="3096" spans="1:6" x14ac:dyDescent="0.35">
      <c r="A3096" t="s">
        <v>260</v>
      </c>
      <c r="B3096" t="s">
        <v>261</v>
      </c>
      <c r="C3096">
        <v>1949</v>
      </c>
      <c r="D3096">
        <v>11754</v>
      </c>
      <c r="F3096">
        <v>944018</v>
      </c>
    </row>
    <row r="3097" spans="1:6" x14ac:dyDescent="0.35">
      <c r="A3097" t="s">
        <v>260</v>
      </c>
      <c r="B3097" t="s">
        <v>261</v>
      </c>
      <c r="C3097">
        <v>1950</v>
      </c>
      <c r="D3097">
        <v>11651</v>
      </c>
      <c r="F3097">
        <v>915132</v>
      </c>
    </row>
    <row r="3098" spans="1:6" x14ac:dyDescent="0.35">
      <c r="A3098" t="s">
        <v>260</v>
      </c>
      <c r="B3098" t="s">
        <v>261</v>
      </c>
      <c r="C3098">
        <v>1951</v>
      </c>
      <c r="D3098">
        <v>10794</v>
      </c>
      <c r="F3098">
        <v>866501</v>
      </c>
    </row>
    <row r="3099" spans="1:6" x14ac:dyDescent="0.35">
      <c r="A3099" t="s">
        <v>260</v>
      </c>
      <c r="B3099" t="s">
        <v>261</v>
      </c>
      <c r="C3099">
        <v>1952</v>
      </c>
      <c r="D3099">
        <v>10974</v>
      </c>
      <c r="F3099">
        <v>848969</v>
      </c>
    </row>
    <row r="3100" spans="1:6" x14ac:dyDescent="0.35">
      <c r="A3100" t="s">
        <v>260</v>
      </c>
      <c r="B3100" t="s">
        <v>261</v>
      </c>
      <c r="C3100">
        <v>1953</v>
      </c>
      <c r="D3100">
        <v>10862</v>
      </c>
      <c r="F3100">
        <v>842982</v>
      </c>
    </row>
    <row r="3101" spans="1:6" x14ac:dyDescent="0.35">
      <c r="A3101" t="s">
        <v>260</v>
      </c>
      <c r="B3101" t="s">
        <v>261</v>
      </c>
      <c r="C3101">
        <v>1954</v>
      </c>
      <c r="D3101">
        <v>11108</v>
      </c>
      <c r="F3101">
        <v>874473</v>
      </c>
    </row>
    <row r="3102" spans="1:6" x14ac:dyDescent="0.35">
      <c r="A3102" t="s">
        <v>260</v>
      </c>
      <c r="B3102" t="s">
        <v>261</v>
      </c>
      <c r="C3102">
        <v>1955</v>
      </c>
      <c r="D3102">
        <v>11032</v>
      </c>
      <c r="F3102">
        <v>872270</v>
      </c>
    </row>
    <row r="3103" spans="1:6" x14ac:dyDescent="0.35">
      <c r="A3103" t="s">
        <v>260</v>
      </c>
      <c r="B3103" t="s">
        <v>261</v>
      </c>
      <c r="C3103">
        <v>1956</v>
      </c>
      <c r="D3103">
        <v>11040</v>
      </c>
      <c r="F3103">
        <v>875631</v>
      </c>
    </row>
    <row r="3104" spans="1:6" x14ac:dyDescent="0.35">
      <c r="A3104" t="s">
        <v>260</v>
      </c>
      <c r="B3104" t="s">
        <v>261</v>
      </c>
      <c r="C3104">
        <v>1957</v>
      </c>
      <c r="D3104">
        <v>11289</v>
      </c>
      <c r="F3104">
        <v>880557</v>
      </c>
    </row>
    <row r="3105" spans="1:6" x14ac:dyDescent="0.35">
      <c r="A3105" t="s">
        <v>260</v>
      </c>
      <c r="B3105" t="s">
        <v>261</v>
      </c>
      <c r="C3105">
        <v>1958</v>
      </c>
      <c r="D3105">
        <v>11192</v>
      </c>
      <c r="F3105">
        <v>870953</v>
      </c>
    </row>
    <row r="3106" spans="1:6" x14ac:dyDescent="0.35">
      <c r="A3106" t="s">
        <v>260</v>
      </c>
      <c r="B3106" t="s">
        <v>261</v>
      </c>
      <c r="C3106">
        <v>1959</v>
      </c>
      <c r="D3106">
        <v>11105</v>
      </c>
      <c r="F3106">
        <v>901743</v>
      </c>
    </row>
    <row r="3107" spans="1:6" x14ac:dyDescent="0.35">
      <c r="A3107" t="s">
        <v>260</v>
      </c>
      <c r="B3107" t="s">
        <v>261</v>
      </c>
      <c r="C3107">
        <v>1960</v>
      </c>
      <c r="D3107">
        <v>10889</v>
      </c>
      <c r="F3107">
        <v>910914</v>
      </c>
    </row>
    <row r="3108" spans="1:6" x14ac:dyDescent="0.35">
      <c r="A3108" t="s">
        <v>260</v>
      </c>
      <c r="B3108" t="s">
        <v>261</v>
      </c>
      <c r="C3108">
        <v>1961</v>
      </c>
      <c r="D3108">
        <v>10992</v>
      </c>
      <c r="F3108">
        <v>929511</v>
      </c>
    </row>
    <row r="3109" spans="1:6" x14ac:dyDescent="0.35">
      <c r="A3109" t="s">
        <v>260</v>
      </c>
      <c r="B3109" t="s">
        <v>261</v>
      </c>
      <c r="C3109">
        <v>1962</v>
      </c>
      <c r="D3109">
        <v>11081</v>
      </c>
      <c r="F3109">
        <v>936630</v>
      </c>
    </row>
    <row r="3110" spans="1:6" x14ac:dyDescent="0.35">
      <c r="A3110" t="s">
        <v>260</v>
      </c>
      <c r="B3110" t="s">
        <v>261</v>
      </c>
      <c r="C3110">
        <v>1963</v>
      </c>
      <c r="D3110">
        <v>11184</v>
      </c>
      <c r="F3110">
        <v>959077</v>
      </c>
    </row>
    <row r="3111" spans="1:6" x14ac:dyDescent="0.35">
      <c r="A3111" t="s">
        <v>260</v>
      </c>
      <c r="B3111" t="s">
        <v>261</v>
      </c>
      <c r="C3111">
        <v>1964</v>
      </c>
      <c r="D3111">
        <v>11772</v>
      </c>
      <c r="F3111">
        <v>1013718</v>
      </c>
    </row>
    <row r="3112" spans="1:6" x14ac:dyDescent="0.35">
      <c r="A3112" t="s">
        <v>260</v>
      </c>
      <c r="B3112" t="s">
        <v>261</v>
      </c>
      <c r="C3112">
        <v>1965</v>
      </c>
      <c r="D3112">
        <v>11121</v>
      </c>
      <c r="F3112">
        <v>987916</v>
      </c>
    </row>
    <row r="3113" spans="1:6" x14ac:dyDescent="0.35">
      <c r="A3113" t="s">
        <v>260</v>
      </c>
      <c r="B3113" t="s">
        <v>261</v>
      </c>
      <c r="C3113">
        <v>1966</v>
      </c>
      <c r="D3113">
        <v>10880</v>
      </c>
      <c r="F3113">
        <v>977156</v>
      </c>
    </row>
    <row r="3114" spans="1:6" x14ac:dyDescent="0.35">
      <c r="A3114" t="s">
        <v>260</v>
      </c>
      <c r="B3114" t="s">
        <v>261</v>
      </c>
      <c r="C3114">
        <v>1967</v>
      </c>
      <c r="D3114">
        <v>10418</v>
      </c>
      <c r="F3114">
        <v>944972</v>
      </c>
    </row>
    <row r="3115" spans="1:6" x14ac:dyDescent="0.35">
      <c r="A3115" t="s">
        <v>260</v>
      </c>
      <c r="B3115" t="s">
        <v>261</v>
      </c>
      <c r="C3115">
        <v>1968</v>
      </c>
      <c r="D3115">
        <v>9930</v>
      </c>
      <c r="F3115">
        <v>926265</v>
      </c>
    </row>
    <row r="3116" spans="1:6" x14ac:dyDescent="0.35">
      <c r="A3116" t="s">
        <v>260</v>
      </c>
      <c r="B3116" t="s">
        <v>261</v>
      </c>
      <c r="C3116">
        <v>1969</v>
      </c>
      <c r="D3116">
        <v>10051</v>
      </c>
      <c r="F3116">
        <v>927127</v>
      </c>
    </row>
    <row r="3117" spans="1:6" x14ac:dyDescent="0.35">
      <c r="A3117" t="s">
        <v>260</v>
      </c>
      <c r="B3117" t="s">
        <v>261</v>
      </c>
      <c r="C3117">
        <v>1970</v>
      </c>
      <c r="D3117">
        <v>9166</v>
      </c>
      <c r="F3117">
        <v>896945</v>
      </c>
    </row>
    <row r="3118" spans="1:6" x14ac:dyDescent="0.35">
      <c r="A3118" t="s">
        <v>260</v>
      </c>
      <c r="B3118" t="s">
        <v>261</v>
      </c>
      <c r="C3118">
        <v>1971</v>
      </c>
      <c r="D3118">
        <v>9217</v>
      </c>
      <c r="F3118">
        <v>900905</v>
      </c>
    </row>
    <row r="3119" spans="1:6" x14ac:dyDescent="0.35">
      <c r="A3119" t="s">
        <v>260</v>
      </c>
      <c r="B3119" t="s">
        <v>261</v>
      </c>
      <c r="C3119">
        <v>1972</v>
      </c>
      <c r="D3119">
        <v>8037</v>
      </c>
      <c r="F3119">
        <v>884330</v>
      </c>
    </row>
    <row r="3120" spans="1:6" x14ac:dyDescent="0.35">
      <c r="A3120" t="s">
        <v>260</v>
      </c>
      <c r="B3120" t="s">
        <v>261</v>
      </c>
      <c r="C3120">
        <v>1973</v>
      </c>
      <c r="D3120">
        <v>8423</v>
      </c>
      <c r="F3120">
        <v>869120</v>
      </c>
    </row>
    <row r="3121" spans="1:6" x14ac:dyDescent="0.35">
      <c r="A3121" t="s">
        <v>260</v>
      </c>
      <c r="B3121" t="s">
        <v>261</v>
      </c>
      <c r="C3121">
        <v>1974</v>
      </c>
      <c r="D3121">
        <v>8205</v>
      </c>
      <c r="F3121">
        <v>862918</v>
      </c>
    </row>
    <row r="3122" spans="1:6" x14ac:dyDescent="0.35">
      <c r="A3122" t="s">
        <v>260</v>
      </c>
      <c r="B3122" t="s">
        <v>261</v>
      </c>
      <c r="C3122">
        <v>1975</v>
      </c>
      <c r="D3122">
        <v>7982</v>
      </c>
      <c r="F3122">
        <v>820970</v>
      </c>
    </row>
    <row r="3123" spans="1:6" x14ac:dyDescent="0.35">
      <c r="A3123" t="s">
        <v>260</v>
      </c>
      <c r="B3123" t="s">
        <v>261</v>
      </c>
      <c r="C3123">
        <v>1976</v>
      </c>
      <c r="D3123">
        <v>7328</v>
      </c>
      <c r="F3123">
        <v>775106</v>
      </c>
    </row>
    <row r="3124" spans="1:6" x14ac:dyDescent="0.35">
      <c r="A3124" t="s">
        <v>260</v>
      </c>
      <c r="B3124" t="s">
        <v>261</v>
      </c>
      <c r="C3124">
        <v>1977</v>
      </c>
      <c r="D3124">
        <v>6806</v>
      </c>
      <c r="F3124">
        <v>734483</v>
      </c>
    </row>
    <row r="3125" spans="1:6" x14ac:dyDescent="0.35">
      <c r="A3125" t="s">
        <v>260</v>
      </c>
      <c r="B3125" t="s">
        <v>261</v>
      </c>
      <c r="C3125">
        <v>1978</v>
      </c>
      <c r="D3125">
        <v>6447</v>
      </c>
      <c r="F3125">
        <v>702404</v>
      </c>
    </row>
    <row r="3126" spans="1:6" x14ac:dyDescent="0.35">
      <c r="A3126" t="s">
        <v>260</v>
      </c>
      <c r="B3126" t="s">
        <v>261</v>
      </c>
      <c r="C3126">
        <v>1979</v>
      </c>
      <c r="D3126">
        <v>5823</v>
      </c>
      <c r="F3126">
        <v>664190</v>
      </c>
    </row>
    <row r="3127" spans="1:6" x14ac:dyDescent="0.35">
      <c r="A3127" t="s">
        <v>260</v>
      </c>
      <c r="B3127" t="s">
        <v>261</v>
      </c>
      <c r="C3127">
        <v>1980</v>
      </c>
      <c r="D3127">
        <v>5797</v>
      </c>
      <c r="F3127">
        <v>633966</v>
      </c>
    </row>
    <row r="3128" spans="1:6" x14ac:dyDescent="0.35">
      <c r="A3128" t="s">
        <v>260</v>
      </c>
      <c r="B3128" t="s">
        <v>261</v>
      </c>
      <c r="C3128">
        <v>1981</v>
      </c>
      <c r="D3128">
        <v>5777</v>
      </c>
      <c r="F3128">
        <v>616080</v>
      </c>
    </row>
    <row r="3129" spans="1:6" x14ac:dyDescent="0.35">
      <c r="A3129" t="s">
        <v>260</v>
      </c>
      <c r="B3129" t="s">
        <v>261</v>
      </c>
      <c r="C3129">
        <v>1982</v>
      </c>
      <c r="D3129">
        <v>5670</v>
      </c>
      <c r="F3129">
        <v>612274</v>
      </c>
    </row>
    <row r="3130" spans="1:6" x14ac:dyDescent="0.35">
      <c r="A3130" t="s">
        <v>260</v>
      </c>
      <c r="B3130" t="s">
        <v>261</v>
      </c>
      <c r="C3130">
        <v>1983</v>
      </c>
      <c r="D3130">
        <v>5657</v>
      </c>
      <c r="F3130">
        <v>594726</v>
      </c>
    </row>
    <row r="3131" spans="1:6" x14ac:dyDescent="0.35">
      <c r="A3131" t="s">
        <v>260</v>
      </c>
      <c r="B3131" t="s">
        <v>261</v>
      </c>
      <c r="C3131">
        <v>1984</v>
      </c>
      <c r="D3131">
        <v>5451</v>
      </c>
      <c r="F3131">
        <v>580885</v>
      </c>
    </row>
    <row r="3132" spans="1:6" x14ac:dyDescent="0.35">
      <c r="A3132" t="s">
        <v>260</v>
      </c>
      <c r="B3132" t="s">
        <v>261</v>
      </c>
      <c r="C3132">
        <v>1985</v>
      </c>
      <c r="D3132">
        <v>5300</v>
      </c>
      <c r="F3132">
        <v>570352</v>
      </c>
    </row>
    <row r="3133" spans="1:6" x14ac:dyDescent="0.35">
      <c r="A3133" t="s">
        <v>260</v>
      </c>
      <c r="B3133" t="s">
        <v>261</v>
      </c>
      <c r="C3133">
        <v>1986</v>
      </c>
      <c r="D3133">
        <v>5243</v>
      </c>
      <c r="F3133">
        <v>548227</v>
      </c>
    </row>
    <row r="3134" spans="1:6" x14ac:dyDescent="0.35">
      <c r="A3134" t="s">
        <v>260</v>
      </c>
      <c r="B3134" t="s">
        <v>261</v>
      </c>
      <c r="C3134">
        <v>1987</v>
      </c>
      <c r="D3134">
        <v>5246</v>
      </c>
      <c r="F3134">
        <v>544196</v>
      </c>
    </row>
    <row r="3135" spans="1:6" x14ac:dyDescent="0.35">
      <c r="A3135" t="s">
        <v>260</v>
      </c>
      <c r="B3135" t="s">
        <v>261</v>
      </c>
      <c r="C3135">
        <v>1988</v>
      </c>
      <c r="D3135">
        <v>5601</v>
      </c>
      <c r="F3135">
        <v>561565</v>
      </c>
    </row>
    <row r="3136" spans="1:6" x14ac:dyDescent="0.35">
      <c r="A3136" t="s">
        <v>260</v>
      </c>
      <c r="B3136" t="s">
        <v>261</v>
      </c>
      <c r="C3136">
        <v>1989</v>
      </c>
      <c r="D3136">
        <v>5675</v>
      </c>
      <c r="F3136">
        <v>552022</v>
      </c>
    </row>
    <row r="3137" spans="1:6" x14ac:dyDescent="0.35">
      <c r="A3137" t="s">
        <v>260</v>
      </c>
      <c r="B3137" t="s">
        <v>261</v>
      </c>
      <c r="C3137">
        <v>1990</v>
      </c>
      <c r="D3137">
        <v>5467</v>
      </c>
      <c r="F3137">
        <v>560780</v>
      </c>
    </row>
    <row r="3138" spans="1:6" x14ac:dyDescent="0.35">
      <c r="A3138" t="s">
        <v>260</v>
      </c>
      <c r="B3138" t="s">
        <v>261</v>
      </c>
      <c r="C3138">
        <v>1991</v>
      </c>
      <c r="D3138">
        <v>5809</v>
      </c>
      <c r="F3138">
        <v>553597</v>
      </c>
    </row>
    <row r="3139" spans="1:6" x14ac:dyDescent="0.35">
      <c r="A3139" t="s">
        <v>260</v>
      </c>
      <c r="B3139" t="s">
        <v>261</v>
      </c>
      <c r="C3139">
        <v>1992</v>
      </c>
      <c r="D3139">
        <v>5686</v>
      </c>
      <c r="F3139">
        <v>558570</v>
      </c>
    </row>
    <row r="3140" spans="1:6" x14ac:dyDescent="0.35">
      <c r="A3140" t="s">
        <v>260</v>
      </c>
      <c r="B3140" t="s">
        <v>261</v>
      </c>
      <c r="C3140">
        <v>1993</v>
      </c>
      <c r="D3140">
        <v>5741</v>
      </c>
      <c r="F3140">
        <v>539932</v>
      </c>
    </row>
    <row r="3141" spans="1:6" x14ac:dyDescent="0.35">
      <c r="A3141" t="s">
        <v>260</v>
      </c>
      <c r="B3141" t="s">
        <v>261</v>
      </c>
      <c r="C3141">
        <v>1994</v>
      </c>
      <c r="D3141">
        <v>5694</v>
      </c>
      <c r="F3141">
        <v>523340</v>
      </c>
    </row>
    <row r="3142" spans="1:6" x14ac:dyDescent="0.35">
      <c r="A3142" t="s">
        <v>260</v>
      </c>
      <c r="B3142" t="s">
        <v>261</v>
      </c>
      <c r="C3142">
        <v>1995</v>
      </c>
      <c r="D3142">
        <v>5885</v>
      </c>
      <c r="F3142">
        <v>515548</v>
      </c>
    </row>
    <row r="3143" spans="1:6" x14ac:dyDescent="0.35">
      <c r="A3143" t="s">
        <v>260</v>
      </c>
      <c r="B3143" t="s">
        <v>261</v>
      </c>
      <c r="C3143">
        <v>1996</v>
      </c>
      <c r="D3143">
        <v>5847</v>
      </c>
      <c r="F3143">
        <v>517995</v>
      </c>
    </row>
    <row r="3144" spans="1:6" x14ac:dyDescent="0.35">
      <c r="A3144" t="s">
        <v>260</v>
      </c>
      <c r="B3144" t="s">
        <v>261</v>
      </c>
      <c r="C3144">
        <v>1997</v>
      </c>
      <c r="F3144">
        <v>523528</v>
      </c>
    </row>
    <row r="3145" spans="1:6" x14ac:dyDescent="0.35">
      <c r="A3145" t="s">
        <v>260</v>
      </c>
      <c r="B3145" t="s">
        <v>261</v>
      </c>
      <c r="C3145">
        <v>1998</v>
      </c>
      <c r="F3145">
        <v>520518</v>
      </c>
    </row>
    <row r="3146" spans="1:6" x14ac:dyDescent="0.35">
      <c r="A3146" t="s">
        <v>260</v>
      </c>
      <c r="C3146">
        <v>1999</v>
      </c>
    </row>
    <row r="3147" spans="1:6" x14ac:dyDescent="0.35">
      <c r="A3147" t="s">
        <v>260</v>
      </c>
      <c r="C3147">
        <v>2000</v>
      </c>
    </row>
    <row r="3148" spans="1:6" x14ac:dyDescent="0.35">
      <c r="A3148" t="s">
        <v>260</v>
      </c>
      <c r="C3148">
        <v>2001</v>
      </c>
    </row>
    <row r="3149" spans="1:6" x14ac:dyDescent="0.35">
      <c r="A3149" t="s">
        <v>260</v>
      </c>
      <c r="B3149" t="s">
        <v>262</v>
      </c>
      <c r="C3149">
        <v>2002</v>
      </c>
    </row>
    <row r="3150" spans="1:6" x14ac:dyDescent="0.35">
      <c r="A3150" t="s">
        <v>260</v>
      </c>
      <c r="B3150" t="s">
        <v>262</v>
      </c>
      <c r="C3150">
        <v>2003</v>
      </c>
    </row>
    <row r="3151" spans="1:6" x14ac:dyDescent="0.35">
      <c r="A3151" t="s">
        <v>260</v>
      </c>
      <c r="B3151" t="s">
        <v>262</v>
      </c>
      <c r="C3151">
        <v>2004</v>
      </c>
    </row>
    <row r="3152" spans="1:6" x14ac:dyDescent="0.35">
      <c r="A3152" t="s">
        <v>260</v>
      </c>
      <c r="B3152" t="s">
        <v>262</v>
      </c>
      <c r="C3152">
        <v>2005</v>
      </c>
    </row>
    <row r="3153" spans="1:3" x14ac:dyDescent="0.35">
      <c r="A3153" t="s">
        <v>260</v>
      </c>
      <c r="B3153" t="s">
        <v>262</v>
      </c>
      <c r="C3153">
        <v>2006</v>
      </c>
    </row>
    <row r="3154" spans="1:3" x14ac:dyDescent="0.35">
      <c r="A3154" t="s">
        <v>260</v>
      </c>
      <c r="B3154" t="s">
        <v>262</v>
      </c>
      <c r="C3154">
        <v>2007</v>
      </c>
    </row>
    <row r="3155" spans="1:3" x14ac:dyDescent="0.35">
      <c r="A3155" t="s">
        <v>260</v>
      </c>
      <c r="B3155" t="s">
        <v>262</v>
      </c>
      <c r="C3155">
        <v>2008</v>
      </c>
    </row>
    <row r="3156" spans="1:3" x14ac:dyDescent="0.35">
      <c r="A3156" t="s">
        <v>260</v>
      </c>
      <c r="B3156" t="s">
        <v>262</v>
      </c>
      <c r="C3156">
        <v>2009</v>
      </c>
    </row>
    <row r="3157" spans="1:3" x14ac:dyDescent="0.35">
      <c r="A3157" t="s">
        <v>260</v>
      </c>
      <c r="B3157" t="s">
        <v>262</v>
      </c>
      <c r="C3157">
        <v>2010</v>
      </c>
    </row>
    <row r="3158" spans="1:3" x14ac:dyDescent="0.35">
      <c r="A3158" t="s">
        <v>260</v>
      </c>
      <c r="B3158" t="s">
        <v>262</v>
      </c>
      <c r="C3158">
        <v>2011</v>
      </c>
    </row>
    <row r="3159" spans="1:3" x14ac:dyDescent="0.35">
      <c r="A3159" t="s">
        <v>260</v>
      </c>
      <c r="B3159" t="s">
        <v>262</v>
      </c>
      <c r="C3159">
        <v>2012</v>
      </c>
    </row>
    <row r="3160" spans="1:3" x14ac:dyDescent="0.35">
      <c r="A3160" t="s">
        <v>260</v>
      </c>
      <c r="B3160" t="s">
        <v>262</v>
      </c>
      <c r="C3160">
        <v>2013</v>
      </c>
    </row>
    <row r="3161" spans="1:3" x14ac:dyDescent="0.35">
      <c r="A3161" t="s">
        <v>260</v>
      </c>
      <c r="B3161" t="s">
        <v>262</v>
      </c>
      <c r="C3161">
        <v>2014</v>
      </c>
    </row>
    <row r="3162" spans="1:3" x14ac:dyDescent="0.35">
      <c r="A3162" t="s">
        <v>260</v>
      </c>
      <c r="B3162" t="s">
        <v>262</v>
      </c>
      <c r="C3162">
        <v>2015</v>
      </c>
    </row>
    <row r="3163" spans="1:3" x14ac:dyDescent="0.35">
      <c r="A3163" t="s">
        <v>260</v>
      </c>
      <c r="B3163" t="s">
        <v>262</v>
      </c>
      <c r="C3163">
        <v>2016</v>
      </c>
    </row>
    <row r="3164" spans="1:3" x14ac:dyDescent="0.35">
      <c r="A3164" t="s">
        <v>260</v>
      </c>
      <c r="B3164" t="s">
        <v>262</v>
      </c>
      <c r="C3164">
        <v>2017</v>
      </c>
    </row>
    <row r="3165" spans="1:3" x14ac:dyDescent="0.35">
      <c r="A3165" t="s">
        <v>260</v>
      </c>
      <c r="B3165" t="s">
        <v>262</v>
      </c>
      <c r="C3165">
        <v>2018</v>
      </c>
    </row>
    <row r="3166" spans="1:3" x14ac:dyDescent="0.35">
      <c r="A3166" t="s">
        <v>260</v>
      </c>
      <c r="B3166" t="s">
        <v>262</v>
      </c>
      <c r="C3166">
        <v>2019</v>
      </c>
    </row>
    <row r="3167" spans="1:3" x14ac:dyDescent="0.35">
      <c r="A3167" t="s">
        <v>263</v>
      </c>
      <c r="B3167" t="s">
        <v>4</v>
      </c>
      <c r="C3167">
        <v>1923</v>
      </c>
    </row>
    <row r="3168" spans="1:3" x14ac:dyDescent="0.35">
      <c r="A3168" t="s">
        <v>263</v>
      </c>
      <c r="B3168" t="s">
        <v>4</v>
      </c>
      <c r="C3168">
        <v>1924</v>
      </c>
    </row>
    <row r="3169" spans="1:3" x14ac:dyDescent="0.35">
      <c r="A3169" t="s">
        <v>263</v>
      </c>
      <c r="B3169" t="s">
        <v>4</v>
      </c>
      <c r="C3169">
        <v>1925</v>
      </c>
    </row>
    <row r="3170" spans="1:3" x14ac:dyDescent="0.35">
      <c r="A3170" t="s">
        <v>263</v>
      </c>
      <c r="B3170" t="s">
        <v>4</v>
      </c>
      <c r="C3170">
        <v>1926</v>
      </c>
    </row>
    <row r="3171" spans="1:3" x14ac:dyDescent="0.35">
      <c r="A3171" t="s">
        <v>263</v>
      </c>
      <c r="B3171" t="s">
        <v>4</v>
      </c>
      <c r="C3171">
        <v>1927</v>
      </c>
    </row>
    <row r="3172" spans="1:3" x14ac:dyDescent="0.35">
      <c r="A3172" t="s">
        <v>263</v>
      </c>
      <c r="B3172" t="s">
        <v>4</v>
      </c>
      <c r="C3172">
        <v>1928</v>
      </c>
    </row>
    <row r="3173" spans="1:3" x14ac:dyDescent="0.35">
      <c r="A3173" t="s">
        <v>263</v>
      </c>
      <c r="B3173" t="s">
        <v>4</v>
      </c>
      <c r="C3173">
        <v>1929</v>
      </c>
    </row>
    <row r="3174" spans="1:3" x14ac:dyDescent="0.35">
      <c r="A3174" t="s">
        <v>263</v>
      </c>
      <c r="B3174" t="s">
        <v>4</v>
      </c>
      <c r="C3174">
        <v>1930</v>
      </c>
    </row>
    <row r="3175" spans="1:3" x14ac:dyDescent="0.35">
      <c r="A3175" t="s">
        <v>263</v>
      </c>
      <c r="B3175" t="s">
        <v>4</v>
      </c>
      <c r="C3175">
        <v>1931</v>
      </c>
    </row>
    <row r="3176" spans="1:3" x14ac:dyDescent="0.35">
      <c r="A3176" t="s">
        <v>263</v>
      </c>
      <c r="B3176" t="s">
        <v>4</v>
      </c>
      <c r="C3176">
        <v>1932</v>
      </c>
    </row>
    <row r="3177" spans="1:3" x14ac:dyDescent="0.35">
      <c r="A3177" t="s">
        <v>263</v>
      </c>
      <c r="B3177" t="s">
        <v>4</v>
      </c>
      <c r="C3177">
        <v>1933</v>
      </c>
    </row>
    <row r="3178" spans="1:3" x14ac:dyDescent="0.35">
      <c r="A3178" t="s">
        <v>263</v>
      </c>
      <c r="B3178" t="s">
        <v>4</v>
      </c>
      <c r="C3178">
        <v>1934</v>
      </c>
    </row>
    <row r="3179" spans="1:3" x14ac:dyDescent="0.35">
      <c r="A3179" t="s">
        <v>263</v>
      </c>
      <c r="B3179" t="s">
        <v>4</v>
      </c>
      <c r="C3179">
        <v>1935</v>
      </c>
    </row>
    <row r="3180" spans="1:3" x14ac:dyDescent="0.35">
      <c r="A3180" t="s">
        <v>263</v>
      </c>
      <c r="B3180" t="s">
        <v>4</v>
      </c>
      <c r="C3180">
        <v>1936</v>
      </c>
    </row>
    <row r="3181" spans="1:3" x14ac:dyDescent="0.35">
      <c r="A3181" t="s">
        <v>263</v>
      </c>
      <c r="C3181">
        <v>1937</v>
      </c>
    </row>
    <row r="3182" spans="1:3" x14ac:dyDescent="0.35">
      <c r="A3182" t="s">
        <v>263</v>
      </c>
      <c r="C3182">
        <v>1938</v>
      </c>
    </row>
    <row r="3183" spans="1:3" x14ac:dyDescent="0.35">
      <c r="A3183" t="s">
        <v>263</v>
      </c>
      <c r="C3183">
        <v>1939</v>
      </c>
    </row>
    <row r="3184" spans="1:3" x14ac:dyDescent="0.35">
      <c r="A3184" t="s">
        <v>263</v>
      </c>
      <c r="C3184">
        <v>1940</v>
      </c>
    </row>
    <row r="3185" spans="1:5" x14ac:dyDescent="0.35">
      <c r="A3185" t="s">
        <v>263</v>
      </c>
      <c r="C3185">
        <v>1941</v>
      </c>
    </row>
    <row r="3186" spans="1:5" x14ac:dyDescent="0.35">
      <c r="A3186" t="s">
        <v>263</v>
      </c>
      <c r="C3186">
        <v>1942</v>
      </c>
    </row>
    <row r="3187" spans="1:5" x14ac:dyDescent="0.35">
      <c r="A3187" t="s">
        <v>263</v>
      </c>
      <c r="C3187">
        <v>1943</v>
      </c>
    </row>
    <row r="3188" spans="1:5" x14ac:dyDescent="0.35">
      <c r="A3188" t="s">
        <v>263</v>
      </c>
      <c r="C3188">
        <v>1944</v>
      </c>
    </row>
    <row r="3189" spans="1:5" x14ac:dyDescent="0.35">
      <c r="A3189" t="s">
        <v>263</v>
      </c>
      <c r="C3189">
        <v>1945</v>
      </c>
    </row>
    <row r="3190" spans="1:5" x14ac:dyDescent="0.35">
      <c r="A3190" t="s">
        <v>263</v>
      </c>
      <c r="C3190">
        <v>1946</v>
      </c>
    </row>
    <row r="3191" spans="1:5" x14ac:dyDescent="0.35">
      <c r="A3191" t="s">
        <v>263</v>
      </c>
      <c r="C3191">
        <v>1947</v>
      </c>
    </row>
    <row r="3192" spans="1:5" x14ac:dyDescent="0.35">
      <c r="A3192" t="s">
        <v>263</v>
      </c>
      <c r="C3192">
        <v>1948</v>
      </c>
    </row>
    <row r="3193" spans="1:5" x14ac:dyDescent="0.35">
      <c r="A3193" t="s">
        <v>263</v>
      </c>
      <c r="C3193">
        <v>1949</v>
      </c>
    </row>
    <row r="3194" spans="1:5" x14ac:dyDescent="0.35">
      <c r="A3194" t="s">
        <v>263</v>
      </c>
      <c r="C3194">
        <v>1950</v>
      </c>
    </row>
    <row r="3195" spans="1:5" x14ac:dyDescent="0.35">
      <c r="A3195" t="s">
        <v>263</v>
      </c>
      <c r="B3195" t="s">
        <v>15</v>
      </c>
      <c r="C3195">
        <v>1951</v>
      </c>
      <c r="D3195">
        <v>15143</v>
      </c>
      <c r="E3195">
        <v>30286</v>
      </c>
    </row>
    <row r="3196" spans="1:5" x14ac:dyDescent="0.35">
      <c r="A3196" t="s">
        <v>263</v>
      </c>
      <c r="B3196" t="s">
        <v>15</v>
      </c>
      <c r="C3196">
        <v>1952</v>
      </c>
      <c r="D3196">
        <v>14007</v>
      </c>
      <c r="E3196">
        <v>28014</v>
      </c>
    </row>
    <row r="3197" spans="1:5" x14ac:dyDescent="0.35">
      <c r="A3197" t="s">
        <v>263</v>
      </c>
      <c r="B3197" t="s">
        <v>15</v>
      </c>
      <c r="C3197">
        <v>1953</v>
      </c>
      <c r="D3197">
        <v>13053</v>
      </c>
      <c r="E3197">
        <v>26106</v>
      </c>
    </row>
    <row r="3198" spans="1:5" x14ac:dyDescent="0.35">
      <c r="A3198" t="s">
        <v>263</v>
      </c>
      <c r="B3198" t="s">
        <v>15</v>
      </c>
      <c r="C3198">
        <v>1954</v>
      </c>
      <c r="D3198">
        <v>12655</v>
      </c>
      <c r="E3198">
        <v>25310</v>
      </c>
    </row>
    <row r="3199" spans="1:5" x14ac:dyDescent="0.35">
      <c r="A3199" t="s">
        <v>263</v>
      </c>
      <c r="B3199" t="s">
        <v>15</v>
      </c>
      <c r="C3199">
        <v>1955</v>
      </c>
      <c r="D3199">
        <v>12042</v>
      </c>
      <c r="E3199">
        <v>24084</v>
      </c>
    </row>
    <row r="3200" spans="1:5" x14ac:dyDescent="0.35">
      <c r="A3200" t="s">
        <v>263</v>
      </c>
      <c r="B3200" t="s">
        <v>15</v>
      </c>
      <c r="C3200">
        <v>1956</v>
      </c>
      <c r="D3200">
        <v>11725</v>
      </c>
      <c r="E3200">
        <v>23450</v>
      </c>
    </row>
    <row r="3201" spans="1:5" x14ac:dyDescent="0.35">
      <c r="A3201" t="s">
        <v>263</v>
      </c>
      <c r="B3201" t="s">
        <v>15</v>
      </c>
      <c r="C3201">
        <v>1957</v>
      </c>
      <c r="D3201">
        <v>11407</v>
      </c>
      <c r="E3201">
        <v>22814</v>
      </c>
    </row>
    <row r="3202" spans="1:5" x14ac:dyDescent="0.35">
      <c r="A3202" t="s">
        <v>263</v>
      </c>
      <c r="B3202" t="s">
        <v>15</v>
      </c>
      <c r="C3202">
        <v>1958</v>
      </c>
      <c r="D3202">
        <v>11817</v>
      </c>
      <c r="E3202">
        <v>23634</v>
      </c>
    </row>
    <row r="3203" spans="1:5" x14ac:dyDescent="0.35">
      <c r="A3203" t="s">
        <v>263</v>
      </c>
      <c r="B3203" t="s">
        <v>15</v>
      </c>
      <c r="C3203">
        <v>1959</v>
      </c>
      <c r="D3203">
        <v>11579</v>
      </c>
      <c r="E3203">
        <v>23158</v>
      </c>
    </row>
    <row r="3204" spans="1:5" x14ac:dyDescent="0.35">
      <c r="A3204" t="s">
        <v>263</v>
      </c>
      <c r="B3204" t="s">
        <v>15</v>
      </c>
      <c r="C3204">
        <v>1960</v>
      </c>
      <c r="D3204">
        <v>11159</v>
      </c>
      <c r="E3204">
        <v>22318</v>
      </c>
    </row>
    <row r="3205" spans="1:5" x14ac:dyDescent="0.35">
      <c r="A3205" t="s">
        <v>263</v>
      </c>
      <c r="B3205" t="s">
        <v>15</v>
      </c>
      <c r="C3205">
        <v>1961</v>
      </c>
      <c r="D3205">
        <v>11394</v>
      </c>
      <c r="E3205">
        <v>22788</v>
      </c>
    </row>
    <row r="3206" spans="1:5" x14ac:dyDescent="0.35">
      <c r="A3206" t="s">
        <v>263</v>
      </c>
      <c r="B3206" t="s">
        <v>15</v>
      </c>
      <c r="C3206">
        <v>1962</v>
      </c>
      <c r="D3206">
        <v>11454</v>
      </c>
      <c r="E3206">
        <v>22908</v>
      </c>
    </row>
    <row r="3207" spans="1:5" x14ac:dyDescent="0.35">
      <c r="A3207" t="s">
        <v>263</v>
      </c>
      <c r="B3207" t="s">
        <v>15</v>
      </c>
      <c r="C3207">
        <v>1963</v>
      </c>
      <c r="D3207">
        <v>11638</v>
      </c>
      <c r="E3207">
        <v>23276</v>
      </c>
    </row>
    <row r="3208" spans="1:5" x14ac:dyDescent="0.35">
      <c r="A3208" t="s">
        <v>263</v>
      </c>
      <c r="B3208" t="s">
        <v>15</v>
      </c>
      <c r="C3208">
        <v>1964</v>
      </c>
      <c r="D3208">
        <v>12168</v>
      </c>
      <c r="E3208">
        <v>24336</v>
      </c>
    </row>
    <row r="3209" spans="1:5" x14ac:dyDescent="0.35">
      <c r="A3209" t="s">
        <v>263</v>
      </c>
      <c r="B3209" t="s">
        <v>15</v>
      </c>
      <c r="C3209">
        <v>1965</v>
      </c>
      <c r="D3209">
        <v>12266</v>
      </c>
      <c r="E3209">
        <v>24532</v>
      </c>
    </row>
    <row r="3210" spans="1:5" x14ac:dyDescent="0.35">
      <c r="A3210" t="s">
        <v>263</v>
      </c>
      <c r="B3210" t="s">
        <v>15</v>
      </c>
      <c r="C3210">
        <v>1966</v>
      </c>
      <c r="D3210">
        <v>9848</v>
      </c>
      <c r="E3210">
        <v>19696</v>
      </c>
    </row>
    <row r="3211" spans="1:5" x14ac:dyDescent="0.35">
      <c r="A3211" t="s">
        <v>263</v>
      </c>
      <c r="B3211" t="s">
        <v>15</v>
      </c>
      <c r="C3211">
        <v>1967</v>
      </c>
      <c r="D3211">
        <v>13212</v>
      </c>
      <c r="E3211">
        <v>26424</v>
      </c>
    </row>
    <row r="3212" spans="1:5" x14ac:dyDescent="0.35">
      <c r="A3212" t="s">
        <v>263</v>
      </c>
      <c r="B3212" t="s">
        <v>15</v>
      </c>
      <c r="C3212">
        <v>1968</v>
      </c>
      <c r="D3212">
        <v>12347</v>
      </c>
      <c r="E3212">
        <v>24694</v>
      </c>
    </row>
    <row r="3213" spans="1:5" x14ac:dyDescent="0.35">
      <c r="A3213" t="s">
        <v>263</v>
      </c>
      <c r="C3213">
        <v>1969</v>
      </c>
    </row>
    <row r="3214" spans="1:5" x14ac:dyDescent="0.35">
      <c r="A3214" t="s">
        <v>263</v>
      </c>
      <c r="C3214">
        <v>1970</v>
      </c>
    </row>
    <row r="3215" spans="1:5" x14ac:dyDescent="0.35">
      <c r="A3215" t="s">
        <v>263</v>
      </c>
      <c r="C3215">
        <v>1971</v>
      </c>
    </row>
    <row r="3216" spans="1:5" x14ac:dyDescent="0.35">
      <c r="A3216" t="s">
        <v>263</v>
      </c>
      <c r="C3216">
        <v>1972</v>
      </c>
    </row>
    <row r="3217" spans="1:5" x14ac:dyDescent="0.35">
      <c r="A3217" t="s">
        <v>263</v>
      </c>
      <c r="C3217">
        <v>1973</v>
      </c>
    </row>
    <row r="3218" spans="1:5" x14ac:dyDescent="0.35">
      <c r="A3218" t="s">
        <v>263</v>
      </c>
      <c r="B3218" t="s">
        <v>15</v>
      </c>
      <c r="C3218">
        <v>1974</v>
      </c>
      <c r="D3218">
        <v>12392</v>
      </c>
      <c r="E3218">
        <v>24784</v>
      </c>
    </row>
    <row r="3219" spans="1:5" x14ac:dyDescent="0.35">
      <c r="A3219" t="s">
        <v>263</v>
      </c>
      <c r="B3219" t="s">
        <v>15</v>
      </c>
      <c r="C3219">
        <v>1975</v>
      </c>
      <c r="E3219">
        <v>23610</v>
      </c>
    </row>
    <row r="3220" spans="1:5" x14ac:dyDescent="0.35">
      <c r="A3220" t="s">
        <v>263</v>
      </c>
      <c r="B3220" t="s">
        <v>15</v>
      </c>
      <c r="C3220">
        <v>1976</v>
      </c>
      <c r="E3220">
        <v>22537</v>
      </c>
    </row>
    <row r="3221" spans="1:5" x14ac:dyDescent="0.35">
      <c r="A3221" t="s">
        <v>263</v>
      </c>
      <c r="B3221" t="s">
        <v>15</v>
      </c>
      <c r="C3221">
        <v>1977</v>
      </c>
      <c r="E3221">
        <v>22953</v>
      </c>
    </row>
    <row r="3222" spans="1:5" x14ac:dyDescent="0.35">
      <c r="A3222" t="s">
        <v>263</v>
      </c>
      <c r="B3222" t="s">
        <v>15</v>
      </c>
      <c r="C3222">
        <v>1978</v>
      </c>
      <c r="E3222">
        <v>22188</v>
      </c>
    </row>
    <row r="3223" spans="1:5" x14ac:dyDescent="0.35">
      <c r="A3223" t="s">
        <v>263</v>
      </c>
      <c r="B3223" t="s">
        <v>15</v>
      </c>
      <c r="C3223">
        <v>1979</v>
      </c>
      <c r="E3223">
        <v>22007</v>
      </c>
    </row>
    <row r="3224" spans="1:5" x14ac:dyDescent="0.35">
      <c r="A3224" t="s">
        <v>263</v>
      </c>
      <c r="B3224" t="s">
        <v>15</v>
      </c>
      <c r="C3224">
        <v>1980</v>
      </c>
      <c r="E3224">
        <v>21165</v>
      </c>
    </row>
    <row r="3225" spans="1:5" x14ac:dyDescent="0.35">
      <c r="A3225" t="s">
        <v>263</v>
      </c>
      <c r="B3225" t="s">
        <v>15</v>
      </c>
      <c r="C3225">
        <v>1981</v>
      </c>
      <c r="E3225">
        <v>20852</v>
      </c>
    </row>
    <row r="3226" spans="1:5" x14ac:dyDescent="0.35">
      <c r="A3226" t="s">
        <v>263</v>
      </c>
      <c r="B3226" t="s">
        <v>15</v>
      </c>
      <c r="C3226">
        <v>1982</v>
      </c>
      <c r="E3226">
        <v>20796</v>
      </c>
    </row>
    <row r="3227" spans="1:5" x14ac:dyDescent="0.35">
      <c r="A3227" t="s">
        <v>263</v>
      </c>
      <c r="B3227" t="s">
        <v>15</v>
      </c>
      <c r="C3227">
        <v>1983</v>
      </c>
      <c r="E3227">
        <v>20597</v>
      </c>
    </row>
    <row r="3228" spans="1:5" x14ac:dyDescent="0.35">
      <c r="A3228" t="s">
        <v>263</v>
      </c>
      <c r="B3228" t="s">
        <v>15</v>
      </c>
      <c r="C3228">
        <v>1984</v>
      </c>
      <c r="E3228">
        <v>20421</v>
      </c>
    </row>
    <row r="3229" spans="1:5" x14ac:dyDescent="0.35">
      <c r="A3229" t="s">
        <v>263</v>
      </c>
      <c r="B3229" t="s">
        <v>15</v>
      </c>
      <c r="C3229">
        <v>1985</v>
      </c>
      <c r="E3229">
        <v>19611</v>
      </c>
    </row>
    <row r="3230" spans="1:5" x14ac:dyDescent="0.35">
      <c r="A3230" t="s">
        <v>263</v>
      </c>
      <c r="B3230" t="s">
        <v>15</v>
      </c>
      <c r="C3230">
        <v>1986</v>
      </c>
      <c r="E3230">
        <v>18798</v>
      </c>
    </row>
    <row r="3231" spans="1:5" x14ac:dyDescent="0.35">
      <c r="A3231" t="s">
        <v>263</v>
      </c>
      <c r="B3231" t="s">
        <v>15</v>
      </c>
      <c r="C3231">
        <v>1987</v>
      </c>
      <c r="E3231">
        <v>18636</v>
      </c>
    </row>
    <row r="3232" spans="1:5" x14ac:dyDescent="0.35">
      <c r="A3232" t="s">
        <v>263</v>
      </c>
      <c r="B3232" t="s">
        <v>15</v>
      </c>
      <c r="C3232">
        <v>1988</v>
      </c>
      <c r="E3232">
        <v>18472</v>
      </c>
    </row>
    <row r="3233" spans="1:6" x14ac:dyDescent="0.35">
      <c r="A3233" t="s">
        <v>263</v>
      </c>
      <c r="B3233" t="s">
        <v>15</v>
      </c>
      <c r="C3233">
        <v>1989</v>
      </c>
      <c r="E3233">
        <v>18147</v>
      </c>
    </row>
    <row r="3234" spans="1:6" x14ac:dyDescent="0.35">
      <c r="A3234" t="s">
        <v>263</v>
      </c>
      <c r="B3234" t="s">
        <v>15</v>
      </c>
      <c r="C3234">
        <v>1990</v>
      </c>
      <c r="E3234">
        <v>17865</v>
      </c>
    </row>
    <row r="3235" spans="1:6" x14ac:dyDescent="0.35">
      <c r="A3235" t="s">
        <v>263</v>
      </c>
      <c r="B3235" t="s">
        <v>15</v>
      </c>
      <c r="C3235">
        <v>1991</v>
      </c>
      <c r="E3235">
        <v>18284</v>
      </c>
    </row>
    <row r="3236" spans="1:6" x14ac:dyDescent="0.35">
      <c r="A3236" t="s">
        <v>263</v>
      </c>
      <c r="B3236" t="s">
        <v>15</v>
      </c>
      <c r="C3236">
        <v>1992</v>
      </c>
      <c r="E3236">
        <v>18856</v>
      </c>
    </row>
    <row r="3237" spans="1:6" x14ac:dyDescent="0.35">
      <c r="A3237" t="s">
        <v>263</v>
      </c>
      <c r="B3237" t="s">
        <v>15</v>
      </c>
      <c r="C3237">
        <v>1993</v>
      </c>
      <c r="E3237">
        <v>19288</v>
      </c>
    </row>
    <row r="3238" spans="1:6" x14ac:dyDescent="0.35">
      <c r="A3238" t="s">
        <v>263</v>
      </c>
      <c r="B3238" t="s">
        <v>15</v>
      </c>
      <c r="C3238">
        <v>1994</v>
      </c>
      <c r="E3238">
        <v>21324</v>
      </c>
    </row>
    <row r="3239" spans="1:6" x14ac:dyDescent="0.35">
      <c r="A3239" t="s">
        <v>263</v>
      </c>
      <c r="B3239" t="s">
        <v>15</v>
      </c>
      <c r="C3239">
        <v>1995</v>
      </c>
      <c r="D3239">
        <v>10529</v>
      </c>
      <c r="E3239">
        <v>21058</v>
      </c>
      <c r="F3239">
        <v>1204082</v>
      </c>
    </row>
    <row r="3240" spans="1:6" x14ac:dyDescent="0.35">
      <c r="A3240" t="s">
        <v>263</v>
      </c>
      <c r="B3240" t="s">
        <v>15</v>
      </c>
      <c r="C3240">
        <v>1996</v>
      </c>
      <c r="E3240">
        <v>22188</v>
      </c>
    </row>
    <row r="3241" spans="1:6" x14ac:dyDescent="0.35">
      <c r="A3241" t="s">
        <v>263</v>
      </c>
      <c r="C3241">
        <v>1997</v>
      </c>
    </row>
    <row r="3242" spans="1:6" x14ac:dyDescent="0.35">
      <c r="A3242" t="s">
        <v>263</v>
      </c>
      <c r="C3242">
        <v>1998</v>
      </c>
    </row>
    <row r="3243" spans="1:6" x14ac:dyDescent="0.35">
      <c r="A3243" t="s">
        <v>263</v>
      </c>
      <c r="C3243">
        <v>1999</v>
      </c>
    </row>
    <row r="3244" spans="1:6" x14ac:dyDescent="0.35">
      <c r="A3244" t="s">
        <v>263</v>
      </c>
      <c r="B3244" t="s">
        <v>264</v>
      </c>
      <c r="C3244">
        <v>2000</v>
      </c>
      <c r="D3244">
        <v>12107</v>
      </c>
      <c r="F3244">
        <v>1203627</v>
      </c>
    </row>
    <row r="3245" spans="1:6" x14ac:dyDescent="0.35">
      <c r="A3245" t="s">
        <v>263</v>
      </c>
      <c r="B3245" t="s">
        <v>264</v>
      </c>
      <c r="C3245">
        <v>2001</v>
      </c>
      <c r="D3245">
        <v>11919</v>
      </c>
      <c r="F3245">
        <v>1183323</v>
      </c>
    </row>
    <row r="3246" spans="1:6" x14ac:dyDescent="0.35">
      <c r="A3246" t="s">
        <v>263</v>
      </c>
      <c r="B3246" t="s">
        <v>264</v>
      </c>
      <c r="C3246">
        <v>2002</v>
      </c>
      <c r="D3246">
        <v>12633</v>
      </c>
      <c r="F3246">
        <v>1164518</v>
      </c>
    </row>
    <row r="3247" spans="1:6" x14ac:dyDescent="0.35">
      <c r="A3247" t="s">
        <v>263</v>
      </c>
      <c r="B3247" t="s">
        <v>264</v>
      </c>
      <c r="C3247">
        <v>2003</v>
      </c>
      <c r="D3247">
        <v>12743</v>
      </c>
      <c r="F3247">
        <v>1132508</v>
      </c>
    </row>
    <row r="3248" spans="1:6" x14ac:dyDescent="0.35">
      <c r="A3248" t="s">
        <v>263</v>
      </c>
      <c r="B3248" t="s">
        <v>264</v>
      </c>
      <c r="C3248">
        <v>2004</v>
      </c>
      <c r="D3248">
        <v>12900</v>
      </c>
      <c r="F3248">
        <v>1118308</v>
      </c>
    </row>
    <row r="3249" spans="1:6" x14ac:dyDescent="0.35">
      <c r="A3249" t="s">
        <v>263</v>
      </c>
      <c r="B3249" t="s">
        <v>264</v>
      </c>
      <c r="C3249">
        <v>2005</v>
      </c>
      <c r="D3249">
        <v>12455</v>
      </c>
      <c r="F3249">
        <v>1068633</v>
      </c>
    </row>
    <row r="3250" spans="1:6" x14ac:dyDescent="0.35">
      <c r="A3250" t="s">
        <v>263</v>
      </c>
      <c r="B3250" t="s">
        <v>264</v>
      </c>
      <c r="C3250">
        <v>2006</v>
      </c>
      <c r="D3250">
        <v>12631</v>
      </c>
      <c r="F3250">
        <v>1097536</v>
      </c>
    </row>
    <row r="3251" spans="1:6" x14ac:dyDescent="0.35">
      <c r="A3251" t="s">
        <v>263</v>
      </c>
      <c r="B3251" t="s">
        <v>264</v>
      </c>
      <c r="C3251">
        <v>2007</v>
      </c>
      <c r="D3251">
        <v>12394</v>
      </c>
      <c r="F3251">
        <v>1093632</v>
      </c>
    </row>
    <row r="3252" spans="1:6" x14ac:dyDescent="0.35">
      <c r="A3252" t="s">
        <v>263</v>
      </c>
      <c r="B3252" t="s">
        <v>264</v>
      </c>
      <c r="C3252">
        <v>2008</v>
      </c>
      <c r="D3252">
        <v>11496</v>
      </c>
      <c r="F3252">
        <v>1095749</v>
      </c>
    </row>
    <row r="3253" spans="1:6" x14ac:dyDescent="0.35">
      <c r="A3253" t="s">
        <v>263</v>
      </c>
      <c r="B3253" t="s">
        <v>264</v>
      </c>
      <c r="C3253">
        <v>2009</v>
      </c>
      <c r="D3253">
        <v>10803</v>
      </c>
      <c r="F3253">
        <v>1074920</v>
      </c>
    </row>
    <row r="3254" spans="1:6" x14ac:dyDescent="0.35">
      <c r="A3254" t="s">
        <v>263</v>
      </c>
      <c r="B3254" t="s">
        <v>264</v>
      </c>
      <c r="C3254">
        <v>2010</v>
      </c>
      <c r="D3254">
        <v>10394</v>
      </c>
      <c r="F3254">
        <v>1076563</v>
      </c>
    </row>
    <row r="3255" spans="1:6" x14ac:dyDescent="0.35">
      <c r="A3255" t="s">
        <v>263</v>
      </c>
      <c r="B3255" t="s">
        <v>264</v>
      </c>
      <c r="C3255">
        <v>2011</v>
      </c>
      <c r="D3255">
        <v>10124</v>
      </c>
      <c r="F3255">
        <v>1055833</v>
      </c>
    </row>
    <row r="3256" spans="1:6" x14ac:dyDescent="0.35">
      <c r="A3256" t="s">
        <v>263</v>
      </c>
      <c r="B3256" t="s">
        <v>264</v>
      </c>
      <c r="C3256">
        <v>2012</v>
      </c>
      <c r="D3256">
        <v>10333</v>
      </c>
      <c r="F3256">
        <v>1040832</v>
      </c>
    </row>
    <row r="3257" spans="1:6" x14ac:dyDescent="0.35">
      <c r="A3257" t="s">
        <v>263</v>
      </c>
      <c r="B3257" t="s">
        <v>264</v>
      </c>
      <c r="C3257">
        <v>2013</v>
      </c>
      <c r="D3257">
        <v>10328</v>
      </c>
      <c r="F3257">
        <v>1032764</v>
      </c>
    </row>
    <row r="3258" spans="1:6" x14ac:dyDescent="0.35">
      <c r="A3258" t="s">
        <v>263</v>
      </c>
      <c r="B3258" t="s">
        <v>264</v>
      </c>
      <c r="C3258">
        <v>2014</v>
      </c>
      <c r="D3258">
        <v>10074</v>
      </c>
      <c r="F3258">
        <v>1006528</v>
      </c>
    </row>
    <row r="3259" spans="1:6" x14ac:dyDescent="0.35">
      <c r="A3259" t="s">
        <v>263</v>
      </c>
      <c r="B3259" t="s">
        <v>264</v>
      </c>
      <c r="C3259">
        <v>2015</v>
      </c>
      <c r="D3259">
        <v>10067</v>
      </c>
      <c r="F3259">
        <v>1007792</v>
      </c>
    </row>
    <row r="3260" spans="1:6" x14ac:dyDescent="0.35">
      <c r="A3260" t="s">
        <v>263</v>
      </c>
      <c r="B3260" t="s">
        <v>264</v>
      </c>
      <c r="C3260">
        <v>2016</v>
      </c>
      <c r="D3260">
        <v>10000</v>
      </c>
      <c r="F3260">
        <v>977780</v>
      </c>
    </row>
    <row r="3261" spans="1:6" x14ac:dyDescent="0.35">
      <c r="A3261" t="s">
        <v>263</v>
      </c>
      <c r="B3261" t="s">
        <v>264</v>
      </c>
      <c r="C3261">
        <v>2017</v>
      </c>
      <c r="D3261">
        <v>9769</v>
      </c>
      <c r="F3261">
        <v>946532</v>
      </c>
    </row>
    <row r="3262" spans="1:6" x14ac:dyDescent="0.35">
      <c r="A3262" t="s">
        <v>263</v>
      </c>
      <c r="B3262" t="s">
        <v>264</v>
      </c>
      <c r="C3262">
        <v>2018</v>
      </c>
      <c r="D3262">
        <v>9620</v>
      </c>
      <c r="F3262">
        <v>918387</v>
      </c>
    </row>
    <row r="3263" spans="1:6" x14ac:dyDescent="0.35">
      <c r="A3263" t="s">
        <v>263</v>
      </c>
      <c r="B3263" t="s">
        <v>264</v>
      </c>
      <c r="C3263">
        <v>2019</v>
      </c>
      <c r="D3263">
        <v>8937</v>
      </c>
      <c r="F3263">
        <v>866378</v>
      </c>
    </row>
    <row r="3264" spans="1:6" x14ac:dyDescent="0.35">
      <c r="A3264" t="s">
        <v>805</v>
      </c>
      <c r="B3264" t="s">
        <v>21</v>
      </c>
      <c r="C3264">
        <v>1983</v>
      </c>
      <c r="E3264">
        <v>7524</v>
      </c>
      <c r="F3264">
        <v>755444</v>
      </c>
    </row>
    <row r="3265" spans="1:6" x14ac:dyDescent="0.35">
      <c r="A3265" t="s">
        <v>805</v>
      </c>
      <c r="B3265" t="s">
        <v>21</v>
      </c>
      <c r="C3265">
        <v>1984</v>
      </c>
      <c r="E3265">
        <v>6546</v>
      </c>
      <c r="F3265">
        <v>659053</v>
      </c>
    </row>
    <row r="3266" spans="1:6" x14ac:dyDescent="0.35">
      <c r="A3266" t="s">
        <v>805</v>
      </c>
      <c r="B3266" t="s">
        <v>21</v>
      </c>
      <c r="C3266">
        <v>1985</v>
      </c>
      <c r="E3266">
        <v>6698</v>
      </c>
      <c r="F3266">
        <v>636464</v>
      </c>
    </row>
    <row r="3267" spans="1:6" x14ac:dyDescent="0.35">
      <c r="A3267" t="s">
        <v>805</v>
      </c>
      <c r="B3267" t="s">
        <v>21</v>
      </c>
      <c r="C3267">
        <v>1986</v>
      </c>
      <c r="E3267">
        <v>6146</v>
      </c>
      <c r="F3267">
        <v>615763</v>
      </c>
    </row>
    <row r="3268" spans="1:6" x14ac:dyDescent="0.35">
      <c r="A3268" t="s">
        <v>805</v>
      </c>
      <c r="B3268" t="s">
        <v>21</v>
      </c>
      <c r="C3268">
        <v>1987</v>
      </c>
      <c r="E3268">
        <v>6100</v>
      </c>
      <c r="F3268">
        <v>600437</v>
      </c>
    </row>
    <row r="3269" spans="1:6" x14ac:dyDescent="0.35">
      <c r="A3269" t="s">
        <v>805</v>
      </c>
      <c r="C3269">
        <v>1988</v>
      </c>
    </row>
    <row r="3270" spans="1:6" x14ac:dyDescent="0.35">
      <c r="A3270" t="s">
        <v>805</v>
      </c>
      <c r="C3270">
        <v>1989</v>
      </c>
    </row>
    <row r="3271" spans="1:6" x14ac:dyDescent="0.35">
      <c r="A3271" t="s">
        <v>805</v>
      </c>
      <c r="C3271">
        <v>1990</v>
      </c>
    </row>
    <row r="3272" spans="1:6" x14ac:dyDescent="0.35">
      <c r="A3272" t="s">
        <v>805</v>
      </c>
      <c r="B3272" t="s">
        <v>21</v>
      </c>
      <c r="C3272">
        <v>1991</v>
      </c>
      <c r="E3272">
        <v>6926</v>
      </c>
      <c r="F3272">
        <v>702204</v>
      </c>
    </row>
    <row r="3273" spans="1:6" x14ac:dyDescent="0.35">
      <c r="A3273" t="s">
        <v>805</v>
      </c>
      <c r="B3273" t="s">
        <v>21</v>
      </c>
      <c r="C3273">
        <v>1992</v>
      </c>
      <c r="E3273">
        <v>8105</v>
      </c>
      <c r="F3273">
        <v>722409</v>
      </c>
    </row>
    <row r="3274" spans="1:6" x14ac:dyDescent="0.35">
      <c r="A3274" t="s">
        <v>805</v>
      </c>
      <c r="B3274" t="s">
        <v>21</v>
      </c>
      <c r="C3274">
        <v>1993</v>
      </c>
      <c r="E3274">
        <v>7948</v>
      </c>
      <c r="F3274">
        <v>707709</v>
      </c>
    </row>
    <row r="3275" spans="1:6" x14ac:dyDescent="0.35">
      <c r="A3275" t="s">
        <v>805</v>
      </c>
      <c r="B3275" t="s">
        <v>21</v>
      </c>
      <c r="C3275">
        <v>1994</v>
      </c>
      <c r="E3275">
        <v>8055</v>
      </c>
      <c r="F3275">
        <v>712976</v>
      </c>
    </row>
    <row r="3276" spans="1:6" x14ac:dyDescent="0.35">
      <c r="A3276" t="s">
        <v>805</v>
      </c>
      <c r="B3276" t="s">
        <v>21</v>
      </c>
      <c r="C3276">
        <v>1995</v>
      </c>
      <c r="E3276">
        <v>9084</v>
      </c>
      <c r="F3276">
        <v>705543</v>
      </c>
    </row>
    <row r="3277" spans="1:6" x14ac:dyDescent="0.35">
      <c r="A3277" t="s">
        <v>805</v>
      </c>
      <c r="B3277" t="s">
        <v>21</v>
      </c>
      <c r="C3277">
        <v>1996</v>
      </c>
      <c r="E3277">
        <v>9025</v>
      </c>
      <c r="F3277">
        <v>681770</v>
      </c>
    </row>
    <row r="3278" spans="1:6" x14ac:dyDescent="0.35">
      <c r="A3278" t="s">
        <v>805</v>
      </c>
      <c r="B3278" t="s">
        <v>21</v>
      </c>
      <c r="C3278">
        <v>1997</v>
      </c>
      <c r="E3278">
        <v>8960</v>
      </c>
      <c r="F3278">
        <v>666162</v>
      </c>
    </row>
    <row r="3279" spans="1:6" x14ac:dyDescent="0.35">
      <c r="A3279" t="s">
        <v>805</v>
      </c>
      <c r="B3279" t="s">
        <v>266</v>
      </c>
      <c r="C3279">
        <v>1998</v>
      </c>
      <c r="E3279">
        <v>9576</v>
      </c>
      <c r="F3279">
        <v>631786</v>
      </c>
    </row>
    <row r="3280" spans="1:6" x14ac:dyDescent="0.35">
      <c r="A3280" t="s">
        <v>805</v>
      </c>
      <c r="B3280" t="s">
        <v>266</v>
      </c>
      <c r="C3280">
        <v>1999</v>
      </c>
      <c r="E3280">
        <v>9600</v>
      </c>
      <c r="F3280">
        <v>609507</v>
      </c>
    </row>
    <row r="3281" spans="1:6" x14ac:dyDescent="0.35">
      <c r="A3281" t="s">
        <v>805</v>
      </c>
      <c r="B3281" t="s">
        <v>266</v>
      </c>
      <c r="C3281">
        <v>2000</v>
      </c>
      <c r="D3281">
        <v>5220</v>
      </c>
      <c r="E3281">
        <v>10661</v>
      </c>
      <c r="F3281">
        <v>627589</v>
      </c>
    </row>
    <row r="3282" spans="1:6" x14ac:dyDescent="0.35">
      <c r="A3282" t="s">
        <v>805</v>
      </c>
      <c r="B3282" t="s">
        <v>266</v>
      </c>
      <c r="C3282">
        <v>2001</v>
      </c>
      <c r="D3282">
        <v>4871</v>
      </c>
      <c r="E3282">
        <v>9940</v>
      </c>
      <c r="F3282">
        <v>547869</v>
      </c>
    </row>
    <row r="3283" spans="1:6" x14ac:dyDescent="0.35">
      <c r="A3283" t="s">
        <v>805</v>
      </c>
      <c r="B3283" t="s">
        <v>266</v>
      </c>
      <c r="C3283">
        <v>2002</v>
      </c>
      <c r="D3283">
        <v>4731</v>
      </c>
      <c r="E3283">
        <v>9633</v>
      </c>
      <c r="F3283">
        <v>483319</v>
      </c>
    </row>
    <row r="3284" spans="1:6" x14ac:dyDescent="0.35">
      <c r="A3284" t="s">
        <v>805</v>
      </c>
      <c r="B3284" t="s">
        <v>266</v>
      </c>
      <c r="C3284">
        <v>2003</v>
      </c>
      <c r="D3284">
        <v>4679</v>
      </c>
      <c r="E3284">
        <v>9784</v>
      </c>
      <c r="F3284">
        <v>480809</v>
      </c>
    </row>
    <row r="3285" spans="1:6" x14ac:dyDescent="0.35">
      <c r="A3285" t="s">
        <v>805</v>
      </c>
      <c r="B3285" t="s">
        <v>266</v>
      </c>
      <c r="C3285">
        <v>2004</v>
      </c>
      <c r="D3285">
        <v>4735</v>
      </c>
      <c r="E3285">
        <v>9888</v>
      </c>
      <c r="F3285">
        <v>463459</v>
      </c>
    </row>
    <row r="3286" spans="1:6" x14ac:dyDescent="0.35">
      <c r="A3286" t="s">
        <v>805</v>
      </c>
      <c r="B3286" t="s">
        <v>266</v>
      </c>
      <c r="C3286">
        <v>2005</v>
      </c>
      <c r="D3286">
        <v>4687</v>
      </c>
      <c r="E3286">
        <v>9470</v>
      </c>
      <c r="F3286">
        <v>425999</v>
      </c>
    </row>
    <row r="3287" spans="1:6" x14ac:dyDescent="0.35">
      <c r="A3287" t="s">
        <v>805</v>
      </c>
      <c r="B3287" t="s">
        <v>266</v>
      </c>
      <c r="C3287">
        <v>2006</v>
      </c>
      <c r="D3287">
        <v>4747</v>
      </c>
      <c r="E3287">
        <v>10758</v>
      </c>
      <c r="F3287">
        <v>437919</v>
      </c>
    </row>
    <row r="3288" spans="1:6" x14ac:dyDescent="0.35">
      <c r="A3288" t="s">
        <v>805</v>
      </c>
      <c r="B3288" t="s">
        <v>266</v>
      </c>
      <c r="C3288">
        <v>2007</v>
      </c>
      <c r="D3288">
        <v>6634</v>
      </c>
      <c r="E3288">
        <v>13354</v>
      </c>
      <c r="F3288">
        <v>480880</v>
      </c>
    </row>
    <row r="3289" spans="1:6" x14ac:dyDescent="0.35">
      <c r="A3289" t="s">
        <v>805</v>
      </c>
      <c r="B3289" t="s">
        <v>266</v>
      </c>
      <c r="C3289">
        <v>2008</v>
      </c>
      <c r="D3289">
        <v>6290</v>
      </c>
      <c r="E3289">
        <v>12653</v>
      </c>
      <c r="F3289">
        <v>450953</v>
      </c>
    </row>
    <row r="3290" spans="1:6" x14ac:dyDescent="0.35">
      <c r="A3290" t="s">
        <v>805</v>
      </c>
      <c r="B3290" t="s">
        <v>266</v>
      </c>
      <c r="C3290">
        <v>2009</v>
      </c>
      <c r="D3290">
        <v>5742</v>
      </c>
      <c r="E3290">
        <v>11905</v>
      </c>
      <c r="F3290">
        <v>430983</v>
      </c>
    </row>
    <row r="3291" spans="1:6" x14ac:dyDescent="0.35">
      <c r="A3291" t="s">
        <v>805</v>
      </c>
      <c r="B3291" t="s">
        <v>266</v>
      </c>
      <c r="C3291">
        <v>2010</v>
      </c>
      <c r="D3291">
        <v>6202</v>
      </c>
      <c r="E3291">
        <v>12633</v>
      </c>
      <c r="F3291">
        <v>455309</v>
      </c>
    </row>
    <row r="3292" spans="1:6" x14ac:dyDescent="0.35">
      <c r="A3292" t="s">
        <v>805</v>
      </c>
      <c r="B3292" t="s">
        <v>266</v>
      </c>
      <c r="C3292">
        <v>2011</v>
      </c>
      <c r="D3292">
        <v>6580</v>
      </c>
      <c r="E3292">
        <v>13583</v>
      </c>
      <c r="F3292">
        <v>457171</v>
      </c>
    </row>
    <row r="3293" spans="1:6" x14ac:dyDescent="0.35">
      <c r="A3293" t="s">
        <v>805</v>
      </c>
      <c r="B3293" t="s">
        <v>266</v>
      </c>
      <c r="C3293">
        <v>2012</v>
      </c>
      <c r="D3293">
        <v>7576</v>
      </c>
      <c r="E3293">
        <v>15321</v>
      </c>
      <c r="F3293">
        <v>468608</v>
      </c>
    </row>
    <row r="3294" spans="1:6" x14ac:dyDescent="0.35">
      <c r="A3294" t="s">
        <v>805</v>
      </c>
      <c r="B3294" t="s">
        <v>266</v>
      </c>
      <c r="C3294">
        <v>2013</v>
      </c>
      <c r="D3294">
        <v>6878</v>
      </c>
      <c r="E3294">
        <v>14115</v>
      </c>
      <c r="F3294">
        <v>421837</v>
      </c>
    </row>
    <row r="3295" spans="1:6" x14ac:dyDescent="0.35">
      <c r="A3295" t="s">
        <v>805</v>
      </c>
      <c r="B3295" t="s">
        <v>266</v>
      </c>
      <c r="C3295">
        <v>2014</v>
      </c>
      <c r="D3295">
        <v>7364</v>
      </c>
      <c r="E3295">
        <v>14898</v>
      </c>
      <c r="F3295">
        <v>420013</v>
      </c>
    </row>
    <row r="3296" spans="1:6" x14ac:dyDescent="0.35">
      <c r="A3296" t="s">
        <v>805</v>
      </c>
      <c r="B3296" t="s">
        <v>266</v>
      </c>
      <c r="C3296">
        <v>2015</v>
      </c>
      <c r="D3296">
        <v>7811</v>
      </c>
      <c r="E3296">
        <v>15774</v>
      </c>
      <c r="F3296">
        <v>421988</v>
      </c>
    </row>
    <row r="3297" spans="1:6" x14ac:dyDescent="0.35">
      <c r="A3297" t="s">
        <v>805</v>
      </c>
      <c r="B3297" t="s">
        <v>266</v>
      </c>
      <c r="C3297">
        <v>2016</v>
      </c>
      <c r="D3297">
        <v>7573</v>
      </c>
      <c r="E3297">
        <v>15284</v>
      </c>
      <c r="F3297">
        <v>390251</v>
      </c>
    </row>
    <row r="3298" spans="1:6" x14ac:dyDescent="0.35">
      <c r="A3298" t="s">
        <v>805</v>
      </c>
      <c r="B3298" t="s">
        <v>266</v>
      </c>
      <c r="C3298">
        <v>2017</v>
      </c>
      <c r="D3298">
        <v>6742</v>
      </c>
      <c r="E3298">
        <v>13620</v>
      </c>
      <c r="F3298">
        <v>343607</v>
      </c>
    </row>
    <row r="3299" spans="1:6" x14ac:dyDescent="0.35">
      <c r="A3299" t="s">
        <v>805</v>
      </c>
      <c r="B3299" t="s">
        <v>266</v>
      </c>
      <c r="C3299">
        <v>2018</v>
      </c>
      <c r="D3299">
        <v>6594</v>
      </c>
      <c r="E3299">
        <v>13323</v>
      </c>
      <c r="F3299">
        <v>312713</v>
      </c>
    </row>
    <row r="3300" spans="1:6" x14ac:dyDescent="0.35">
      <c r="A3300" t="s">
        <v>805</v>
      </c>
      <c r="B3300" t="s">
        <v>266</v>
      </c>
      <c r="C3300">
        <v>2019</v>
      </c>
      <c r="D3300">
        <v>6721</v>
      </c>
      <c r="E3300">
        <v>13573</v>
      </c>
      <c r="F3300">
        <v>288407</v>
      </c>
    </row>
    <row r="3301" spans="1:6" x14ac:dyDescent="0.35">
      <c r="A3301" t="s">
        <v>805</v>
      </c>
      <c r="B3301" t="s">
        <v>266</v>
      </c>
      <c r="C3301">
        <v>2020</v>
      </c>
      <c r="D3301">
        <v>6409</v>
      </c>
      <c r="E3301">
        <v>12938</v>
      </c>
      <c r="F3301">
        <v>258845</v>
      </c>
    </row>
    <row r="3302" spans="1:6" x14ac:dyDescent="0.35">
      <c r="A3302" t="s">
        <v>268</v>
      </c>
      <c r="B3302" t="s">
        <v>269</v>
      </c>
      <c r="C3302">
        <v>1945</v>
      </c>
      <c r="D3302">
        <v>610</v>
      </c>
    </row>
    <row r="3303" spans="1:6" x14ac:dyDescent="0.35">
      <c r="A3303" t="s">
        <v>268</v>
      </c>
      <c r="C3303">
        <v>1946</v>
      </c>
    </row>
    <row r="3304" spans="1:6" x14ac:dyDescent="0.35">
      <c r="A3304" t="s">
        <v>268</v>
      </c>
      <c r="C3304">
        <v>1947</v>
      </c>
    </row>
    <row r="3305" spans="1:6" x14ac:dyDescent="0.35">
      <c r="A3305" t="s">
        <v>268</v>
      </c>
      <c r="C3305">
        <v>1948</v>
      </c>
    </row>
    <row r="3306" spans="1:6" x14ac:dyDescent="0.35">
      <c r="A3306" t="s">
        <v>268</v>
      </c>
      <c r="C3306">
        <v>1949</v>
      </c>
    </row>
    <row r="3307" spans="1:6" x14ac:dyDescent="0.35">
      <c r="A3307" t="s">
        <v>268</v>
      </c>
      <c r="B3307" t="s">
        <v>269</v>
      </c>
      <c r="C3307">
        <v>1950</v>
      </c>
      <c r="D3307">
        <v>872</v>
      </c>
    </row>
    <row r="3308" spans="1:6" x14ac:dyDescent="0.35">
      <c r="A3308" t="s">
        <v>268</v>
      </c>
      <c r="C3308">
        <v>1951</v>
      </c>
    </row>
    <row r="3309" spans="1:6" x14ac:dyDescent="0.35">
      <c r="A3309" t="s">
        <v>268</v>
      </c>
      <c r="C3309">
        <v>1952</v>
      </c>
    </row>
    <row r="3310" spans="1:6" x14ac:dyDescent="0.35">
      <c r="A3310" t="s">
        <v>268</v>
      </c>
      <c r="C3310">
        <v>1953</v>
      </c>
    </row>
    <row r="3311" spans="1:6" x14ac:dyDescent="0.35">
      <c r="A3311" t="s">
        <v>268</v>
      </c>
      <c r="C3311">
        <v>1954</v>
      </c>
    </row>
    <row r="3312" spans="1:6" x14ac:dyDescent="0.35">
      <c r="A3312" t="s">
        <v>268</v>
      </c>
      <c r="B3312" t="s">
        <v>269</v>
      </c>
      <c r="C3312">
        <v>1955</v>
      </c>
      <c r="D3312">
        <v>790</v>
      </c>
    </row>
    <row r="3313" spans="1:4" x14ac:dyDescent="0.35">
      <c r="A3313" t="s">
        <v>268</v>
      </c>
      <c r="C3313">
        <v>1956</v>
      </c>
    </row>
    <row r="3314" spans="1:4" x14ac:dyDescent="0.35">
      <c r="A3314" t="s">
        <v>268</v>
      </c>
      <c r="C3314">
        <v>1957</v>
      </c>
    </row>
    <row r="3315" spans="1:4" x14ac:dyDescent="0.35">
      <c r="A3315" t="s">
        <v>268</v>
      </c>
      <c r="C3315">
        <v>1958</v>
      </c>
    </row>
    <row r="3316" spans="1:4" x14ac:dyDescent="0.35">
      <c r="A3316" t="s">
        <v>268</v>
      </c>
      <c r="C3316">
        <v>1959</v>
      </c>
    </row>
    <row r="3317" spans="1:4" x14ac:dyDescent="0.35">
      <c r="A3317" t="s">
        <v>268</v>
      </c>
      <c r="B3317" t="s">
        <v>269</v>
      </c>
      <c r="C3317">
        <v>1960</v>
      </c>
      <c r="D3317">
        <v>844</v>
      </c>
    </row>
    <row r="3318" spans="1:4" x14ac:dyDescent="0.35">
      <c r="A3318" t="s">
        <v>268</v>
      </c>
      <c r="C3318">
        <v>1961</v>
      </c>
    </row>
    <row r="3319" spans="1:4" x14ac:dyDescent="0.35">
      <c r="A3319" t="s">
        <v>268</v>
      </c>
      <c r="C3319">
        <v>1962</v>
      </c>
    </row>
    <row r="3320" spans="1:4" x14ac:dyDescent="0.35">
      <c r="A3320" t="s">
        <v>268</v>
      </c>
      <c r="C3320">
        <v>1963</v>
      </c>
    </row>
    <row r="3321" spans="1:4" x14ac:dyDescent="0.35">
      <c r="A3321" t="s">
        <v>268</v>
      </c>
      <c r="C3321">
        <v>1964</v>
      </c>
    </row>
    <row r="3322" spans="1:4" x14ac:dyDescent="0.35">
      <c r="A3322" t="s">
        <v>268</v>
      </c>
      <c r="B3322" t="s">
        <v>269</v>
      </c>
      <c r="C3322">
        <v>1965</v>
      </c>
      <c r="D3322">
        <v>738</v>
      </c>
    </row>
    <row r="3323" spans="1:4" x14ac:dyDescent="0.35">
      <c r="A3323" t="s">
        <v>268</v>
      </c>
      <c r="B3323" t="s">
        <v>269</v>
      </c>
      <c r="C3323">
        <v>1966</v>
      </c>
      <c r="D3323">
        <v>709</v>
      </c>
    </row>
    <row r="3324" spans="1:4" x14ac:dyDescent="0.35">
      <c r="A3324" t="s">
        <v>268</v>
      </c>
      <c r="B3324" t="s">
        <v>269</v>
      </c>
      <c r="C3324">
        <v>1967</v>
      </c>
      <c r="D3324">
        <v>652</v>
      </c>
    </row>
    <row r="3325" spans="1:4" x14ac:dyDescent="0.35">
      <c r="A3325" t="s">
        <v>268</v>
      </c>
      <c r="B3325" t="s">
        <v>269</v>
      </c>
      <c r="C3325">
        <v>1968</v>
      </c>
      <c r="D3325">
        <v>605</v>
      </c>
    </row>
    <row r="3326" spans="1:4" x14ac:dyDescent="0.35">
      <c r="A3326" t="s">
        <v>268</v>
      </c>
      <c r="B3326" t="s">
        <v>269</v>
      </c>
      <c r="C3326">
        <v>1969</v>
      </c>
      <c r="D3326">
        <v>602</v>
      </c>
    </row>
    <row r="3327" spans="1:4" x14ac:dyDescent="0.35">
      <c r="A3327" t="s">
        <v>268</v>
      </c>
      <c r="B3327" t="s">
        <v>269</v>
      </c>
      <c r="C3327">
        <v>1970</v>
      </c>
      <c r="D3327">
        <v>647</v>
      </c>
    </row>
    <row r="3328" spans="1:4" x14ac:dyDescent="0.35">
      <c r="A3328" t="s">
        <v>268</v>
      </c>
      <c r="B3328" t="s">
        <v>269</v>
      </c>
      <c r="C3328">
        <v>1971</v>
      </c>
      <c r="D3328">
        <v>564</v>
      </c>
    </row>
    <row r="3329" spans="1:4" x14ac:dyDescent="0.35">
      <c r="A3329" t="s">
        <v>268</v>
      </c>
      <c r="B3329" t="s">
        <v>269</v>
      </c>
      <c r="C3329">
        <v>1972</v>
      </c>
      <c r="D3329">
        <v>613</v>
      </c>
    </row>
    <row r="3330" spans="1:4" x14ac:dyDescent="0.35">
      <c r="A3330" t="s">
        <v>268</v>
      </c>
      <c r="B3330" t="s">
        <v>269</v>
      </c>
      <c r="C3330">
        <v>1973</v>
      </c>
      <c r="D3330">
        <v>528</v>
      </c>
    </row>
    <row r="3331" spans="1:4" x14ac:dyDescent="0.35">
      <c r="A3331" t="s">
        <v>268</v>
      </c>
      <c r="B3331" t="s">
        <v>269</v>
      </c>
      <c r="C3331">
        <v>1974</v>
      </c>
      <c r="D3331">
        <v>502</v>
      </c>
    </row>
    <row r="3332" spans="1:4" x14ac:dyDescent="0.35">
      <c r="A3332" t="s">
        <v>268</v>
      </c>
      <c r="B3332" t="s">
        <v>269</v>
      </c>
      <c r="C3332">
        <v>1975</v>
      </c>
      <c r="D3332">
        <v>456</v>
      </c>
    </row>
    <row r="3333" spans="1:4" x14ac:dyDescent="0.35">
      <c r="A3333" t="s">
        <v>268</v>
      </c>
      <c r="B3333" t="s">
        <v>269</v>
      </c>
      <c r="C3333">
        <v>1976</v>
      </c>
      <c r="D3333">
        <v>499</v>
      </c>
    </row>
    <row r="3334" spans="1:4" x14ac:dyDescent="0.35">
      <c r="A3334" t="s">
        <v>268</v>
      </c>
      <c r="B3334" t="s">
        <v>269</v>
      </c>
      <c r="C3334">
        <v>1977</v>
      </c>
      <c r="D3334">
        <v>442</v>
      </c>
    </row>
    <row r="3335" spans="1:4" x14ac:dyDescent="0.35">
      <c r="A3335" t="s">
        <v>268</v>
      </c>
      <c r="B3335" t="s">
        <v>269</v>
      </c>
      <c r="C3335">
        <v>1978</v>
      </c>
      <c r="D3335">
        <v>556</v>
      </c>
    </row>
    <row r="3336" spans="1:4" x14ac:dyDescent="0.35">
      <c r="A3336" t="s">
        <v>268</v>
      </c>
      <c r="B3336" t="s">
        <v>269</v>
      </c>
      <c r="C3336">
        <v>1979</v>
      </c>
      <c r="D3336">
        <v>461</v>
      </c>
    </row>
    <row r="3337" spans="1:4" x14ac:dyDescent="0.35">
      <c r="A3337" t="s">
        <v>268</v>
      </c>
      <c r="B3337" t="s">
        <v>269</v>
      </c>
      <c r="C3337">
        <v>1980</v>
      </c>
      <c r="D3337">
        <v>413</v>
      </c>
    </row>
    <row r="3338" spans="1:4" x14ac:dyDescent="0.35">
      <c r="A3338" t="s">
        <v>268</v>
      </c>
      <c r="B3338" t="s">
        <v>269</v>
      </c>
      <c r="C3338">
        <v>1981</v>
      </c>
      <c r="D3338">
        <v>391</v>
      </c>
    </row>
    <row r="3339" spans="1:4" x14ac:dyDescent="0.35">
      <c r="A3339" t="s">
        <v>268</v>
      </c>
      <c r="B3339" t="s">
        <v>269</v>
      </c>
      <c r="C3339">
        <v>1982</v>
      </c>
      <c r="D3339">
        <v>410</v>
      </c>
    </row>
    <row r="3340" spans="1:4" x14ac:dyDescent="0.35">
      <c r="A3340" t="s">
        <v>268</v>
      </c>
      <c r="B3340" t="s">
        <v>269</v>
      </c>
      <c r="C3340">
        <v>1983</v>
      </c>
      <c r="D3340">
        <v>459</v>
      </c>
    </row>
    <row r="3341" spans="1:4" x14ac:dyDescent="0.35">
      <c r="A3341" t="s">
        <v>268</v>
      </c>
      <c r="B3341" t="s">
        <v>269</v>
      </c>
      <c r="C3341">
        <v>1984</v>
      </c>
      <c r="D3341">
        <v>387</v>
      </c>
    </row>
    <row r="3342" spans="1:4" x14ac:dyDescent="0.35">
      <c r="A3342" t="s">
        <v>268</v>
      </c>
      <c r="B3342" t="s">
        <v>269</v>
      </c>
      <c r="C3342">
        <v>1985</v>
      </c>
      <c r="D3342">
        <v>468</v>
      </c>
    </row>
    <row r="3343" spans="1:4" x14ac:dyDescent="0.35">
      <c r="A3343" t="s">
        <v>268</v>
      </c>
      <c r="B3343" t="s">
        <v>269</v>
      </c>
      <c r="C3343">
        <v>1986</v>
      </c>
      <c r="D3343">
        <v>512</v>
      </c>
    </row>
    <row r="3344" spans="1:4" x14ac:dyDescent="0.35">
      <c r="A3344" t="s">
        <v>268</v>
      </c>
      <c r="B3344" t="s">
        <v>269</v>
      </c>
      <c r="C3344">
        <v>1987</v>
      </c>
      <c r="D3344">
        <v>530</v>
      </c>
    </row>
    <row r="3345" spans="1:4" x14ac:dyDescent="0.35">
      <c r="A3345" t="s">
        <v>268</v>
      </c>
      <c r="B3345" t="s">
        <v>269</v>
      </c>
      <c r="C3345">
        <v>1988</v>
      </c>
      <c r="D3345">
        <v>482</v>
      </c>
    </row>
    <row r="3346" spans="1:4" x14ac:dyDescent="0.35">
      <c r="A3346" t="s">
        <v>268</v>
      </c>
      <c r="B3346" t="s">
        <v>269</v>
      </c>
      <c r="C3346">
        <v>1989</v>
      </c>
      <c r="D3346">
        <v>426</v>
      </c>
    </row>
    <row r="3347" spans="1:4" x14ac:dyDescent="0.35">
      <c r="A3347" t="s">
        <v>268</v>
      </c>
      <c r="B3347" t="s">
        <v>269</v>
      </c>
      <c r="C3347">
        <v>1990</v>
      </c>
      <c r="D3347">
        <v>447</v>
      </c>
    </row>
    <row r="3348" spans="1:4" x14ac:dyDescent="0.35">
      <c r="A3348" t="s">
        <v>268</v>
      </c>
      <c r="B3348" t="s">
        <v>269</v>
      </c>
      <c r="C3348">
        <v>1991</v>
      </c>
      <c r="D3348">
        <v>488</v>
      </c>
    </row>
    <row r="3349" spans="1:4" x14ac:dyDescent="0.35">
      <c r="A3349" t="s">
        <v>268</v>
      </c>
      <c r="B3349" t="s">
        <v>269</v>
      </c>
      <c r="C3349">
        <v>1992</v>
      </c>
      <c r="D3349">
        <v>462</v>
      </c>
    </row>
    <row r="3350" spans="1:4" x14ac:dyDescent="0.35">
      <c r="A3350" t="s">
        <v>268</v>
      </c>
      <c r="B3350" t="s">
        <v>269</v>
      </c>
      <c r="C3350">
        <v>1993</v>
      </c>
      <c r="D3350">
        <v>423</v>
      </c>
    </row>
    <row r="3351" spans="1:4" x14ac:dyDescent="0.35">
      <c r="A3351" t="s">
        <v>268</v>
      </c>
      <c r="B3351" t="s">
        <v>269</v>
      </c>
      <c r="C3351">
        <v>1994</v>
      </c>
      <c r="D3351">
        <v>399</v>
      </c>
    </row>
    <row r="3352" spans="1:4" x14ac:dyDescent="0.35">
      <c r="A3352" t="s">
        <v>268</v>
      </c>
      <c r="B3352" t="s">
        <v>269</v>
      </c>
      <c r="C3352">
        <v>1995</v>
      </c>
      <c r="D3352">
        <v>365</v>
      </c>
    </row>
    <row r="3353" spans="1:4" x14ac:dyDescent="0.35">
      <c r="A3353" t="s">
        <v>268</v>
      </c>
      <c r="B3353" t="s">
        <v>269</v>
      </c>
      <c r="C3353">
        <v>1996</v>
      </c>
      <c r="D3353">
        <v>386</v>
      </c>
    </row>
    <row r="3354" spans="1:4" x14ac:dyDescent="0.35">
      <c r="A3354" t="s">
        <v>268</v>
      </c>
      <c r="B3354" t="s">
        <v>269</v>
      </c>
      <c r="C3354">
        <v>1997</v>
      </c>
      <c r="D3354">
        <v>353</v>
      </c>
    </row>
    <row r="3355" spans="1:4" x14ac:dyDescent="0.35">
      <c r="A3355" t="s">
        <v>268</v>
      </c>
      <c r="B3355" t="s">
        <v>269</v>
      </c>
      <c r="C3355">
        <v>1998</v>
      </c>
      <c r="D3355">
        <v>383</v>
      </c>
    </row>
    <row r="3356" spans="1:4" x14ac:dyDescent="0.35">
      <c r="A3356" t="s">
        <v>268</v>
      </c>
      <c r="B3356" t="s">
        <v>269</v>
      </c>
      <c r="C3356">
        <v>1999</v>
      </c>
      <c r="D3356">
        <v>378</v>
      </c>
    </row>
    <row r="3357" spans="1:4" x14ac:dyDescent="0.35">
      <c r="A3357" t="s">
        <v>268</v>
      </c>
      <c r="B3357" t="s">
        <v>269</v>
      </c>
      <c r="C3357">
        <v>2000</v>
      </c>
      <c r="D3357">
        <v>337</v>
      </c>
    </row>
    <row r="3358" spans="1:4" x14ac:dyDescent="0.35">
      <c r="A3358" t="s">
        <v>268</v>
      </c>
      <c r="B3358" t="s">
        <v>269</v>
      </c>
      <c r="C3358">
        <v>2001</v>
      </c>
      <c r="D3358">
        <v>300</v>
      </c>
    </row>
    <row r="3359" spans="1:4" x14ac:dyDescent="0.35">
      <c r="A3359" t="s">
        <v>268</v>
      </c>
      <c r="B3359" t="s">
        <v>269</v>
      </c>
      <c r="C3359">
        <v>2002</v>
      </c>
      <c r="D3359">
        <v>322</v>
      </c>
    </row>
    <row r="3360" spans="1:4" x14ac:dyDescent="0.35">
      <c r="A3360" t="s">
        <v>268</v>
      </c>
      <c r="B3360" t="s">
        <v>269</v>
      </c>
      <c r="C3360">
        <v>2003</v>
      </c>
      <c r="D3360">
        <v>351</v>
      </c>
    </row>
    <row r="3361" spans="1:4" x14ac:dyDescent="0.35">
      <c r="A3361" t="s">
        <v>268</v>
      </c>
      <c r="B3361" t="s">
        <v>269</v>
      </c>
      <c r="C3361">
        <v>2004</v>
      </c>
      <c r="D3361">
        <v>318</v>
      </c>
    </row>
    <row r="3362" spans="1:4" x14ac:dyDescent="0.35">
      <c r="A3362" t="s">
        <v>268</v>
      </c>
      <c r="B3362" t="s">
        <v>269</v>
      </c>
      <c r="C3362">
        <v>2005</v>
      </c>
      <c r="D3362">
        <v>306</v>
      </c>
    </row>
    <row r="3363" spans="1:4" x14ac:dyDescent="0.35">
      <c r="A3363" t="s">
        <v>268</v>
      </c>
      <c r="B3363" t="s">
        <v>269</v>
      </c>
      <c r="C3363">
        <v>2006</v>
      </c>
      <c r="D3363">
        <v>307</v>
      </c>
    </row>
    <row r="3364" spans="1:4" x14ac:dyDescent="0.35">
      <c r="A3364" t="s">
        <v>268</v>
      </c>
      <c r="B3364" t="s">
        <v>269</v>
      </c>
      <c r="C3364">
        <v>2007</v>
      </c>
      <c r="D3364">
        <v>327</v>
      </c>
    </row>
    <row r="3365" spans="1:4" x14ac:dyDescent="0.35">
      <c r="A3365" t="s">
        <v>268</v>
      </c>
      <c r="B3365" t="s">
        <v>269</v>
      </c>
      <c r="C3365">
        <v>2008</v>
      </c>
      <c r="D3365">
        <v>366</v>
      </c>
    </row>
    <row r="3366" spans="1:4" x14ac:dyDescent="0.35">
      <c r="A3366" t="s">
        <v>268</v>
      </c>
      <c r="B3366" t="s">
        <v>269</v>
      </c>
      <c r="C3366">
        <v>2009</v>
      </c>
      <c r="D3366">
        <v>412</v>
      </c>
    </row>
    <row r="3367" spans="1:4" x14ac:dyDescent="0.35">
      <c r="A3367" t="s">
        <v>268</v>
      </c>
      <c r="B3367" t="s">
        <v>269</v>
      </c>
      <c r="C3367">
        <v>2010</v>
      </c>
      <c r="D3367">
        <v>381</v>
      </c>
    </row>
    <row r="3368" spans="1:4" x14ac:dyDescent="0.35">
      <c r="A3368" t="s">
        <v>268</v>
      </c>
      <c r="B3368" t="s">
        <v>269</v>
      </c>
      <c r="C3368">
        <v>2011</v>
      </c>
      <c r="D3368">
        <v>323</v>
      </c>
    </row>
    <row r="3369" spans="1:4" x14ac:dyDescent="0.35">
      <c r="A3369" t="s">
        <v>268</v>
      </c>
      <c r="B3369" t="s">
        <v>269</v>
      </c>
      <c r="C3369">
        <v>2012</v>
      </c>
      <c r="D3369">
        <v>347</v>
      </c>
    </row>
    <row r="3370" spans="1:4" x14ac:dyDescent="0.35">
      <c r="A3370" t="s">
        <v>268</v>
      </c>
      <c r="B3370" t="s">
        <v>269</v>
      </c>
      <c r="C3370">
        <v>2013</v>
      </c>
      <c r="D3370">
        <v>353</v>
      </c>
    </row>
    <row r="3371" spans="1:4" x14ac:dyDescent="0.35">
      <c r="A3371" t="s">
        <v>268</v>
      </c>
      <c r="B3371" t="s">
        <v>269</v>
      </c>
      <c r="C3371">
        <v>2014</v>
      </c>
      <c r="D3371">
        <v>338</v>
      </c>
    </row>
    <row r="3372" spans="1:4" x14ac:dyDescent="0.35">
      <c r="A3372" t="s">
        <v>268</v>
      </c>
      <c r="B3372" t="s">
        <v>269</v>
      </c>
      <c r="C3372">
        <v>2015</v>
      </c>
      <c r="D3372">
        <v>416</v>
      </c>
    </row>
    <row r="3373" spans="1:4" x14ac:dyDescent="0.35">
      <c r="A3373" t="s">
        <v>268</v>
      </c>
      <c r="B3373" t="s">
        <v>269</v>
      </c>
      <c r="C3373">
        <v>2016</v>
      </c>
      <c r="D3373">
        <v>379</v>
      </c>
    </row>
    <row r="3374" spans="1:4" x14ac:dyDescent="0.35">
      <c r="A3374" t="s">
        <v>268</v>
      </c>
      <c r="B3374" t="s">
        <v>269</v>
      </c>
      <c r="C3374">
        <v>2017</v>
      </c>
      <c r="D3374">
        <v>384</v>
      </c>
    </row>
    <row r="3375" spans="1:4" x14ac:dyDescent="0.35">
      <c r="A3375" t="s">
        <v>268</v>
      </c>
      <c r="B3375" t="s">
        <v>269</v>
      </c>
      <c r="C3375">
        <v>2018</v>
      </c>
      <c r="D3375">
        <v>387</v>
      </c>
    </row>
    <row r="3376" spans="1:4" x14ac:dyDescent="0.35">
      <c r="A3376" t="s">
        <v>268</v>
      </c>
      <c r="B3376" t="s">
        <v>269</v>
      </c>
      <c r="C3376">
        <v>2019</v>
      </c>
      <c r="D3376">
        <v>372</v>
      </c>
    </row>
    <row r="3377" spans="1:4" x14ac:dyDescent="0.35">
      <c r="A3377" t="s">
        <v>268</v>
      </c>
      <c r="B3377" t="s">
        <v>269</v>
      </c>
      <c r="C3377">
        <v>2020</v>
      </c>
      <c r="D3377">
        <v>429</v>
      </c>
    </row>
    <row r="3378" spans="1:4" x14ac:dyDescent="0.35">
      <c r="A3378" t="s">
        <v>270</v>
      </c>
      <c r="B3378" t="s">
        <v>271</v>
      </c>
      <c r="C3378">
        <v>1900</v>
      </c>
      <c r="D3378">
        <v>1979</v>
      </c>
    </row>
    <row r="3379" spans="1:4" x14ac:dyDescent="0.35">
      <c r="A3379" t="s">
        <v>270</v>
      </c>
      <c r="B3379" t="s">
        <v>271</v>
      </c>
      <c r="C3379">
        <v>1901</v>
      </c>
      <c r="D3379">
        <v>2044</v>
      </c>
    </row>
    <row r="3380" spans="1:4" x14ac:dyDescent="0.35">
      <c r="A3380" t="s">
        <v>270</v>
      </c>
      <c r="B3380" t="s">
        <v>271</v>
      </c>
      <c r="C3380">
        <v>1902</v>
      </c>
      <c r="D3380">
        <v>2182</v>
      </c>
    </row>
    <row r="3381" spans="1:4" x14ac:dyDescent="0.35">
      <c r="A3381" t="s">
        <v>270</v>
      </c>
      <c r="B3381" t="s">
        <v>271</v>
      </c>
      <c r="C3381">
        <v>1903</v>
      </c>
      <c r="D3381">
        <v>2291</v>
      </c>
    </row>
    <row r="3382" spans="1:4" x14ac:dyDescent="0.35">
      <c r="A3382" t="s">
        <v>270</v>
      </c>
      <c r="B3382" t="s">
        <v>271</v>
      </c>
      <c r="C3382">
        <v>1904</v>
      </c>
      <c r="D3382">
        <v>2149</v>
      </c>
    </row>
    <row r="3383" spans="1:4" x14ac:dyDescent="0.35">
      <c r="A3383" t="s">
        <v>270</v>
      </c>
      <c r="B3383" t="s">
        <v>271</v>
      </c>
      <c r="C3383">
        <v>1905</v>
      </c>
      <c r="D3383">
        <v>2295</v>
      </c>
    </row>
    <row r="3384" spans="1:4" x14ac:dyDescent="0.35">
      <c r="A3384" t="s">
        <v>270</v>
      </c>
      <c r="B3384" t="s">
        <v>271</v>
      </c>
      <c r="C3384">
        <v>1906</v>
      </c>
      <c r="D3384">
        <v>2434</v>
      </c>
    </row>
    <row r="3385" spans="1:4" x14ac:dyDescent="0.35">
      <c r="A3385" t="s">
        <v>270</v>
      </c>
      <c r="B3385" t="s">
        <v>271</v>
      </c>
      <c r="C3385">
        <v>1907</v>
      </c>
      <c r="D3385">
        <v>2444</v>
      </c>
    </row>
    <row r="3386" spans="1:4" x14ac:dyDescent="0.35">
      <c r="A3386" t="s">
        <v>270</v>
      </c>
      <c r="B3386" t="s">
        <v>271</v>
      </c>
      <c r="C3386">
        <v>1908</v>
      </c>
      <c r="D3386">
        <v>2444</v>
      </c>
    </row>
    <row r="3387" spans="1:4" x14ac:dyDescent="0.35">
      <c r="A3387" t="s">
        <v>270</v>
      </c>
      <c r="B3387" t="s">
        <v>271</v>
      </c>
      <c r="C3387">
        <v>1909</v>
      </c>
      <c r="D3387">
        <v>2490</v>
      </c>
    </row>
    <row r="3388" spans="1:4" x14ac:dyDescent="0.35">
      <c r="A3388" t="s">
        <v>270</v>
      </c>
      <c r="B3388" t="s">
        <v>271</v>
      </c>
      <c r="C3388">
        <v>1910</v>
      </c>
      <c r="D3388">
        <v>2380</v>
      </c>
    </row>
    <row r="3389" spans="1:4" x14ac:dyDescent="0.35">
      <c r="A3389" t="s">
        <v>270</v>
      </c>
      <c r="B3389" t="s">
        <v>271</v>
      </c>
      <c r="C3389">
        <v>1911</v>
      </c>
      <c r="D3389">
        <v>2356</v>
      </c>
    </row>
    <row r="3390" spans="1:4" x14ac:dyDescent="0.35">
      <c r="A3390" t="s">
        <v>270</v>
      </c>
      <c r="B3390" t="s">
        <v>271</v>
      </c>
      <c r="C3390">
        <v>1912</v>
      </c>
      <c r="D3390">
        <v>2411</v>
      </c>
    </row>
    <row r="3391" spans="1:4" x14ac:dyDescent="0.35">
      <c r="A3391" t="s">
        <v>270</v>
      </c>
      <c r="B3391" t="s">
        <v>271</v>
      </c>
      <c r="C3391">
        <v>1913</v>
      </c>
      <c r="D3391">
        <v>2414</v>
      </c>
    </row>
    <row r="3392" spans="1:4" x14ac:dyDescent="0.35">
      <c r="A3392" t="s">
        <v>270</v>
      </c>
      <c r="B3392" t="s">
        <v>271</v>
      </c>
      <c r="C3392">
        <v>1914</v>
      </c>
      <c r="D3392">
        <v>2368</v>
      </c>
    </row>
    <row r="3393" spans="1:4" x14ac:dyDescent="0.35">
      <c r="A3393" t="s">
        <v>270</v>
      </c>
      <c r="B3393" t="s">
        <v>271</v>
      </c>
      <c r="C3393">
        <v>1915</v>
      </c>
      <c r="D3393">
        <v>2337</v>
      </c>
    </row>
    <row r="3394" spans="1:4" x14ac:dyDescent="0.35">
      <c r="A3394" t="s">
        <v>270</v>
      </c>
      <c r="B3394" t="s">
        <v>271</v>
      </c>
      <c r="C3394">
        <v>1916</v>
      </c>
      <c r="D3394">
        <v>2319</v>
      </c>
    </row>
    <row r="3395" spans="1:4" x14ac:dyDescent="0.35">
      <c r="A3395" t="s">
        <v>270</v>
      </c>
      <c r="B3395" t="s">
        <v>271</v>
      </c>
      <c r="C3395">
        <v>1917</v>
      </c>
      <c r="D3395">
        <v>2420</v>
      </c>
    </row>
    <row r="3396" spans="1:4" x14ac:dyDescent="0.35">
      <c r="A3396" t="s">
        <v>270</v>
      </c>
      <c r="B3396" t="s">
        <v>271</v>
      </c>
      <c r="C3396">
        <v>1918</v>
      </c>
      <c r="D3396">
        <v>2256</v>
      </c>
    </row>
    <row r="3397" spans="1:4" x14ac:dyDescent="0.35">
      <c r="A3397" t="s">
        <v>270</v>
      </c>
      <c r="B3397" t="s">
        <v>271</v>
      </c>
      <c r="C3397">
        <v>1919</v>
      </c>
      <c r="D3397">
        <v>2178</v>
      </c>
    </row>
    <row r="3398" spans="1:4" x14ac:dyDescent="0.35">
      <c r="A3398" t="s">
        <v>270</v>
      </c>
      <c r="B3398" t="s">
        <v>271</v>
      </c>
      <c r="C3398">
        <v>1920</v>
      </c>
      <c r="D3398">
        <v>2842</v>
      </c>
    </row>
    <row r="3399" spans="1:4" x14ac:dyDescent="0.35">
      <c r="A3399" t="s">
        <v>270</v>
      </c>
      <c r="B3399" t="s">
        <v>271</v>
      </c>
      <c r="C3399">
        <v>1921</v>
      </c>
      <c r="D3399">
        <v>2699</v>
      </c>
    </row>
    <row r="3400" spans="1:4" x14ac:dyDescent="0.35">
      <c r="A3400" t="s">
        <v>270</v>
      </c>
      <c r="B3400" t="s">
        <v>271</v>
      </c>
      <c r="C3400">
        <v>1922</v>
      </c>
      <c r="D3400">
        <v>2465</v>
      </c>
    </row>
    <row r="3401" spans="1:4" x14ac:dyDescent="0.35">
      <c r="A3401" t="s">
        <v>270</v>
      </c>
      <c r="B3401" t="s">
        <v>271</v>
      </c>
      <c r="C3401">
        <v>1923</v>
      </c>
      <c r="D3401">
        <v>2537</v>
      </c>
    </row>
    <row r="3402" spans="1:4" x14ac:dyDescent="0.35">
      <c r="A3402" t="s">
        <v>270</v>
      </c>
      <c r="B3402" t="s">
        <v>271</v>
      </c>
      <c r="C3402">
        <v>1924</v>
      </c>
      <c r="D3402">
        <v>2479</v>
      </c>
    </row>
    <row r="3403" spans="1:4" x14ac:dyDescent="0.35">
      <c r="A3403" t="s">
        <v>270</v>
      </c>
      <c r="B3403" t="s">
        <v>271</v>
      </c>
      <c r="C3403">
        <v>1925</v>
      </c>
      <c r="D3403">
        <v>2395</v>
      </c>
    </row>
    <row r="3404" spans="1:4" x14ac:dyDescent="0.35">
      <c r="A3404" t="s">
        <v>270</v>
      </c>
      <c r="B3404" t="s">
        <v>271</v>
      </c>
      <c r="C3404">
        <v>1926</v>
      </c>
      <c r="D3404">
        <v>2355</v>
      </c>
    </row>
    <row r="3405" spans="1:4" x14ac:dyDescent="0.35">
      <c r="A3405" t="s">
        <v>270</v>
      </c>
      <c r="B3405" t="s">
        <v>271</v>
      </c>
      <c r="C3405">
        <v>1927</v>
      </c>
      <c r="D3405">
        <v>2380</v>
      </c>
    </row>
    <row r="3406" spans="1:4" x14ac:dyDescent="0.35">
      <c r="A3406" t="s">
        <v>270</v>
      </c>
      <c r="B3406" t="s">
        <v>271</v>
      </c>
      <c r="C3406">
        <v>1928</v>
      </c>
      <c r="D3406">
        <v>2471</v>
      </c>
    </row>
    <row r="3407" spans="1:4" x14ac:dyDescent="0.35">
      <c r="A3407" t="s">
        <v>270</v>
      </c>
      <c r="B3407" t="s">
        <v>271</v>
      </c>
      <c r="C3407">
        <v>1929</v>
      </c>
      <c r="D3407">
        <v>2402</v>
      </c>
    </row>
    <row r="3408" spans="1:4" x14ac:dyDescent="0.35">
      <c r="A3408" t="s">
        <v>270</v>
      </c>
      <c r="B3408" t="s">
        <v>271</v>
      </c>
      <c r="C3408">
        <v>1930</v>
      </c>
      <c r="D3408">
        <v>2357</v>
      </c>
    </row>
    <row r="3409" spans="1:4" x14ac:dyDescent="0.35">
      <c r="A3409" t="s">
        <v>270</v>
      </c>
      <c r="B3409" t="s">
        <v>271</v>
      </c>
      <c r="C3409">
        <v>1931</v>
      </c>
      <c r="D3409">
        <v>2365</v>
      </c>
    </row>
    <row r="3410" spans="1:4" x14ac:dyDescent="0.35">
      <c r="A3410" t="s">
        <v>270</v>
      </c>
      <c r="B3410" t="s">
        <v>271</v>
      </c>
      <c r="C3410">
        <v>1932</v>
      </c>
      <c r="D3410">
        <v>2401</v>
      </c>
    </row>
    <row r="3411" spans="1:4" x14ac:dyDescent="0.35">
      <c r="A3411" t="s">
        <v>270</v>
      </c>
      <c r="B3411" t="s">
        <v>271</v>
      </c>
      <c r="C3411">
        <v>1933</v>
      </c>
      <c r="D3411">
        <v>2253</v>
      </c>
    </row>
    <row r="3412" spans="1:4" x14ac:dyDescent="0.35">
      <c r="A3412" t="s">
        <v>270</v>
      </c>
      <c r="B3412" t="s">
        <v>271</v>
      </c>
      <c r="C3412">
        <v>1934</v>
      </c>
      <c r="D3412">
        <v>2289</v>
      </c>
    </row>
    <row r="3413" spans="1:4" x14ac:dyDescent="0.35">
      <c r="A3413" t="s">
        <v>270</v>
      </c>
      <c r="B3413" t="s">
        <v>271</v>
      </c>
      <c r="C3413">
        <v>1935</v>
      </c>
      <c r="D3413">
        <v>2187</v>
      </c>
    </row>
    <row r="3414" spans="1:4" x14ac:dyDescent="0.35">
      <c r="A3414" t="s">
        <v>270</v>
      </c>
      <c r="B3414" t="s">
        <v>271</v>
      </c>
      <c r="C3414">
        <v>1936</v>
      </c>
      <c r="D3414">
        <v>2185</v>
      </c>
    </row>
    <row r="3415" spans="1:4" x14ac:dyDescent="0.35">
      <c r="A3415" t="s">
        <v>270</v>
      </c>
      <c r="B3415" t="s">
        <v>271</v>
      </c>
      <c r="C3415">
        <v>1937</v>
      </c>
      <c r="D3415">
        <v>2204</v>
      </c>
    </row>
    <row r="3416" spans="1:4" x14ac:dyDescent="0.35">
      <c r="A3416" t="s">
        <v>270</v>
      </c>
      <c r="B3416" t="s">
        <v>271</v>
      </c>
      <c r="C3416">
        <v>1938</v>
      </c>
      <c r="D3416">
        <v>2259</v>
      </c>
    </row>
    <row r="3417" spans="1:4" x14ac:dyDescent="0.35">
      <c r="A3417" t="s">
        <v>270</v>
      </c>
      <c r="B3417" t="s">
        <v>271</v>
      </c>
      <c r="C3417">
        <v>1939</v>
      </c>
      <c r="D3417">
        <v>2363</v>
      </c>
    </row>
    <row r="3418" spans="1:4" x14ac:dyDescent="0.35">
      <c r="A3418" t="s">
        <v>270</v>
      </c>
      <c r="B3418" t="s">
        <v>271</v>
      </c>
      <c r="C3418">
        <v>1940</v>
      </c>
      <c r="D3418">
        <v>2394</v>
      </c>
    </row>
    <row r="3419" spans="1:4" x14ac:dyDescent="0.35">
      <c r="A3419" t="s">
        <v>270</v>
      </c>
      <c r="B3419" t="s">
        <v>271</v>
      </c>
      <c r="C3419">
        <v>1941</v>
      </c>
      <c r="D3419">
        <v>2165</v>
      </c>
    </row>
    <row r="3420" spans="1:4" x14ac:dyDescent="0.35">
      <c r="A3420" t="s">
        <v>270</v>
      </c>
      <c r="B3420" t="s">
        <v>271</v>
      </c>
      <c r="C3420">
        <v>1942</v>
      </c>
      <c r="D3420">
        <v>2216</v>
      </c>
    </row>
    <row r="3421" spans="1:4" x14ac:dyDescent="0.35">
      <c r="A3421" t="s">
        <v>270</v>
      </c>
      <c r="B3421" t="s">
        <v>271</v>
      </c>
      <c r="C3421">
        <v>1943</v>
      </c>
      <c r="D3421">
        <v>2590</v>
      </c>
    </row>
    <row r="3422" spans="1:4" x14ac:dyDescent="0.35">
      <c r="A3422" t="s">
        <v>270</v>
      </c>
      <c r="B3422" t="s">
        <v>271</v>
      </c>
      <c r="C3422">
        <v>1944</v>
      </c>
      <c r="D3422">
        <v>2665</v>
      </c>
    </row>
    <row r="3423" spans="1:4" x14ac:dyDescent="0.35">
      <c r="A3423" t="s">
        <v>270</v>
      </c>
      <c r="B3423" t="s">
        <v>271</v>
      </c>
      <c r="C3423">
        <v>1945</v>
      </c>
      <c r="D3423">
        <v>2283</v>
      </c>
    </row>
    <row r="3424" spans="1:4" x14ac:dyDescent="0.35">
      <c r="A3424" t="s">
        <v>270</v>
      </c>
      <c r="B3424" t="s">
        <v>271</v>
      </c>
      <c r="C3424">
        <v>1946</v>
      </c>
      <c r="D3424">
        <v>3469</v>
      </c>
    </row>
    <row r="3425" spans="1:6" x14ac:dyDescent="0.35">
      <c r="A3425" t="s">
        <v>270</v>
      </c>
      <c r="B3425" t="s">
        <v>271</v>
      </c>
      <c r="C3425">
        <v>1947</v>
      </c>
      <c r="D3425">
        <v>3356</v>
      </c>
    </row>
    <row r="3426" spans="1:6" x14ac:dyDescent="0.35">
      <c r="A3426" t="s">
        <v>270</v>
      </c>
      <c r="B3426" t="s">
        <v>271</v>
      </c>
      <c r="C3426">
        <v>1948</v>
      </c>
      <c r="D3426">
        <v>3122</v>
      </c>
    </row>
    <row r="3427" spans="1:6" x14ac:dyDescent="0.35">
      <c r="A3427" t="s">
        <v>270</v>
      </c>
      <c r="B3427" t="s">
        <v>271</v>
      </c>
      <c r="C3427">
        <v>1949</v>
      </c>
      <c r="D3427">
        <v>3175</v>
      </c>
    </row>
    <row r="3428" spans="1:6" x14ac:dyDescent="0.35">
      <c r="A3428" t="s">
        <v>270</v>
      </c>
      <c r="B3428" t="s">
        <v>271</v>
      </c>
      <c r="C3428">
        <v>1950</v>
      </c>
      <c r="D3428">
        <v>2878</v>
      </c>
      <c r="F3428">
        <v>228383</v>
      </c>
    </row>
    <row r="3429" spans="1:6" x14ac:dyDescent="0.35">
      <c r="A3429" t="s">
        <v>270</v>
      </c>
      <c r="B3429" t="s">
        <v>271</v>
      </c>
      <c r="C3429">
        <v>1951</v>
      </c>
      <c r="D3429">
        <v>2872</v>
      </c>
      <c r="F3429">
        <v>226838</v>
      </c>
    </row>
    <row r="3430" spans="1:6" x14ac:dyDescent="0.35">
      <c r="A3430" t="s">
        <v>270</v>
      </c>
      <c r="B3430" t="s">
        <v>271</v>
      </c>
      <c r="C3430">
        <v>1952</v>
      </c>
      <c r="D3430">
        <v>2900</v>
      </c>
      <c r="F3430">
        <v>230275</v>
      </c>
    </row>
    <row r="3431" spans="1:6" x14ac:dyDescent="0.35">
      <c r="A3431" t="s">
        <v>270</v>
      </c>
      <c r="B3431" t="s">
        <v>271</v>
      </c>
      <c r="C3431">
        <v>1953</v>
      </c>
      <c r="D3431">
        <v>2894</v>
      </c>
      <c r="F3431">
        <v>226129</v>
      </c>
    </row>
    <row r="3432" spans="1:6" x14ac:dyDescent="0.35">
      <c r="A3432" t="s">
        <v>270</v>
      </c>
      <c r="B3432" t="s">
        <v>271</v>
      </c>
      <c r="C3432">
        <v>1954</v>
      </c>
      <c r="D3432">
        <v>2943</v>
      </c>
      <c r="F3432">
        <v>226263</v>
      </c>
    </row>
    <row r="3433" spans="1:6" x14ac:dyDescent="0.35">
      <c r="A3433" t="s">
        <v>270</v>
      </c>
      <c r="B3433" t="s">
        <v>271</v>
      </c>
      <c r="C3433">
        <v>1955</v>
      </c>
      <c r="D3433">
        <v>2958</v>
      </c>
      <c r="F3433">
        <v>227185</v>
      </c>
    </row>
    <row r="3434" spans="1:6" x14ac:dyDescent="0.35">
      <c r="A3434" t="s">
        <v>270</v>
      </c>
      <c r="B3434" t="s">
        <v>271</v>
      </c>
      <c r="C3434">
        <v>1956</v>
      </c>
      <c r="D3434">
        <v>2969</v>
      </c>
      <c r="F3434">
        <v>229401</v>
      </c>
    </row>
    <row r="3435" spans="1:6" x14ac:dyDescent="0.35">
      <c r="A3435" t="s">
        <v>270</v>
      </c>
      <c r="B3435" t="s">
        <v>271</v>
      </c>
      <c r="C3435">
        <v>1957</v>
      </c>
      <c r="D3435">
        <v>2934</v>
      </c>
      <c r="F3435">
        <v>231963</v>
      </c>
    </row>
    <row r="3436" spans="1:6" x14ac:dyDescent="0.35">
      <c r="A3436" t="s">
        <v>270</v>
      </c>
      <c r="B3436" t="s">
        <v>271</v>
      </c>
      <c r="C3436">
        <v>1958</v>
      </c>
      <c r="D3436">
        <v>2990</v>
      </c>
      <c r="F3436">
        <v>234817</v>
      </c>
    </row>
    <row r="3437" spans="1:6" x14ac:dyDescent="0.35">
      <c r="A3437" t="s">
        <v>270</v>
      </c>
      <c r="B3437" t="s">
        <v>271</v>
      </c>
      <c r="C3437">
        <v>1959</v>
      </c>
      <c r="D3437">
        <v>3003</v>
      </c>
      <c r="F3437">
        <v>240306</v>
      </c>
    </row>
    <row r="3438" spans="1:6" x14ac:dyDescent="0.35">
      <c r="A3438" t="s">
        <v>270</v>
      </c>
      <c r="B3438" t="s">
        <v>271</v>
      </c>
      <c r="C3438">
        <v>1960</v>
      </c>
      <c r="D3438">
        <v>2952</v>
      </c>
      <c r="F3438">
        <v>236763</v>
      </c>
    </row>
    <row r="3439" spans="1:6" x14ac:dyDescent="0.35">
      <c r="A3439" t="s">
        <v>270</v>
      </c>
      <c r="B3439" t="s">
        <v>271</v>
      </c>
      <c r="C3439">
        <v>1961</v>
      </c>
      <c r="D3439">
        <v>2995</v>
      </c>
      <c r="F3439">
        <v>245078</v>
      </c>
    </row>
    <row r="3440" spans="1:6" x14ac:dyDescent="0.35">
      <c r="A3440" t="s">
        <v>270</v>
      </c>
      <c r="B3440" t="s">
        <v>271</v>
      </c>
      <c r="C3440">
        <v>1962</v>
      </c>
      <c r="D3440">
        <v>3065</v>
      </c>
      <c r="F3440">
        <v>243575</v>
      </c>
    </row>
    <row r="3441" spans="1:6" x14ac:dyDescent="0.35">
      <c r="A3441" t="s">
        <v>270</v>
      </c>
      <c r="B3441" t="s">
        <v>271</v>
      </c>
      <c r="C3441">
        <v>1963</v>
      </c>
      <c r="D3441">
        <v>3015</v>
      </c>
      <c r="F3441">
        <v>247398</v>
      </c>
    </row>
    <row r="3442" spans="1:6" x14ac:dyDescent="0.35">
      <c r="A3442" t="s">
        <v>270</v>
      </c>
      <c r="B3442" t="s">
        <v>271</v>
      </c>
      <c r="C3442">
        <v>1964</v>
      </c>
      <c r="D3442">
        <v>2901</v>
      </c>
      <c r="F3442">
        <v>248421</v>
      </c>
    </row>
    <row r="3443" spans="1:6" x14ac:dyDescent="0.35">
      <c r="A3443" t="s">
        <v>270</v>
      </c>
      <c r="B3443" t="s">
        <v>271</v>
      </c>
      <c r="C3443">
        <v>1965</v>
      </c>
      <c r="D3443">
        <v>2784</v>
      </c>
      <c r="F3443">
        <v>242849</v>
      </c>
    </row>
    <row r="3444" spans="1:6" x14ac:dyDescent="0.35">
      <c r="A3444" t="s">
        <v>270</v>
      </c>
      <c r="B3444" t="s">
        <v>271</v>
      </c>
      <c r="C3444">
        <v>1966</v>
      </c>
      <c r="D3444">
        <v>2626</v>
      </c>
      <c r="F3444">
        <v>237424</v>
      </c>
    </row>
    <row r="3445" spans="1:6" x14ac:dyDescent="0.35">
      <c r="A3445" t="s">
        <v>270</v>
      </c>
      <c r="B3445" t="s">
        <v>271</v>
      </c>
      <c r="C3445">
        <v>1967</v>
      </c>
      <c r="D3445">
        <v>2595</v>
      </c>
      <c r="F3445">
        <v>236346</v>
      </c>
    </row>
    <row r="3446" spans="1:6" x14ac:dyDescent="0.35">
      <c r="A3446" t="s">
        <v>270</v>
      </c>
      <c r="B3446" t="s">
        <v>271</v>
      </c>
      <c r="C3446">
        <v>1968</v>
      </c>
      <c r="D3446">
        <v>2494</v>
      </c>
      <c r="F3446">
        <v>234757</v>
      </c>
    </row>
    <row r="3447" spans="1:6" x14ac:dyDescent="0.35">
      <c r="A3447" t="s">
        <v>270</v>
      </c>
      <c r="B3447" t="s">
        <v>271</v>
      </c>
      <c r="C3447">
        <v>1969</v>
      </c>
      <c r="D3447">
        <v>2593</v>
      </c>
      <c r="F3447">
        <v>245087</v>
      </c>
    </row>
    <row r="3448" spans="1:6" x14ac:dyDescent="0.35">
      <c r="A3448" t="s">
        <v>270</v>
      </c>
      <c r="B3448" t="s">
        <v>271</v>
      </c>
      <c r="C3448">
        <v>1970</v>
      </c>
      <c r="D3448">
        <v>2365</v>
      </c>
      <c r="F3448">
        <v>236716</v>
      </c>
    </row>
    <row r="3449" spans="1:6" x14ac:dyDescent="0.35">
      <c r="A3449" t="s">
        <v>270</v>
      </c>
      <c r="B3449" t="s">
        <v>271</v>
      </c>
      <c r="C3449">
        <v>1971</v>
      </c>
      <c r="D3449">
        <v>2303</v>
      </c>
      <c r="F3449">
        <v>224838</v>
      </c>
    </row>
    <row r="3450" spans="1:6" x14ac:dyDescent="0.35">
      <c r="A3450" t="s">
        <v>270</v>
      </c>
      <c r="B3450" t="s">
        <v>271</v>
      </c>
      <c r="C3450">
        <v>1972</v>
      </c>
      <c r="D3450">
        <v>2218</v>
      </c>
      <c r="F3450">
        <v>211631</v>
      </c>
    </row>
    <row r="3451" spans="1:6" x14ac:dyDescent="0.35">
      <c r="A3451" t="s">
        <v>270</v>
      </c>
      <c r="B3451" t="s">
        <v>271</v>
      </c>
      <c r="C3451">
        <v>1973</v>
      </c>
      <c r="D3451">
        <v>2006</v>
      </c>
      <c r="F3451">
        <v>192691</v>
      </c>
    </row>
    <row r="3452" spans="1:6" x14ac:dyDescent="0.35">
      <c r="A3452" t="s">
        <v>270</v>
      </c>
      <c r="B3452" t="s">
        <v>271</v>
      </c>
      <c r="C3452">
        <v>1974</v>
      </c>
      <c r="D3452">
        <v>1802</v>
      </c>
      <c r="F3452">
        <v>183949</v>
      </c>
    </row>
    <row r="3453" spans="1:6" x14ac:dyDescent="0.35">
      <c r="A3453" t="s">
        <v>270</v>
      </c>
      <c r="B3453" t="s">
        <v>271</v>
      </c>
      <c r="C3453">
        <v>1975</v>
      </c>
      <c r="D3453">
        <v>1715</v>
      </c>
      <c r="F3453">
        <v>175733</v>
      </c>
    </row>
    <row r="3454" spans="1:6" x14ac:dyDescent="0.35">
      <c r="A3454" t="s">
        <v>270</v>
      </c>
      <c r="B3454" t="s">
        <v>271</v>
      </c>
      <c r="C3454">
        <v>1976</v>
      </c>
      <c r="D3454">
        <v>1827</v>
      </c>
      <c r="F3454">
        <v>174780</v>
      </c>
    </row>
    <row r="3455" spans="1:6" x14ac:dyDescent="0.35">
      <c r="A3455" t="s">
        <v>270</v>
      </c>
      <c r="B3455" t="s">
        <v>271</v>
      </c>
      <c r="C3455">
        <v>1977</v>
      </c>
      <c r="D3455">
        <v>1796</v>
      </c>
      <c r="F3455">
        <v>170930</v>
      </c>
    </row>
    <row r="3456" spans="1:6" x14ac:dyDescent="0.35">
      <c r="A3456" t="s">
        <v>270</v>
      </c>
      <c r="B3456" t="s">
        <v>271</v>
      </c>
      <c r="C3456">
        <v>1978</v>
      </c>
      <c r="D3456">
        <v>1744</v>
      </c>
      <c r="F3456">
        <v>173233</v>
      </c>
    </row>
    <row r="3457" spans="1:6" x14ac:dyDescent="0.35">
      <c r="A3457" t="s">
        <v>270</v>
      </c>
      <c r="B3457" t="s">
        <v>271</v>
      </c>
      <c r="C3457">
        <v>1979</v>
      </c>
      <c r="D3457">
        <v>1832</v>
      </c>
      <c r="F3457">
        <v>172492</v>
      </c>
    </row>
    <row r="3458" spans="1:6" x14ac:dyDescent="0.35">
      <c r="A3458" t="s">
        <v>270</v>
      </c>
      <c r="B3458" t="s">
        <v>271</v>
      </c>
      <c r="C3458">
        <v>1980</v>
      </c>
      <c r="D3458">
        <v>1927</v>
      </c>
      <c r="F3458">
        <v>178565</v>
      </c>
    </row>
    <row r="3459" spans="1:6" x14ac:dyDescent="0.35">
      <c r="A3459" t="s">
        <v>270</v>
      </c>
      <c r="B3459" t="s">
        <v>271</v>
      </c>
      <c r="C3459">
        <v>1981</v>
      </c>
      <c r="D3459">
        <v>1932</v>
      </c>
      <c r="F3459">
        <v>175727</v>
      </c>
    </row>
    <row r="3460" spans="1:6" x14ac:dyDescent="0.35">
      <c r="A3460" t="s">
        <v>270</v>
      </c>
      <c r="B3460" t="s">
        <v>271</v>
      </c>
      <c r="C3460">
        <v>1982</v>
      </c>
      <c r="D3460">
        <v>1854</v>
      </c>
      <c r="F3460">
        <v>169268</v>
      </c>
    </row>
    <row r="3461" spans="1:6" x14ac:dyDescent="0.35">
      <c r="A3461" t="s">
        <v>270</v>
      </c>
      <c r="B3461" t="s">
        <v>271</v>
      </c>
      <c r="C3461">
        <v>1983</v>
      </c>
      <c r="D3461">
        <v>1830</v>
      </c>
      <c r="F3461">
        <v>167521</v>
      </c>
    </row>
    <row r="3462" spans="1:6" x14ac:dyDescent="0.35">
      <c r="A3462" t="s">
        <v>270</v>
      </c>
      <c r="B3462" t="s">
        <v>271</v>
      </c>
      <c r="C3462">
        <v>1984</v>
      </c>
      <c r="D3462">
        <v>1991</v>
      </c>
      <c r="F3462">
        <v>171385</v>
      </c>
    </row>
    <row r="3463" spans="1:6" x14ac:dyDescent="0.35">
      <c r="A3463" t="s">
        <v>270</v>
      </c>
      <c r="B3463" t="s">
        <v>271</v>
      </c>
      <c r="C3463">
        <v>1985</v>
      </c>
      <c r="D3463">
        <v>2058</v>
      </c>
      <c r="F3463">
        <v>174977</v>
      </c>
    </row>
    <row r="3464" spans="1:6" x14ac:dyDescent="0.35">
      <c r="A3464" t="s">
        <v>270</v>
      </c>
      <c r="B3464" t="s">
        <v>271</v>
      </c>
      <c r="C3464">
        <v>1986</v>
      </c>
      <c r="D3464">
        <v>2194</v>
      </c>
      <c r="F3464">
        <v>181087</v>
      </c>
    </row>
    <row r="3465" spans="1:6" x14ac:dyDescent="0.35">
      <c r="A3465" t="s">
        <v>270</v>
      </c>
      <c r="B3465" t="s">
        <v>271</v>
      </c>
      <c r="C3465">
        <v>1987</v>
      </c>
      <c r="D3465">
        <v>2250</v>
      </c>
      <c r="F3465">
        <v>183036</v>
      </c>
    </row>
    <row r="3466" spans="1:6" x14ac:dyDescent="0.35">
      <c r="A3466" t="s">
        <v>270</v>
      </c>
      <c r="B3466" t="s">
        <v>271</v>
      </c>
      <c r="C3466">
        <v>1988</v>
      </c>
      <c r="D3466">
        <v>2346</v>
      </c>
      <c r="F3466">
        <v>182845</v>
      </c>
    </row>
    <row r="3467" spans="1:6" x14ac:dyDescent="0.35">
      <c r="A3467" t="s">
        <v>270</v>
      </c>
      <c r="B3467" t="s">
        <v>271</v>
      </c>
      <c r="C3467">
        <v>1989</v>
      </c>
      <c r="D3467">
        <v>2480</v>
      </c>
      <c r="F3467">
        <v>184881</v>
      </c>
    </row>
    <row r="3468" spans="1:6" x14ac:dyDescent="0.35">
      <c r="A3468" t="s">
        <v>270</v>
      </c>
      <c r="B3468" t="s">
        <v>271</v>
      </c>
      <c r="C3468">
        <v>1990</v>
      </c>
      <c r="D3468">
        <v>2690</v>
      </c>
      <c r="F3468">
        <v>193363</v>
      </c>
    </row>
    <row r="3469" spans="1:6" x14ac:dyDescent="0.35">
      <c r="A3469" t="s">
        <v>270</v>
      </c>
      <c r="B3469" t="s">
        <v>271</v>
      </c>
      <c r="C3469">
        <v>1991</v>
      </c>
      <c r="D3469">
        <v>2794</v>
      </c>
      <c r="F3469">
        <v>193780</v>
      </c>
    </row>
    <row r="3470" spans="1:6" x14ac:dyDescent="0.35">
      <c r="A3470" t="s">
        <v>270</v>
      </c>
      <c r="B3470" t="s">
        <v>271</v>
      </c>
      <c r="C3470">
        <v>1992</v>
      </c>
      <c r="D3470">
        <v>2789</v>
      </c>
      <c r="F3470">
        <v>191929</v>
      </c>
    </row>
    <row r="3471" spans="1:6" x14ac:dyDescent="0.35">
      <c r="A3471" t="s">
        <v>270</v>
      </c>
      <c r="B3471" t="s">
        <v>271</v>
      </c>
      <c r="C3471">
        <v>1993</v>
      </c>
      <c r="D3471">
        <v>2825</v>
      </c>
      <c r="F3471">
        <v>190898</v>
      </c>
    </row>
    <row r="3472" spans="1:6" x14ac:dyDescent="0.35">
      <c r="A3472" t="s">
        <v>270</v>
      </c>
      <c r="B3472" t="s">
        <v>271</v>
      </c>
      <c r="C3472">
        <v>1994</v>
      </c>
      <c r="D3472">
        <v>2818</v>
      </c>
      <c r="F3472">
        <v>190695</v>
      </c>
    </row>
    <row r="3473" spans="1:6" x14ac:dyDescent="0.35">
      <c r="A3473" t="s">
        <v>270</v>
      </c>
      <c r="B3473" t="s">
        <v>271</v>
      </c>
      <c r="C3473">
        <v>1995</v>
      </c>
      <c r="D3473">
        <v>3070</v>
      </c>
      <c r="F3473">
        <v>185050</v>
      </c>
    </row>
    <row r="3474" spans="1:6" x14ac:dyDescent="0.35">
      <c r="A3474" t="s">
        <v>270</v>
      </c>
      <c r="B3474" t="s">
        <v>271</v>
      </c>
      <c r="C3474">
        <v>1996</v>
      </c>
      <c r="D3474">
        <v>3197</v>
      </c>
      <c r="F3474">
        <v>183738</v>
      </c>
    </row>
    <row r="3475" spans="1:6" x14ac:dyDescent="0.35">
      <c r="A3475" t="s">
        <v>270</v>
      </c>
      <c r="B3475" t="s">
        <v>271</v>
      </c>
      <c r="C3475">
        <v>1997</v>
      </c>
      <c r="D3475">
        <v>3245</v>
      </c>
      <c r="F3475">
        <v>186701</v>
      </c>
    </row>
    <row r="3476" spans="1:6" x14ac:dyDescent="0.35">
      <c r="A3476" t="s">
        <v>270</v>
      </c>
      <c r="B3476" t="s">
        <v>271</v>
      </c>
      <c r="C3476">
        <v>1998</v>
      </c>
      <c r="D3476">
        <v>3556</v>
      </c>
      <c r="F3476">
        <v>193052</v>
      </c>
    </row>
    <row r="3477" spans="1:6" x14ac:dyDescent="0.35">
      <c r="A3477" t="s">
        <v>270</v>
      </c>
      <c r="B3477" t="s">
        <v>271</v>
      </c>
      <c r="C3477">
        <v>1999</v>
      </c>
      <c r="D3477">
        <v>3634</v>
      </c>
      <c r="F3477">
        <v>193924</v>
      </c>
    </row>
    <row r="3478" spans="1:6" x14ac:dyDescent="0.35">
      <c r="A3478" t="s">
        <v>270</v>
      </c>
      <c r="B3478" t="s">
        <v>271</v>
      </c>
      <c r="C3478">
        <v>2000</v>
      </c>
      <c r="D3478">
        <v>3639</v>
      </c>
      <c r="F3478">
        <v>200172</v>
      </c>
    </row>
    <row r="3479" spans="1:6" x14ac:dyDescent="0.35">
      <c r="A3479" t="s">
        <v>270</v>
      </c>
      <c r="B3479" t="s">
        <v>271</v>
      </c>
      <c r="C3479">
        <v>2001</v>
      </c>
      <c r="D3479">
        <v>3695</v>
      </c>
      <c r="F3479">
        <v>196109</v>
      </c>
    </row>
    <row r="3480" spans="1:6" x14ac:dyDescent="0.35">
      <c r="A3480" t="s">
        <v>270</v>
      </c>
      <c r="B3480" t="s">
        <v>271</v>
      </c>
      <c r="C3480">
        <v>2002</v>
      </c>
      <c r="D3480">
        <v>3707</v>
      </c>
      <c r="F3480">
        <v>195436</v>
      </c>
    </row>
    <row r="3481" spans="1:6" x14ac:dyDescent="0.35">
      <c r="A3481" t="s">
        <v>270</v>
      </c>
      <c r="B3481" t="s">
        <v>271</v>
      </c>
      <c r="C3481">
        <v>2003</v>
      </c>
      <c r="D3481">
        <v>3616</v>
      </c>
      <c r="F3481">
        <v>193786</v>
      </c>
    </row>
    <row r="3482" spans="1:6" x14ac:dyDescent="0.35">
      <c r="A3482" t="s">
        <v>270</v>
      </c>
      <c r="B3482" t="s">
        <v>271</v>
      </c>
      <c r="C3482">
        <v>2004</v>
      </c>
      <c r="D3482">
        <v>3523</v>
      </c>
      <c r="F3482">
        <v>187571</v>
      </c>
    </row>
    <row r="3483" spans="1:6" x14ac:dyDescent="0.35">
      <c r="A3483" t="s">
        <v>270</v>
      </c>
      <c r="B3483" t="s">
        <v>271</v>
      </c>
      <c r="C3483">
        <v>2005</v>
      </c>
      <c r="D3483">
        <v>3448</v>
      </c>
      <c r="F3483">
        <v>181655</v>
      </c>
    </row>
    <row r="3484" spans="1:6" x14ac:dyDescent="0.35">
      <c r="A3484" t="s">
        <v>270</v>
      </c>
      <c r="B3484" t="s">
        <v>271</v>
      </c>
      <c r="C3484">
        <v>2006</v>
      </c>
      <c r="D3484">
        <v>3210</v>
      </c>
      <c r="F3484">
        <v>179204</v>
      </c>
    </row>
    <row r="3485" spans="1:6" x14ac:dyDescent="0.35">
      <c r="A3485" t="s">
        <v>270</v>
      </c>
      <c r="B3485" t="s">
        <v>271</v>
      </c>
      <c r="C3485">
        <v>2007</v>
      </c>
      <c r="D3485">
        <v>3023</v>
      </c>
      <c r="F3485">
        <v>175788</v>
      </c>
    </row>
    <row r="3486" spans="1:6" x14ac:dyDescent="0.35">
      <c r="A3486" t="s">
        <v>270</v>
      </c>
      <c r="B3486" t="s">
        <v>271</v>
      </c>
      <c r="C3486">
        <v>2008</v>
      </c>
      <c r="D3486">
        <v>3189</v>
      </c>
      <c r="F3486">
        <v>178770</v>
      </c>
    </row>
    <row r="3487" spans="1:6" x14ac:dyDescent="0.35">
      <c r="A3487" t="s">
        <v>270</v>
      </c>
      <c r="B3487" t="s">
        <v>271</v>
      </c>
      <c r="C3487">
        <v>2009</v>
      </c>
      <c r="D3487">
        <v>3153</v>
      </c>
      <c r="F3487">
        <v>178989</v>
      </c>
    </row>
    <row r="3488" spans="1:6" x14ac:dyDescent="0.35">
      <c r="A3488" t="s">
        <v>270</v>
      </c>
      <c r="B3488" t="s">
        <v>271</v>
      </c>
      <c r="C3488">
        <v>2010</v>
      </c>
      <c r="D3488">
        <v>2974</v>
      </c>
      <c r="F3488">
        <v>178819</v>
      </c>
    </row>
    <row r="3489" spans="1:6" x14ac:dyDescent="0.35">
      <c r="A3489" t="s">
        <v>270</v>
      </c>
      <c r="B3489" t="s">
        <v>271</v>
      </c>
      <c r="C3489">
        <v>2011</v>
      </c>
      <c r="D3489">
        <v>2825</v>
      </c>
      <c r="F3489">
        <v>174778</v>
      </c>
    </row>
    <row r="3490" spans="1:6" x14ac:dyDescent="0.35">
      <c r="A3490" t="s">
        <v>270</v>
      </c>
      <c r="B3490" t="s">
        <v>271</v>
      </c>
      <c r="C3490">
        <v>2012</v>
      </c>
      <c r="D3490">
        <v>2893</v>
      </c>
      <c r="F3490">
        <v>170487</v>
      </c>
    </row>
    <row r="3491" spans="1:6" x14ac:dyDescent="0.35">
      <c r="A3491" t="s">
        <v>270</v>
      </c>
      <c r="B3491" t="s">
        <v>271</v>
      </c>
      <c r="C3491">
        <v>2013</v>
      </c>
      <c r="D3491">
        <v>2788</v>
      </c>
      <c r="F3491">
        <v>166050</v>
      </c>
    </row>
    <row r="3492" spans="1:6" x14ac:dyDescent="0.35">
      <c r="A3492" t="s">
        <v>270</v>
      </c>
      <c r="B3492" t="s">
        <v>271</v>
      </c>
      <c r="C3492">
        <v>2014</v>
      </c>
      <c r="D3492">
        <v>2668</v>
      </c>
      <c r="F3492">
        <v>170108</v>
      </c>
    </row>
    <row r="3493" spans="1:6" x14ac:dyDescent="0.35">
      <c r="A3493" t="s">
        <v>270</v>
      </c>
      <c r="B3493" t="s">
        <v>271</v>
      </c>
      <c r="C3493">
        <v>2015</v>
      </c>
      <c r="D3493">
        <v>2639</v>
      </c>
      <c r="F3493">
        <v>165502</v>
      </c>
    </row>
    <row r="3494" spans="1:6" x14ac:dyDescent="0.35">
      <c r="A3494" t="s">
        <v>270</v>
      </c>
      <c r="B3494" t="s">
        <v>271</v>
      </c>
      <c r="C3494">
        <v>2016</v>
      </c>
      <c r="D3494">
        <v>2534</v>
      </c>
      <c r="F3494">
        <v>167756</v>
      </c>
    </row>
    <row r="3495" spans="1:6" x14ac:dyDescent="0.35">
      <c r="A3495" t="s">
        <v>270</v>
      </c>
      <c r="B3495" t="s">
        <v>271</v>
      </c>
      <c r="C3495">
        <v>2017</v>
      </c>
      <c r="D3495">
        <v>2554</v>
      </c>
      <c r="F3495">
        <v>165008</v>
      </c>
    </row>
    <row r="3496" spans="1:6" x14ac:dyDescent="0.35">
      <c r="A3496" t="s">
        <v>270</v>
      </c>
      <c r="B3496" t="s">
        <v>271</v>
      </c>
      <c r="C3496">
        <v>2018</v>
      </c>
      <c r="D3496">
        <v>2497</v>
      </c>
      <c r="F3496">
        <v>163786</v>
      </c>
    </row>
    <row r="3497" spans="1:6" x14ac:dyDescent="0.35">
      <c r="A3497" t="s">
        <v>270</v>
      </c>
      <c r="B3497" t="s">
        <v>271</v>
      </c>
      <c r="C3497">
        <v>2019</v>
      </c>
      <c r="D3497">
        <v>2444</v>
      </c>
      <c r="F3497">
        <v>165112</v>
      </c>
    </row>
    <row r="3498" spans="1:6" x14ac:dyDescent="0.35">
      <c r="A3498" t="s">
        <v>270</v>
      </c>
      <c r="B3498" t="s">
        <v>271</v>
      </c>
      <c r="C3498">
        <v>2020</v>
      </c>
      <c r="D3498">
        <v>2519</v>
      </c>
      <c r="F3498">
        <v>163910</v>
      </c>
    </row>
    <row r="3499" spans="1:6" x14ac:dyDescent="0.35">
      <c r="A3499" t="s">
        <v>272</v>
      </c>
      <c r="B3499" t="s">
        <v>273</v>
      </c>
      <c r="C3499">
        <v>1899</v>
      </c>
      <c r="D3499">
        <v>915</v>
      </c>
      <c r="F3499">
        <v>99</v>
      </c>
    </row>
    <row r="3500" spans="1:6" x14ac:dyDescent="0.35">
      <c r="A3500" t="s">
        <v>272</v>
      </c>
      <c r="B3500" t="s">
        <v>273</v>
      </c>
      <c r="C3500">
        <v>1900</v>
      </c>
      <c r="D3500">
        <v>873</v>
      </c>
      <c r="F3500">
        <v>99</v>
      </c>
    </row>
    <row r="3501" spans="1:6" x14ac:dyDescent="0.35">
      <c r="A3501" t="s">
        <v>272</v>
      </c>
      <c r="B3501" t="s">
        <v>273</v>
      </c>
      <c r="C3501">
        <v>1901</v>
      </c>
      <c r="D3501">
        <v>935</v>
      </c>
      <c r="F3501">
        <v>99</v>
      </c>
    </row>
    <row r="3502" spans="1:6" x14ac:dyDescent="0.35">
      <c r="A3502" t="s">
        <v>272</v>
      </c>
      <c r="B3502" t="s">
        <v>273</v>
      </c>
      <c r="C3502">
        <v>1902</v>
      </c>
      <c r="D3502">
        <v>864</v>
      </c>
      <c r="F3502">
        <v>99</v>
      </c>
    </row>
    <row r="3503" spans="1:6" x14ac:dyDescent="0.35">
      <c r="A3503" t="s">
        <v>272</v>
      </c>
      <c r="B3503" t="s">
        <v>273</v>
      </c>
      <c r="C3503">
        <v>1903</v>
      </c>
      <c r="D3503">
        <v>879</v>
      </c>
      <c r="F3503">
        <v>99</v>
      </c>
    </row>
    <row r="3504" spans="1:6" x14ac:dyDescent="0.35">
      <c r="A3504" t="s">
        <v>272</v>
      </c>
      <c r="B3504" t="s">
        <v>273</v>
      </c>
      <c r="C3504">
        <v>1904</v>
      </c>
      <c r="D3504">
        <v>844</v>
      </c>
      <c r="F3504">
        <v>99</v>
      </c>
    </row>
    <row r="3505" spans="1:6" x14ac:dyDescent="0.35">
      <c r="A3505" t="s">
        <v>272</v>
      </c>
      <c r="B3505" t="s">
        <v>273</v>
      </c>
      <c r="C3505">
        <v>1905</v>
      </c>
      <c r="D3505">
        <v>863</v>
      </c>
      <c r="F3505">
        <v>99</v>
      </c>
    </row>
    <row r="3506" spans="1:6" x14ac:dyDescent="0.35">
      <c r="A3506" t="s">
        <v>272</v>
      </c>
      <c r="B3506" t="s">
        <v>273</v>
      </c>
      <c r="C3506">
        <v>1906</v>
      </c>
      <c r="D3506">
        <v>837</v>
      </c>
      <c r="F3506">
        <v>99</v>
      </c>
    </row>
    <row r="3507" spans="1:6" x14ac:dyDescent="0.35">
      <c r="A3507" t="s">
        <v>272</v>
      </c>
      <c r="B3507" t="s">
        <v>273</v>
      </c>
      <c r="C3507">
        <v>1907</v>
      </c>
      <c r="D3507">
        <v>852</v>
      </c>
      <c r="F3507">
        <v>99</v>
      </c>
    </row>
    <row r="3508" spans="1:6" x14ac:dyDescent="0.35">
      <c r="A3508" t="s">
        <v>272</v>
      </c>
      <c r="B3508" t="s">
        <v>273</v>
      </c>
      <c r="C3508">
        <v>1908</v>
      </c>
      <c r="D3508">
        <v>822</v>
      </c>
      <c r="F3508">
        <v>99</v>
      </c>
    </row>
    <row r="3509" spans="1:6" x14ac:dyDescent="0.35">
      <c r="A3509" t="s">
        <v>272</v>
      </c>
      <c r="B3509" t="s">
        <v>273</v>
      </c>
      <c r="C3509">
        <v>1909</v>
      </c>
      <c r="D3509">
        <v>858</v>
      </c>
      <c r="F3509">
        <v>99</v>
      </c>
    </row>
    <row r="3510" spans="1:6" x14ac:dyDescent="0.35">
      <c r="A3510" t="s">
        <v>272</v>
      </c>
      <c r="B3510" t="s">
        <v>273</v>
      </c>
      <c r="C3510">
        <v>1910</v>
      </c>
      <c r="D3510">
        <v>837</v>
      </c>
      <c r="F3510">
        <v>99</v>
      </c>
    </row>
    <row r="3511" spans="1:6" x14ac:dyDescent="0.35">
      <c r="A3511" t="s">
        <v>272</v>
      </c>
      <c r="B3511" t="s">
        <v>273</v>
      </c>
      <c r="C3511">
        <v>1911</v>
      </c>
      <c r="D3511">
        <v>856</v>
      </c>
      <c r="F3511">
        <v>99</v>
      </c>
    </row>
    <row r="3512" spans="1:6" x14ac:dyDescent="0.35">
      <c r="A3512" t="s">
        <v>272</v>
      </c>
      <c r="B3512" t="s">
        <v>273</v>
      </c>
      <c r="C3512">
        <v>1912</v>
      </c>
      <c r="D3512">
        <v>906</v>
      </c>
      <c r="F3512">
        <v>99</v>
      </c>
    </row>
    <row r="3513" spans="1:6" x14ac:dyDescent="0.35">
      <c r="A3513" t="s">
        <v>272</v>
      </c>
      <c r="B3513" t="s">
        <v>273</v>
      </c>
      <c r="C3513">
        <v>1913</v>
      </c>
      <c r="D3513">
        <v>843</v>
      </c>
      <c r="F3513">
        <v>99</v>
      </c>
    </row>
    <row r="3514" spans="1:6" x14ac:dyDescent="0.35">
      <c r="A3514" t="s">
        <v>272</v>
      </c>
      <c r="B3514" t="s">
        <v>273</v>
      </c>
      <c r="C3514">
        <v>1914</v>
      </c>
      <c r="D3514">
        <v>790</v>
      </c>
      <c r="F3514">
        <v>99</v>
      </c>
    </row>
    <row r="3515" spans="1:6" x14ac:dyDescent="0.35">
      <c r="A3515" t="s">
        <v>272</v>
      </c>
      <c r="B3515" t="s">
        <v>273</v>
      </c>
      <c r="C3515">
        <v>1915</v>
      </c>
      <c r="D3515">
        <v>861</v>
      </c>
      <c r="F3515">
        <v>99</v>
      </c>
    </row>
    <row r="3516" spans="1:6" x14ac:dyDescent="0.35">
      <c r="A3516" t="s">
        <v>272</v>
      </c>
      <c r="B3516" t="s">
        <v>273</v>
      </c>
      <c r="C3516">
        <v>1916</v>
      </c>
      <c r="D3516">
        <v>858</v>
      </c>
      <c r="F3516">
        <v>99</v>
      </c>
    </row>
    <row r="3517" spans="1:6" x14ac:dyDescent="0.35">
      <c r="A3517" t="s">
        <v>272</v>
      </c>
      <c r="B3517" t="s">
        <v>273</v>
      </c>
      <c r="C3517">
        <v>1917</v>
      </c>
      <c r="D3517">
        <v>972</v>
      </c>
      <c r="F3517">
        <v>99</v>
      </c>
    </row>
    <row r="3518" spans="1:6" x14ac:dyDescent="0.35">
      <c r="A3518" t="s">
        <v>272</v>
      </c>
      <c r="B3518" t="s">
        <v>273</v>
      </c>
      <c r="C3518">
        <v>1918</v>
      </c>
      <c r="D3518">
        <v>886</v>
      </c>
      <c r="F3518">
        <v>99</v>
      </c>
    </row>
    <row r="3519" spans="1:6" x14ac:dyDescent="0.35">
      <c r="A3519" t="s">
        <v>272</v>
      </c>
      <c r="B3519" t="s">
        <v>273</v>
      </c>
      <c r="C3519">
        <v>1919</v>
      </c>
      <c r="D3519">
        <v>879</v>
      </c>
      <c r="F3519">
        <v>99</v>
      </c>
    </row>
    <row r="3520" spans="1:6" x14ac:dyDescent="0.35">
      <c r="A3520" t="s">
        <v>272</v>
      </c>
      <c r="B3520" t="s">
        <v>273</v>
      </c>
      <c r="C3520">
        <v>1920</v>
      </c>
      <c r="D3520">
        <v>1000</v>
      </c>
      <c r="F3520">
        <v>99</v>
      </c>
    </row>
    <row r="3521" spans="1:6" x14ac:dyDescent="0.35">
      <c r="A3521" t="s">
        <v>272</v>
      </c>
      <c r="B3521" t="s">
        <v>273</v>
      </c>
      <c r="C3521">
        <v>1921</v>
      </c>
      <c r="D3521">
        <v>963</v>
      </c>
      <c r="F3521">
        <v>99</v>
      </c>
    </row>
    <row r="3522" spans="1:6" x14ac:dyDescent="0.35">
      <c r="A3522" t="s">
        <v>272</v>
      </c>
      <c r="B3522" t="s">
        <v>273</v>
      </c>
      <c r="C3522">
        <v>1922</v>
      </c>
      <c r="D3522">
        <v>925</v>
      </c>
      <c r="F3522">
        <v>99</v>
      </c>
    </row>
    <row r="3523" spans="1:6" x14ac:dyDescent="0.35">
      <c r="A3523" t="s">
        <v>272</v>
      </c>
      <c r="B3523" t="s">
        <v>273</v>
      </c>
      <c r="C3523">
        <v>1923</v>
      </c>
      <c r="D3523">
        <v>900</v>
      </c>
      <c r="F3523">
        <v>99</v>
      </c>
    </row>
    <row r="3524" spans="1:6" x14ac:dyDescent="0.35">
      <c r="A3524" t="s">
        <v>272</v>
      </c>
      <c r="B3524" t="s">
        <v>273</v>
      </c>
      <c r="C3524">
        <v>1924</v>
      </c>
      <c r="D3524">
        <v>851</v>
      </c>
      <c r="F3524">
        <v>99</v>
      </c>
    </row>
    <row r="3525" spans="1:6" x14ac:dyDescent="0.35">
      <c r="A3525" t="s">
        <v>272</v>
      </c>
      <c r="B3525" t="s">
        <v>273</v>
      </c>
      <c r="C3525">
        <v>1925</v>
      </c>
      <c r="D3525">
        <v>765</v>
      </c>
      <c r="F3525">
        <v>99</v>
      </c>
    </row>
    <row r="3526" spans="1:6" x14ac:dyDescent="0.35">
      <c r="A3526" t="s">
        <v>272</v>
      </c>
      <c r="B3526" t="s">
        <v>273</v>
      </c>
      <c r="C3526">
        <v>1926</v>
      </c>
      <c r="D3526">
        <v>831</v>
      </c>
      <c r="F3526">
        <v>99</v>
      </c>
    </row>
    <row r="3527" spans="1:6" x14ac:dyDescent="0.35">
      <c r="A3527" t="s">
        <v>272</v>
      </c>
      <c r="B3527" t="s">
        <v>273</v>
      </c>
      <c r="C3527">
        <v>1927</v>
      </c>
      <c r="D3527">
        <v>731</v>
      </c>
      <c r="F3527">
        <v>99</v>
      </c>
    </row>
    <row r="3528" spans="1:6" x14ac:dyDescent="0.35">
      <c r="A3528" t="s">
        <v>272</v>
      </c>
      <c r="B3528" t="s">
        <v>273</v>
      </c>
      <c r="C3528">
        <v>1928</v>
      </c>
      <c r="D3528">
        <v>699</v>
      </c>
      <c r="F3528">
        <v>99</v>
      </c>
    </row>
    <row r="3529" spans="1:6" x14ac:dyDescent="0.35">
      <c r="A3529" t="s">
        <v>272</v>
      </c>
      <c r="B3529" t="s">
        <v>273</v>
      </c>
      <c r="C3529">
        <v>1929</v>
      </c>
      <c r="D3529">
        <v>731</v>
      </c>
      <c r="F3529">
        <v>99</v>
      </c>
    </row>
    <row r="3530" spans="1:6" x14ac:dyDescent="0.35">
      <c r="A3530" t="s">
        <v>272</v>
      </c>
      <c r="B3530" t="s">
        <v>273</v>
      </c>
      <c r="C3530">
        <v>1930</v>
      </c>
      <c r="D3530">
        <v>736</v>
      </c>
      <c r="F3530">
        <v>99</v>
      </c>
    </row>
    <row r="3531" spans="1:6" x14ac:dyDescent="0.35">
      <c r="A3531" t="s">
        <v>272</v>
      </c>
      <c r="B3531" t="s">
        <v>273</v>
      </c>
      <c r="C3531">
        <v>1931</v>
      </c>
      <c r="D3531">
        <v>657</v>
      </c>
      <c r="F3531">
        <v>99</v>
      </c>
    </row>
    <row r="3532" spans="1:6" x14ac:dyDescent="0.35">
      <c r="A3532" t="s">
        <v>272</v>
      </c>
      <c r="B3532" t="s">
        <v>273</v>
      </c>
      <c r="C3532">
        <v>1932</v>
      </c>
      <c r="D3532">
        <v>632</v>
      </c>
      <c r="F3532">
        <v>99</v>
      </c>
    </row>
    <row r="3533" spans="1:6" x14ac:dyDescent="0.35">
      <c r="A3533" t="s">
        <v>272</v>
      </c>
      <c r="B3533" t="s">
        <v>273</v>
      </c>
      <c r="C3533">
        <v>1933</v>
      </c>
      <c r="D3533">
        <v>612</v>
      </c>
      <c r="F3533">
        <v>99</v>
      </c>
    </row>
    <row r="3534" spans="1:6" x14ac:dyDescent="0.35">
      <c r="A3534" t="s">
        <v>272</v>
      </c>
      <c r="B3534" t="s">
        <v>273</v>
      </c>
      <c r="C3534">
        <v>1934</v>
      </c>
      <c r="D3534">
        <v>555</v>
      </c>
      <c r="F3534">
        <v>99</v>
      </c>
    </row>
    <row r="3535" spans="1:6" x14ac:dyDescent="0.35">
      <c r="A3535" t="s">
        <v>272</v>
      </c>
      <c r="B3535" t="s">
        <v>273</v>
      </c>
      <c r="C3535">
        <v>1935</v>
      </c>
      <c r="D3535">
        <v>566</v>
      </c>
      <c r="F3535">
        <v>99</v>
      </c>
    </row>
    <row r="3536" spans="1:6" x14ac:dyDescent="0.35">
      <c r="A3536" t="s">
        <v>272</v>
      </c>
      <c r="B3536" t="s">
        <v>273</v>
      </c>
      <c r="C3536">
        <v>1936</v>
      </c>
      <c r="D3536">
        <v>581</v>
      </c>
      <c r="F3536">
        <v>99</v>
      </c>
    </row>
    <row r="3537" spans="1:6" x14ac:dyDescent="0.35">
      <c r="A3537" t="s">
        <v>272</v>
      </c>
      <c r="B3537" t="s">
        <v>273</v>
      </c>
      <c r="C3537">
        <v>1937</v>
      </c>
      <c r="D3537">
        <v>590</v>
      </c>
      <c r="F3537">
        <v>99</v>
      </c>
    </row>
    <row r="3538" spans="1:6" x14ac:dyDescent="0.35">
      <c r="A3538" t="s">
        <v>272</v>
      </c>
      <c r="B3538" t="s">
        <v>273</v>
      </c>
      <c r="C3538">
        <v>1938</v>
      </c>
      <c r="D3538">
        <v>634</v>
      </c>
      <c r="F3538">
        <v>99</v>
      </c>
    </row>
    <row r="3539" spans="1:6" x14ac:dyDescent="0.35">
      <c r="A3539" t="s">
        <v>272</v>
      </c>
      <c r="B3539" t="s">
        <v>273</v>
      </c>
      <c r="C3539">
        <v>1939</v>
      </c>
      <c r="D3539">
        <v>648</v>
      </c>
      <c r="F3539">
        <v>99</v>
      </c>
    </row>
    <row r="3540" spans="1:6" x14ac:dyDescent="0.35">
      <c r="A3540" t="s">
        <v>272</v>
      </c>
      <c r="B3540" t="s">
        <v>273</v>
      </c>
      <c r="C3540">
        <v>1940</v>
      </c>
      <c r="D3540">
        <v>662</v>
      </c>
      <c r="F3540">
        <v>99</v>
      </c>
    </row>
    <row r="3541" spans="1:6" x14ac:dyDescent="0.35">
      <c r="A3541" t="s">
        <v>272</v>
      </c>
      <c r="B3541" t="s">
        <v>273</v>
      </c>
      <c r="C3541">
        <v>1941</v>
      </c>
      <c r="D3541">
        <v>591</v>
      </c>
      <c r="F3541">
        <v>99</v>
      </c>
    </row>
    <row r="3542" spans="1:6" x14ac:dyDescent="0.35">
      <c r="A3542" t="s">
        <v>272</v>
      </c>
      <c r="B3542" t="s">
        <v>273</v>
      </c>
      <c r="C3542">
        <v>1942</v>
      </c>
      <c r="D3542">
        <v>599</v>
      </c>
      <c r="F3542">
        <v>99</v>
      </c>
    </row>
    <row r="3543" spans="1:6" x14ac:dyDescent="0.35">
      <c r="A3543" t="s">
        <v>272</v>
      </c>
      <c r="B3543" t="s">
        <v>273</v>
      </c>
      <c r="C3543">
        <v>1943</v>
      </c>
      <c r="D3543">
        <v>697</v>
      </c>
      <c r="F3543">
        <v>99</v>
      </c>
    </row>
    <row r="3544" spans="1:6" x14ac:dyDescent="0.35">
      <c r="A3544" t="s">
        <v>272</v>
      </c>
      <c r="B3544" t="s">
        <v>273</v>
      </c>
      <c r="C3544">
        <v>1944</v>
      </c>
      <c r="D3544">
        <v>750</v>
      </c>
      <c r="F3544">
        <v>99</v>
      </c>
    </row>
    <row r="3545" spans="1:6" x14ac:dyDescent="0.35">
      <c r="A3545" t="s">
        <v>272</v>
      </c>
      <c r="B3545" t="s">
        <v>273</v>
      </c>
      <c r="C3545">
        <v>1945</v>
      </c>
      <c r="D3545">
        <v>729</v>
      </c>
      <c r="F3545">
        <v>99</v>
      </c>
    </row>
    <row r="3546" spans="1:6" x14ac:dyDescent="0.35">
      <c r="A3546" t="s">
        <v>272</v>
      </c>
      <c r="B3546" t="s">
        <v>273</v>
      </c>
      <c r="C3546">
        <v>1946</v>
      </c>
      <c r="D3546">
        <v>915</v>
      </c>
      <c r="F3546">
        <v>70236</v>
      </c>
    </row>
    <row r="3547" spans="1:6" x14ac:dyDescent="0.35">
      <c r="A3547" t="s">
        <v>272</v>
      </c>
      <c r="B3547" t="s">
        <v>273</v>
      </c>
      <c r="C3547">
        <v>1947</v>
      </c>
      <c r="D3547">
        <v>924</v>
      </c>
      <c r="F3547">
        <v>66992</v>
      </c>
    </row>
    <row r="3548" spans="1:6" x14ac:dyDescent="0.35">
      <c r="A3548" t="s">
        <v>272</v>
      </c>
      <c r="B3548" t="s">
        <v>273</v>
      </c>
      <c r="C3548">
        <v>1948</v>
      </c>
      <c r="D3548">
        <v>903</v>
      </c>
      <c r="F3548">
        <v>64952</v>
      </c>
    </row>
    <row r="3549" spans="1:6" x14ac:dyDescent="0.35">
      <c r="A3549" t="s">
        <v>272</v>
      </c>
      <c r="B3549" t="s">
        <v>273</v>
      </c>
      <c r="C3549">
        <v>1949</v>
      </c>
      <c r="D3549">
        <v>813</v>
      </c>
      <c r="F3549">
        <v>62440</v>
      </c>
    </row>
    <row r="3550" spans="1:6" x14ac:dyDescent="0.35">
      <c r="A3550" t="s">
        <v>272</v>
      </c>
      <c r="B3550" t="s">
        <v>273</v>
      </c>
      <c r="C3550">
        <v>1950</v>
      </c>
      <c r="D3550">
        <v>879</v>
      </c>
      <c r="F3550">
        <v>61656</v>
      </c>
    </row>
    <row r="3551" spans="1:6" x14ac:dyDescent="0.35">
      <c r="A3551" t="s">
        <v>272</v>
      </c>
      <c r="B3551" t="s">
        <v>273</v>
      </c>
      <c r="C3551">
        <v>1951</v>
      </c>
      <c r="D3551">
        <v>796</v>
      </c>
      <c r="F3551">
        <v>59957</v>
      </c>
    </row>
    <row r="3552" spans="1:6" x14ac:dyDescent="0.35">
      <c r="A3552" t="s">
        <v>272</v>
      </c>
      <c r="B3552" t="s">
        <v>273</v>
      </c>
      <c r="C3552">
        <v>1952</v>
      </c>
      <c r="D3552">
        <v>806</v>
      </c>
      <c r="F3552">
        <v>61852</v>
      </c>
    </row>
    <row r="3553" spans="1:6" x14ac:dyDescent="0.35">
      <c r="A3553" t="s">
        <v>272</v>
      </c>
      <c r="B3553" t="s">
        <v>273</v>
      </c>
      <c r="C3553">
        <v>1953</v>
      </c>
      <c r="D3553">
        <v>817</v>
      </c>
      <c r="F3553">
        <v>62316</v>
      </c>
    </row>
    <row r="3554" spans="1:6" x14ac:dyDescent="0.35">
      <c r="A3554" t="s">
        <v>272</v>
      </c>
      <c r="B3554" t="s">
        <v>273</v>
      </c>
      <c r="C3554">
        <v>1954</v>
      </c>
      <c r="D3554">
        <v>771</v>
      </c>
      <c r="F3554">
        <v>62091</v>
      </c>
    </row>
    <row r="3555" spans="1:6" x14ac:dyDescent="0.35">
      <c r="A3555" t="s">
        <v>272</v>
      </c>
      <c r="B3555" t="s">
        <v>273</v>
      </c>
      <c r="C3555">
        <v>1955</v>
      </c>
      <c r="D3555">
        <v>747</v>
      </c>
      <c r="F3555">
        <v>63007</v>
      </c>
    </row>
    <row r="3556" spans="1:6" x14ac:dyDescent="0.35">
      <c r="A3556" t="s">
        <v>272</v>
      </c>
      <c r="B3556" t="s">
        <v>273</v>
      </c>
      <c r="C3556">
        <v>1956</v>
      </c>
      <c r="D3556">
        <v>767</v>
      </c>
      <c r="F3556">
        <v>63593</v>
      </c>
    </row>
    <row r="3557" spans="1:6" x14ac:dyDescent="0.35">
      <c r="A3557" t="s">
        <v>272</v>
      </c>
      <c r="B3557" t="s">
        <v>273</v>
      </c>
      <c r="C3557">
        <v>1957</v>
      </c>
      <c r="D3557">
        <v>734</v>
      </c>
      <c r="F3557">
        <v>62519</v>
      </c>
    </row>
    <row r="3558" spans="1:6" x14ac:dyDescent="0.35">
      <c r="A3558" t="s">
        <v>272</v>
      </c>
      <c r="B3558" t="s">
        <v>273</v>
      </c>
      <c r="C3558">
        <v>1958</v>
      </c>
      <c r="D3558">
        <v>722</v>
      </c>
      <c r="F3558">
        <v>62436</v>
      </c>
    </row>
    <row r="3559" spans="1:6" x14ac:dyDescent="0.35">
      <c r="A3559" t="s">
        <v>272</v>
      </c>
      <c r="B3559" t="s">
        <v>273</v>
      </c>
      <c r="C3559">
        <v>1959</v>
      </c>
      <c r="D3559">
        <v>727</v>
      </c>
      <c r="F3559">
        <v>62376</v>
      </c>
    </row>
    <row r="3560" spans="1:6" x14ac:dyDescent="0.35">
      <c r="A3560" t="s">
        <v>272</v>
      </c>
      <c r="B3560" t="s">
        <v>273</v>
      </c>
      <c r="C3560">
        <v>1960</v>
      </c>
      <c r="D3560">
        <v>708</v>
      </c>
      <c r="F3560">
        <v>61313</v>
      </c>
    </row>
    <row r="3561" spans="1:6" x14ac:dyDescent="0.35">
      <c r="A3561" t="s">
        <v>272</v>
      </c>
      <c r="B3561" t="s">
        <v>273</v>
      </c>
      <c r="C3561">
        <v>1961</v>
      </c>
      <c r="D3561">
        <v>734</v>
      </c>
      <c r="F3561">
        <v>61891</v>
      </c>
    </row>
    <row r="3562" spans="1:6" x14ac:dyDescent="0.35">
      <c r="A3562" t="s">
        <v>272</v>
      </c>
      <c r="B3562" t="s">
        <v>273</v>
      </c>
      <c r="C3562">
        <v>1962</v>
      </c>
      <c r="D3562">
        <v>682</v>
      </c>
      <c r="F3562">
        <v>61730</v>
      </c>
    </row>
    <row r="3563" spans="1:6" x14ac:dyDescent="0.35">
      <c r="A3563" t="s">
        <v>272</v>
      </c>
      <c r="B3563" t="s">
        <v>273</v>
      </c>
      <c r="C3563">
        <v>1963</v>
      </c>
      <c r="D3563">
        <v>666</v>
      </c>
      <c r="F3563">
        <v>62733</v>
      </c>
    </row>
    <row r="3564" spans="1:6" x14ac:dyDescent="0.35">
      <c r="A3564" t="s">
        <v>272</v>
      </c>
      <c r="B3564" t="s">
        <v>273</v>
      </c>
      <c r="C3564">
        <v>1964</v>
      </c>
      <c r="D3564">
        <v>730</v>
      </c>
      <c r="F3564">
        <v>64887</v>
      </c>
    </row>
    <row r="3565" spans="1:6" x14ac:dyDescent="0.35">
      <c r="A3565" t="s">
        <v>272</v>
      </c>
      <c r="B3565" t="s">
        <v>273</v>
      </c>
      <c r="C3565">
        <v>1965</v>
      </c>
      <c r="D3565">
        <v>689</v>
      </c>
      <c r="F3565">
        <v>65597</v>
      </c>
    </row>
    <row r="3566" spans="1:6" x14ac:dyDescent="0.35">
      <c r="A3566" t="s">
        <v>272</v>
      </c>
      <c r="B3566" t="s">
        <v>273</v>
      </c>
      <c r="C3566">
        <v>1966</v>
      </c>
      <c r="D3566">
        <v>675</v>
      </c>
      <c r="F3566">
        <v>66502</v>
      </c>
    </row>
    <row r="3567" spans="1:6" x14ac:dyDescent="0.35">
      <c r="A3567" t="s">
        <v>272</v>
      </c>
      <c r="B3567" t="s">
        <v>273</v>
      </c>
      <c r="C3567">
        <v>1967</v>
      </c>
      <c r="D3567">
        <v>655</v>
      </c>
      <c r="F3567">
        <v>66195</v>
      </c>
    </row>
    <row r="3568" spans="1:6" x14ac:dyDescent="0.35">
      <c r="A3568" t="s">
        <v>272</v>
      </c>
      <c r="B3568" t="s">
        <v>273</v>
      </c>
      <c r="C3568">
        <v>1968</v>
      </c>
      <c r="D3568">
        <v>645</v>
      </c>
      <c r="F3568">
        <v>66786</v>
      </c>
    </row>
    <row r="3569" spans="1:6" x14ac:dyDescent="0.35">
      <c r="A3569" t="s">
        <v>272</v>
      </c>
      <c r="B3569" t="s">
        <v>273</v>
      </c>
      <c r="C3569">
        <v>1969</v>
      </c>
      <c r="D3569">
        <v>710</v>
      </c>
      <c r="F3569">
        <v>67059</v>
      </c>
    </row>
    <row r="3570" spans="1:6" x14ac:dyDescent="0.35">
      <c r="A3570" t="s">
        <v>272</v>
      </c>
      <c r="B3570" t="s">
        <v>273</v>
      </c>
      <c r="C3570">
        <v>1970</v>
      </c>
      <c r="D3570">
        <v>630</v>
      </c>
      <c r="F3570">
        <v>63968</v>
      </c>
    </row>
    <row r="3571" spans="1:6" x14ac:dyDescent="0.35">
      <c r="A3571" t="s">
        <v>272</v>
      </c>
      <c r="B3571" t="s">
        <v>273</v>
      </c>
      <c r="C3571">
        <v>1971</v>
      </c>
      <c r="D3571">
        <v>621</v>
      </c>
      <c r="F3571">
        <v>64913</v>
      </c>
    </row>
    <row r="3572" spans="1:6" x14ac:dyDescent="0.35">
      <c r="A3572" t="s">
        <v>272</v>
      </c>
      <c r="B3572" t="s">
        <v>273</v>
      </c>
      <c r="C3572">
        <v>1972</v>
      </c>
      <c r="D3572">
        <v>560</v>
      </c>
      <c r="F3572">
        <v>63745</v>
      </c>
    </row>
    <row r="3573" spans="1:6" x14ac:dyDescent="0.35">
      <c r="A3573" t="s">
        <v>272</v>
      </c>
      <c r="B3573" t="s">
        <v>273</v>
      </c>
      <c r="C3573">
        <v>1973</v>
      </c>
      <c r="D3573">
        <v>587</v>
      </c>
      <c r="F3573">
        <v>60597</v>
      </c>
    </row>
    <row r="3574" spans="1:6" x14ac:dyDescent="0.35">
      <c r="A3574" t="s">
        <v>272</v>
      </c>
      <c r="B3574" t="s">
        <v>273</v>
      </c>
      <c r="C3574">
        <v>1974</v>
      </c>
      <c r="D3574">
        <v>534</v>
      </c>
      <c r="F3574">
        <v>59044</v>
      </c>
    </row>
    <row r="3575" spans="1:6" x14ac:dyDescent="0.35">
      <c r="A3575" t="s">
        <v>272</v>
      </c>
      <c r="B3575" t="s">
        <v>273</v>
      </c>
      <c r="C3575">
        <v>1975</v>
      </c>
      <c r="D3575">
        <v>538</v>
      </c>
      <c r="F3575">
        <v>55718</v>
      </c>
    </row>
    <row r="3576" spans="1:6" x14ac:dyDescent="0.35">
      <c r="A3576" t="s">
        <v>272</v>
      </c>
      <c r="B3576" t="s">
        <v>273</v>
      </c>
      <c r="C3576">
        <v>1976</v>
      </c>
      <c r="D3576">
        <v>515</v>
      </c>
      <c r="F3576">
        <v>52832</v>
      </c>
    </row>
    <row r="3577" spans="1:6" x14ac:dyDescent="0.35">
      <c r="A3577" t="s">
        <v>272</v>
      </c>
      <c r="B3577" t="s">
        <v>273</v>
      </c>
      <c r="C3577">
        <v>1977</v>
      </c>
      <c r="D3577">
        <v>468</v>
      </c>
      <c r="F3577">
        <v>50312</v>
      </c>
    </row>
    <row r="3578" spans="1:6" x14ac:dyDescent="0.35">
      <c r="A3578" t="s">
        <v>272</v>
      </c>
      <c r="B3578" t="s">
        <v>273</v>
      </c>
      <c r="C3578">
        <v>1978</v>
      </c>
      <c r="D3578">
        <v>551</v>
      </c>
      <c r="F3578">
        <v>50990</v>
      </c>
    </row>
    <row r="3579" spans="1:6" x14ac:dyDescent="0.35">
      <c r="A3579" t="s">
        <v>272</v>
      </c>
      <c r="B3579" t="s">
        <v>273</v>
      </c>
      <c r="C3579">
        <v>1979</v>
      </c>
      <c r="D3579">
        <v>465</v>
      </c>
      <c r="F3579">
        <v>51017</v>
      </c>
    </row>
    <row r="3580" spans="1:6" x14ac:dyDescent="0.35">
      <c r="A3580" t="s">
        <v>272</v>
      </c>
      <c r="B3580" t="s">
        <v>273</v>
      </c>
      <c r="C3580">
        <v>1980</v>
      </c>
      <c r="D3580">
        <v>473</v>
      </c>
      <c r="F3580">
        <v>50444</v>
      </c>
    </row>
    <row r="3581" spans="1:6" x14ac:dyDescent="0.35">
      <c r="A3581" t="s">
        <v>272</v>
      </c>
      <c r="B3581" t="s">
        <v>273</v>
      </c>
      <c r="C3581">
        <v>1981</v>
      </c>
      <c r="D3581">
        <v>468</v>
      </c>
      <c r="F3581">
        <v>50047</v>
      </c>
    </row>
    <row r="3582" spans="1:6" x14ac:dyDescent="0.35">
      <c r="A3582" t="s">
        <v>272</v>
      </c>
      <c r="B3582" t="s">
        <v>273</v>
      </c>
      <c r="C3582">
        <v>1982</v>
      </c>
      <c r="D3582">
        <v>507</v>
      </c>
      <c r="F3582">
        <v>50528</v>
      </c>
    </row>
    <row r="3583" spans="1:6" x14ac:dyDescent="0.35">
      <c r="A3583" t="s">
        <v>272</v>
      </c>
      <c r="B3583" t="s">
        <v>273</v>
      </c>
      <c r="C3583">
        <v>1983</v>
      </c>
      <c r="D3583">
        <v>468</v>
      </c>
      <c r="F3583">
        <v>49295</v>
      </c>
    </row>
    <row r="3584" spans="1:6" x14ac:dyDescent="0.35">
      <c r="A3584" t="s">
        <v>272</v>
      </c>
      <c r="B3584" t="s">
        <v>273</v>
      </c>
      <c r="C3584">
        <v>1984</v>
      </c>
      <c r="D3584">
        <v>472</v>
      </c>
      <c r="F3584">
        <v>49559</v>
      </c>
    </row>
    <row r="3585" spans="1:6" x14ac:dyDescent="0.35">
      <c r="A3585" t="s">
        <v>272</v>
      </c>
      <c r="B3585" t="s">
        <v>273</v>
      </c>
      <c r="C3585">
        <v>1985</v>
      </c>
      <c r="D3585">
        <v>559</v>
      </c>
      <c r="F3585">
        <v>50267</v>
      </c>
    </row>
    <row r="3586" spans="1:6" x14ac:dyDescent="0.35">
      <c r="A3586" t="s">
        <v>272</v>
      </c>
      <c r="B3586" t="s">
        <v>273</v>
      </c>
      <c r="C3586">
        <v>1986</v>
      </c>
      <c r="D3586">
        <v>524</v>
      </c>
      <c r="F3586">
        <v>51709</v>
      </c>
    </row>
    <row r="3587" spans="1:6" x14ac:dyDescent="0.35">
      <c r="A3587" t="s">
        <v>272</v>
      </c>
      <c r="B3587" t="s">
        <v>273</v>
      </c>
      <c r="C3587">
        <v>1987</v>
      </c>
      <c r="D3587">
        <v>586</v>
      </c>
      <c r="F3587">
        <v>53051</v>
      </c>
    </row>
    <row r="3588" spans="1:6" x14ac:dyDescent="0.35">
      <c r="A3588" t="s">
        <v>272</v>
      </c>
      <c r="B3588" t="s">
        <v>273</v>
      </c>
      <c r="C3588">
        <v>1988</v>
      </c>
      <c r="D3588">
        <v>625</v>
      </c>
      <c r="F3588">
        <v>56489</v>
      </c>
    </row>
    <row r="3589" spans="1:6" x14ac:dyDescent="0.35">
      <c r="A3589" t="s">
        <v>272</v>
      </c>
      <c r="B3589" t="s">
        <v>273</v>
      </c>
      <c r="C3589">
        <v>1989</v>
      </c>
      <c r="D3589">
        <v>690</v>
      </c>
      <c r="F3589">
        <v>58157</v>
      </c>
    </row>
    <row r="3590" spans="1:6" x14ac:dyDescent="0.35">
      <c r="A3590" t="s">
        <v>272</v>
      </c>
      <c r="B3590" t="s">
        <v>273</v>
      </c>
      <c r="C3590">
        <v>1990</v>
      </c>
      <c r="D3590">
        <v>747</v>
      </c>
      <c r="F3590">
        <v>59655</v>
      </c>
    </row>
    <row r="3591" spans="1:6" x14ac:dyDescent="0.35">
      <c r="A3591" t="s">
        <v>272</v>
      </c>
      <c r="B3591" t="s">
        <v>273</v>
      </c>
      <c r="C3591">
        <v>1991</v>
      </c>
      <c r="D3591">
        <v>748</v>
      </c>
      <c r="F3591">
        <v>59510</v>
      </c>
    </row>
    <row r="3592" spans="1:6" x14ac:dyDescent="0.35">
      <c r="A3592" t="s">
        <v>272</v>
      </c>
      <c r="B3592" t="s">
        <v>273</v>
      </c>
      <c r="C3592">
        <v>1992</v>
      </c>
      <c r="D3592">
        <v>790</v>
      </c>
      <c r="F3592">
        <v>58734</v>
      </c>
    </row>
    <row r="3593" spans="1:6" x14ac:dyDescent="0.35">
      <c r="A3593" t="s">
        <v>272</v>
      </c>
      <c r="B3593" t="s">
        <v>273</v>
      </c>
      <c r="C3593">
        <v>1993</v>
      </c>
      <c r="D3593">
        <v>808</v>
      </c>
      <c r="F3593">
        <v>58246</v>
      </c>
    </row>
    <row r="3594" spans="1:6" x14ac:dyDescent="0.35">
      <c r="A3594" t="s">
        <v>272</v>
      </c>
      <c r="B3594" t="s">
        <v>273</v>
      </c>
      <c r="C3594">
        <v>1994</v>
      </c>
      <c r="D3594">
        <v>847</v>
      </c>
      <c r="F3594">
        <v>58575</v>
      </c>
    </row>
    <row r="3595" spans="1:6" x14ac:dyDescent="0.35">
      <c r="A3595" t="s">
        <v>272</v>
      </c>
      <c r="B3595" t="s">
        <v>273</v>
      </c>
      <c r="C3595">
        <v>1995</v>
      </c>
      <c r="D3595">
        <v>910</v>
      </c>
      <c r="F3595">
        <v>58659</v>
      </c>
    </row>
    <row r="3596" spans="1:6" x14ac:dyDescent="0.35">
      <c r="A3596" t="s">
        <v>272</v>
      </c>
      <c r="B3596" t="s">
        <v>273</v>
      </c>
      <c r="C3596">
        <v>1996</v>
      </c>
      <c r="D3596">
        <v>886</v>
      </c>
      <c r="F3596">
        <v>59350</v>
      </c>
    </row>
    <row r="3597" spans="1:6" x14ac:dyDescent="0.35">
      <c r="A3597" t="s">
        <v>272</v>
      </c>
      <c r="B3597" t="s">
        <v>273</v>
      </c>
      <c r="C3597">
        <v>1997</v>
      </c>
      <c r="D3597">
        <v>931</v>
      </c>
      <c r="F3597">
        <v>58081</v>
      </c>
    </row>
    <row r="3598" spans="1:6" x14ac:dyDescent="0.35">
      <c r="A3598" t="s">
        <v>272</v>
      </c>
      <c r="B3598" t="s">
        <v>273</v>
      </c>
      <c r="C3598">
        <v>1998</v>
      </c>
      <c r="D3598">
        <v>903</v>
      </c>
      <c r="F3598">
        <v>56716</v>
      </c>
    </row>
    <row r="3599" spans="1:6" x14ac:dyDescent="0.35">
      <c r="A3599" t="s">
        <v>272</v>
      </c>
      <c r="B3599" t="s">
        <v>273</v>
      </c>
      <c r="C3599">
        <v>1999</v>
      </c>
      <c r="D3599">
        <v>1031</v>
      </c>
      <c r="F3599">
        <v>57410</v>
      </c>
    </row>
    <row r="3600" spans="1:6" x14ac:dyDescent="0.35">
      <c r="A3600" t="s">
        <v>272</v>
      </c>
      <c r="B3600" t="s">
        <v>273</v>
      </c>
      <c r="C3600">
        <v>2000</v>
      </c>
      <c r="D3600">
        <v>1033</v>
      </c>
      <c r="F3600">
        <v>57344</v>
      </c>
    </row>
    <row r="3601" spans="1:6" x14ac:dyDescent="0.35">
      <c r="A3601" t="s">
        <v>272</v>
      </c>
      <c r="B3601" t="s">
        <v>273</v>
      </c>
      <c r="C3601">
        <v>2001</v>
      </c>
      <c r="D3601">
        <v>1016</v>
      </c>
      <c r="F3601">
        <v>54847</v>
      </c>
    </row>
    <row r="3602" spans="1:6" x14ac:dyDescent="0.35">
      <c r="A3602" t="s">
        <v>272</v>
      </c>
      <c r="B3602" t="s">
        <v>273</v>
      </c>
      <c r="C3602">
        <v>2002</v>
      </c>
      <c r="D3602">
        <v>1044</v>
      </c>
      <c r="F3602">
        <v>53498</v>
      </c>
    </row>
    <row r="3603" spans="1:6" x14ac:dyDescent="0.35">
      <c r="A3603" t="s">
        <v>272</v>
      </c>
      <c r="B3603" t="s">
        <v>273</v>
      </c>
      <c r="C3603">
        <v>2003</v>
      </c>
      <c r="D3603">
        <v>1048</v>
      </c>
      <c r="F3603">
        <v>54521</v>
      </c>
    </row>
    <row r="3604" spans="1:6" x14ac:dyDescent="0.35">
      <c r="A3604" t="s">
        <v>272</v>
      </c>
      <c r="B3604" t="s">
        <v>273</v>
      </c>
      <c r="C3604">
        <v>2004</v>
      </c>
      <c r="D3604">
        <v>1042</v>
      </c>
      <c r="F3604">
        <v>55030</v>
      </c>
    </row>
    <row r="3605" spans="1:6" x14ac:dyDescent="0.35">
      <c r="A3605" t="s">
        <v>272</v>
      </c>
      <c r="B3605" t="s">
        <v>273</v>
      </c>
      <c r="C3605">
        <v>2005</v>
      </c>
      <c r="D3605">
        <v>1022</v>
      </c>
      <c r="F3605">
        <v>54833</v>
      </c>
    </row>
    <row r="3606" spans="1:6" x14ac:dyDescent="0.35">
      <c r="A3606" t="s">
        <v>272</v>
      </c>
      <c r="B3606" t="s">
        <v>273</v>
      </c>
      <c r="C3606">
        <v>2006</v>
      </c>
      <c r="D3606">
        <v>1013</v>
      </c>
      <c r="F3606">
        <v>56690</v>
      </c>
    </row>
    <row r="3607" spans="1:6" x14ac:dyDescent="0.35">
      <c r="A3607" t="s">
        <v>272</v>
      </c>
      <c r="B3607" t="s">
        <v>273</v>
      </c>
      <c r="C3607">
        <v>2007</v>
      </c>
      <c r="D3607">
        <v>1023</v>
      </c>
      <c r="F3607">
        <v>56621</v>
      </c>
    </row>
    <row r="3608" spans="1:6" x14ac:dyDescent="0.35">
      <c r="A3608" t="s">
        <v>272</v>
      </c>
      <c r="B3608" t="s">
        <v>273</v>
      </c>
      <c r="C3608">
        <v>2008</v>
      </c>
      <c r="D3608">
        <v>1032</v>
      </c>
      <c r="F3608">
        <v>58608</v>
      </c>
    </row>
    <row r="3609" spans="1:6" x14ac:dyDescent="0.35">
      <c r="A3609" t="s">
        <v>272</v>
      </c>
      <c r="B3609" t="s">
        <v>273</v>
      </c>
      <c r="C3609">
        <v>2009</v>
      </c>
      <c r="D3609">
        <v>1057</v>
      </c>
      <c r="F3609">
        <v>59857</v>
      </c>
    </row>
    <row r="3610" spans="1:6" x14ac:dyDescent="0.35">
      <c r="A3610" t="s">
        <v>272</v>
      </c>
      <c r="B3610" t="s">
        <v>273</v>
      </c>
      <c r="C3610">
        <v>2010</v>
      </c>
      <c r="D3610">
        <v>980</v>
      </c>
      <c r="F3610">
        <v>59606</v>
      </c>
    </row>
    <row r="3611" spans="1:6" x14ac:dyDescent="0.35">
      <c r="A3611" t="s">
        <v>272</v>
      </c>
      <c r="B3611" t="s">
        <v>273</v>
      </c>
      <c r="C3611">
        <v>2011</v>
      </c>
      <c r="D3611">
        <v>973</v>
      </c>
      <c r="F3611">
        <v>58430</v>
      </c>
    </row>
    <row r="3612" spans="1:6" x14ac:dyDescent="0.35">
      <c r="A3612" t="s">
        <v>272</v>
      </c>
      <c r="B3612" t="s">
        <v>273</v>
      </c>
      <c r="C3612">
        <v>2012</v>
      </c>
      <c r="D3612">
        <v>1000</v>
      </c>
      <c r="F3612">
        <v>58385</v>
      </c>
    </row>
    <row r="3613" spans="1:6" x14ac:dyDescent="0.35">
      <c r="A3613" t="s">
        <v>272</v>
      </c>
      <c r="B3613" t="s">
        <v>273</v>
      </c>
      <c r="C3613">
        <v>2013</v>
      </c>
      <c r="D3613">
        <v>954</v>
      </c>
      <c r="F3613">
        <v>57203</v>
      </c>
    </row>
    <row r="3614" spans="1:6" x14ac:dyDescent="0.35">
      <c r="A3614" t="s">
        <v>272</v>
      </c>
      <c r="B3614" t="s">
        <v>273</v>
      </c>
      <c r="C3614">
        <v>2014</v>
      </c>
      <c r="D3614">
        <v>919</v>
      </c>
      <c r="F3614">
        <v>57411</v>
      </c>
    </row>
    <row r="3615" spans="1:6" x14ac:dyDescent="0.35">
      <c r="A3615" t="s">
        <v>272</v>
      </c>
      <c r="B3615" t="s">
        <v>273</v>
      </c>
      <c r="C3615">
        <v>2015</v>
      </c>
      <c r="D3615">
        <v>956</v>
      </c>
      <c r="F3615">
        <v>57272</v>
      </c>
    </row>
    <row r="3616" spans="1:6" x14ac:dyDescent="0.35">
      <c r="A3616" t="s">
        <v>272</v>
      </c>
      <c r="B3616" t="s">
        <v>273</v>
      </c>
      <c r="C3616">
        <v>2016</v>
      </c>
      <c r="D3616">
        <v>918</v>
      </c>
      <c r="F3616">
        <v>57225</v>
      </c>
    </row>
    <row r="3617" spans="1:6" x14ac:dyDescent="0.35">
      <c r="A3617" t="s">
        <v>272</v>
      </c>
      <c r="B3617" t="s">
        <v>273</v>
      </c>
      <c r="C3617">
        <v>2017</v>
      </c>
      <c r="D3617">
        <v>878</v>
      </c>
      <c r="F3617">
        <v>54977</v>
      </c>
    </row>
    <row r="3618" spans="1:6" x14ac:dyDescent="0.35">
      <c r="A3618" t="s">
        <v>272</v>
      </c>
      <c r="B3618" t="s">
        <v>273</v>
      </c>
      <c r="C3618">
        <v>2018</v>
      </c>
      <c r="D3618">
        <v>804</v>
      </c>
      <c r="F3618">
        <v>53612</v>
      </c>
    </row>
    <row r="3619" spans="1:6" x14ac:dyDescent="0.35">
      <c r="A3619" t="s">
        <v>272</v>
      </c>
      <c r="B3619" t="s">
        <v>273</v>
      </c>
      <c r="C3619">
        <v>2019</v>
      </c>
      <c r="D3619">
        <v>808</v>
      </c>
      <c r="F3619">
        <v>52969</v>
      </c>
    </row>
    <row r="3620" spans="1:6" x14ac:dyDescent="0.35">
      <c r="A3620" t="s">
        <v>272</v>
      </c>
      <c r="B3620" t="s">
        <v>273</v>
      </c>
      <c r="C3620">
        <v>2020</v>
      </c>
      <c r="D3620">
        <v>696</v>
      </c>
      <c r="F3620">
        <v>51692</v>
      </c>
    </row>
    <row r="3621" spans="1:6" x14ac:dyDescent="0.35">
      <c r="A3621" t="s">
        <v>274</v>
      </c>
      <c r="B3621" t="s">
        <v>275</v>
      </c>
      <c r="C3621">
        <v>1888</v>
      </c>
    </row>
    <row r="3622" spans="1:6" x14ac:dyDescent="0.35">
      <c r="A3622" t="s">
        <v>274</v>
      </c>
      <c r="B3622" t="s">
        <v>275</v>
      </c>
      <c r="C3622">
        <v>1889</v>
      </c>
    </row>
    <row r="3623" spans="1:6" x14ac:dyDescent="0.35">
      <c r="A3623" t="s">
        <v>274</v>
      </c>
      <c r="B3623" t="s">
        <v>275</v>
      </c>
      <c r="C3623">
        <v>1890</v>
      </c>
    </row>
    <row r="3624" spans="1:6" x14ac:dyDescent="0.35">
      <c r="A3624" t="s">
        <v>274</v>
      </c>
      <c r="B3624" t="s">
        <v>275</v>
      </c>
      <c r="C3624">
        <v>1891</v>
      </c>
    </row>
    <row r="3625" spans="1:6" x14ac:dyDescent="0.35">
      <c r="A3625" t="s">
        <v>274</v>
      </c>
      <c r="B3625" t="s">
        <v>275</v>
      </c>
      <c r="C3625">
        <v>1892</v>
      </c>
      <c r="D3625">
        <v>172</v>
      </c>
      <c r="E3625">
        <v>344</v>
      </c>
    </row>
    <row r="3626" spans="1:6" x14ac:dyDescent="0.35">
      <c r="A3626" t="s">
        <v>274</v>
      </c>
      <c r="B3626" t="s">
        <v>275</v>
      </c>
      <c r="C3626">
        <v>1893</v>
      </c>
      <c r="D3626">
        <v>188</v>
      </c>
      <c r="E3626">
        <v>376</v>
      </c>
    </row>
    <row r="3627" spans="1:6" x14ac:dyDescent="0.35">
      <c r="A3627" t="s">
        <v>274</v>
      </c>
      <c r="B3627" t="s">
        <v>275</v>
      </c>
      <c r="C3627">
        <v>1894</v>
      </c>
      <c r="D3627">
        <v>176</v>
      </c>
      <c r="E3627">
        <v>352</v>
      </c>
    </row>
    <row r="3628" spans="1:6" x14ac:dyDescent="0.35">
      <c r="A3628" t="s">
        <v>274</v>
      </c>
      <c r="B3628" t="s">
        <v>275</v>
      </c>
      <c r="C3628">
        <v>1895</v>
      </c>
      <c r="D3628">
        <v>198</v>
      </c>
      <c r="E3628">
        <v>396</v>
      </c>
    </row>
    <row r="3629" spans="1:6" x14ac:dyDescent="0.35">
      <c r="A3629" t="s">
        <v>274</v>
      </c>
      <c r="B3629" t="s">
        <v>275</v>
      </c>
      <c r="C3629">
        <v>1896</v>
      </c>
      <c r="D3629">
        <v>182</v>
      </c>
      <c r="E3629">
        <v>364</v>
      </c>
    </row>
    <row r="3630" spans="1:6" x14ac:dyDescent="0.35">
      <c r="A3630" t="s">
        <v>274</v>
      </c>
      <c r="B3630" t="s">
        <v>275</v>
      </c>
      <c r="C3630">
        <v>1897</v>
      </c>
      <c r="D3630">
        <v>180</v>
      </c>
      <c r="E3630">
        <v>360</v>
      </c>
    </row>
    <row r="3631" spans="1:6" x14ac:dyDescent="0.35">
      <c r="A3631" t="s">
        <v>274</v>
      </c>
      <c r="B3631" t="s">
        <v>275</v>
      </c>
      <c r="C3631">
        <v>1898</v>
      </c>
      <c r="D3631">
        <v>194</v>
      </c>
      <c r="E3631">
        <v>388</v>
      </c>
    </row>
    <row r="3632" spans="1:6" x14ac:dyDescent="0.35">
      <c r="A3632" t="s">
        <v>274</v>
      </c>
      <c r="B3632" t="s">
        <v>275</v>
      </c>
      <c r="C3632">
        <v>1899</v>
      </c>
      <c r="D3632">
        <v>176</v>
      </c>
      <c r="E3632">
        <v>352</v>
      </c>
    </row>
    <row r="3633" spans="1:5" x14ac:dyDescent="0.35">
      <c r="A3633" t="s">
        <v>274</v>
      </c>
      <c r="B3633" t="s">
        <v>275</v>
      </c>
      <c r="C3633">
        <v>1900</v>
      </c>
      <c r="D3633">
        <v>190</v>
      </c>
      <c r="E3633">
        <v>380</v>
      </c>
    </row>
    <row r="3634" spans="1:5" x14ac:dyDescent="0.35">
      <c r="A3634" t="s">
        <v>274</v>
      </c>
      <c r="B3634" t="s">
        <v>275</v>
      </c>
      <c r="C3634">
        <v>1901</v>
      </c>
      <c r="D3634">
        <v>190</v>
      </c>
      <c r="E3634">
        <v>380</v>
      </c>
    </row>
    <row r="3635" spans="1:5" x14ac:dyDescent="0.35">
      <c r="A3635" t="s">
        <v>274</v>
      </c>
      <c r="B3635" t="s">
        <v>275</v>
      </c>
      <c r="C3635">
        <v>1902</v>
      </c>
      <c r="D3635">
        <v>220</v>
      </c>
      <c r="E3635">
        <v>440</v>
      </c>
    </row>
    <row r="3636" spans="1:5" x14ac:dyDescent="0.35">
      <c r="A3636" t="s">
        <v>274</v>
      </c>
      <c r="B3636" t="s">
        <v>275</v>
      </c>
      <c r="C3636">
        <v>1903</v>
      </c>
      <c r="D3636">
        <v>222</v>
      </c>
      <c r="E3636">
        <v>444</v>
      </c>
    </row>
    <row r="3637" spans="1:5" x14ac:dyDescent="0.35">
      <c r="A3637" t="s">
        <v>274</v>
      </c>
      <c r="B3637" t="s">
        <v>275</v>
      </c>
      <c r="C3637">
        <v>1904</v>
      </c>
      <c r="D3637">
        <v>241</v>
      </c>
      <c r="E3637">
        <v>482</v>
      </c>
    </row>
    <row r="3638" spans="1:5" x14ac:dyDescent="0.35">
      <c r="A3638" t="s">
        <v>274</v>
      </c>
      <c r="B3638" t="s">
        <v>275</v>
      </c>
      <c r="C3638">
        <v>1905</v>
      </c>
      <c r="D3638">
        <v>242</v>
      </c>
      <c r="E3638">
        <v>484</v>
      </c>
    </row>
    <row r="3639" spans="1:5" x14ac:dyDescent="0.35">
      <c r="A3639" t="s">
        <v>274</v>
      </c>
      <c r="B3639" t="s">
        <v>275</v>
      </c>
      <c r="C3639">
        <v>1906</v>
      </c>
      <c r="D3639">
        <v>211</v>
      </c>
      <c r="E3639">
        <v>422</v>
      </c>
    </row>
    <row r="3640" spans="1:5" x14ac:dyDescent="0.35">
      <c r="A3640" t="s">
        <v>274</v>
      </c>
      <c r="B3640" t="s">
        <v>275</v>
      </c>
      <c r="C3640">
        <v>1907</v>
      </c>
      <c r="D3640">
        <v>244</v>
      </c>
      <c r="E3640">
        <v>488</v>
      </c>
    </row>
    <row r="3641" spans="1:5" x14ac:dyDescent="0.35">
      <c r="A3641" t="s">
        <v>274</v>
      </c>
      <c r="B3641" t="s">
        <v>275</v>
      </c>
      <c r="C3641">
        <v>1908</v>
      </c>
      <c r="D3641">
        <v>284</v>
      </c>
      <c r="E3641">
        <v>568</v>
      </c>
    </row>
    <row r="3642" spans="1:5" x14ac:dyDescent="0.35">
      <c r="A3642" t="s">
        <v>274</v>
      </c>
      <c r="B3642" t="s">
        <v>275</v>
      </c>
      <c r="C3642">
        <v>1909</v>
      </c>
      <c r="D3642">
        <v>265</v>
      </c>
      <c r="E3642">
        <v>530</v>
      </c>
    </row>
    <row r="3643" spans="1:5" x14ac:dyDescent="0.35">
      <c r="A3643" t="s">
        <v>274</v>
      </c>
      <c r="B3643" t="s">
        <v>275</v>
      </c>
      <c r="C3643">
        <v>1910</v>
      </c>
      <c r="D3643">
        <v>288</v>
      </c>
      <c r="E3643">
        <v>576</v>
      </c>
    </row>
    <row r="3644" spans="1:5" x14ac:dyDescent="0.35">
      <c r="A3644" t="s">
        <v>274</v>
      </c>
      <c r="B3644" t="s">
        <v>275</v>
      </c>
      <c r="C3644">
        <v>1911</v>
      </c>
      <c r="D3644">
        <v>300</v>
      </c>
      <c r="E3644">
        <v>600</v>
      </c>
    </row>
    <row r="3645" spans="1:5" x14ac:dyDescent="0.35">
      <c r="A3645" t="s">
        <v>274</v>
      </c>
      <c r="B3645" t="s">
        <v>275</v>
      </c>
      <c r="C3645">
        <v>1912</v>
      </c>
      <c r="D3645">
        <v>329</v>
      </c>
      <c r="E3645">
        <v>658</v>
      </c>
    </row>
    <row r="3646" spans="1:5" x14ac:dyDescent="0.35">
      <c r="A3646" t="s">
        <v>274</v>
      </c>
      <c r="B3646" t="s">
        <v>275</v>
      </c>
      <c r="C3646">
        <v>1913</v>
      </c>
      <c r="D3646">
        <v>314</v>
      </c>
      <c r="E3646">
        <v>628</v>
      </c>
    </row>
    <row r="3647" spans="1:5" x14ac:dyDescent="0.35">
      <c r="A3647" t="s">
        <v>274</v>
      </c>
      <c r="B3647" t="s">
        <v>275</v>
      </c>
      <c r="C3647">
        <v>1914</v>
      </c>
      <c r="D3647">
        <v>350</v>
      </c>
      <c r="E3647">
        <v>700</v>
      </c>
    </row>
    <row r="3648" spans="1:5" x14ac:dyDescent="0.35">
      <c r="A3648" t="s">
        <v>274</v>
      </c>
      <c r="B3648" t="s">
        <v>275</v>
      </c>
      <c r="C3648">
        <v>1915</v>
      </c>
      <c r="D3648">
        <v>302</v>
      </c>
      <c r="E3648">
        <v>604</v>
      </c>
    </row>
    <row r="3649" spans="1:5" x14ac:dyDescent="0.35">
      <c r="A3649" t="s">
        <v>274</v>
      </c>
      <c r="B3649" t="s">
        <v>275</v>
      </c>
      <c r="C3649">
        <v>1916</v>
      </c>
      <c r="D3649">
        <v>323</v>
      </c>
      <c r="E3649">
        <v>646</v>
      </c>
    </row>
    <row r="3650" spans="1:5" x14ac:dyDescent="0.35">
      <c r="A3650" t="s">
        <v>274</v>
      </c>
      <c r="B3650" t="s">
        <v>275</v>
      </c>
      <c r="C3650">
        <v>1917</v>
      </c>
      <c r="D3650">
        <v>312</v>
      </c>
      <c r="E3650">
        <v>624</v>
      </c>
    </row>
    <row r="3651" spans="1:5" x14ac:dyDescent="0.35">
      <c r="A3651" t="s">
        <v>274</v>
      </c>
      <c r="B3651" t="s">
        <v>275</v>
      </c>
      <c r="C3651">
        <v>1918</v>
      </c>
      <c r="D3651">
        <v>294</v>
      </c>
      <c r="E3651">
        <v>588</v>
      </c>
    </row>
    <row r="3652" spans="1:5" x14ac:dyDescent="0.35">
      <c r="A3652" t="s">
        <v>274</v>
      </c>
      <c r="B3652" t="s">
        <v>275</v>
      </c>
      <c r="C3652">
        <v>1919</v>
      </c>
      <c r="D3652">
        <v>270</v>
      </c>
      <c r="E3652">
        <v>540</v>
      </c>
    </row>
    <row r="3653" spans="1:5" x14ac:dyDescent="0.35">
      <c r="A3653" t="s">
        <v>274</v>
      </c>
      <c r="B3653" t="s">
        <v>275</v>
      </c>
      <c r="C3653">
        <v>1920</v>
      </c>
      <c r="D3653">
        <v>365</v>
      </c>
      <c r="E3653">
        <v>730</v>
      </c>
    </row>
    <row r="3654" spans="1:5" x14ac:dyDescent="0.35">
      <c r="A3654" t="s">
        <v>274</v>
      </c>
      <c r="B3654" t="s">
        <v>275</v>
      </c>
      <c r="C3654">
        <v>1921</v>
      </c>
      <c r="D3654">
        <v>347</v>
      </c>
      <c r="E3654">
        <v>694</v>
      </c>
    </row>
    <row r="3655" spans="1:5" x14ac:dyDescent="0.35">
      <c r="A3655" t="s">
        <v>274</v>
      </c>
      <c r="B3655" t="s">
        <v>275</v>
      </c>
      <c r="C3655">
        <v>1922</v>
      </c>
      <c r="D3655">
        <v>328</v>
      </c>
      <c r="E3655">
        <v>656</v>
      </c>
    </row>
    <row r="3656" spans="1:5" x14ac:dyDescent="0.35">
      <c r="A3656" t="s">
        <v>274</v>
      </c>
      <c r="B3656" t="s">
        <v>275</v>
      </c>
      <c r="C3656">
        <v>1923</v>
      </c>
      <c r="D3656">
        <v>289</v>
      </c>
      <c r="E3656">
        <v>578</v>
      </c>
    </row>
    <row r="3657" spans="1:5" x14ac:dyDescent="0.35">
      <c r="A3657" t="s">
        <v>274</v>
      </c>
      <c r="B3657" t="s">
        <v>275</v>
      </c>
      <c r="C3657">
        <v>1924</v>
      </c>
      <c r="D3657">
        <v>296</v>
      </c>
      <c r="E3657">
        <v>592</v>
      </c>
    </row>
    <row r="3658" spans="1:5" x14ac:dyDescent="0.35">
      <c r="A3658" t="s">
        <v>274</v>
      </c>
      <c r="B3658" t="s">
        <v>275</v>
      </c>
      <c r="C3658">
        <v>1925</v>
      </c>
      <c r="D3658">
        <v>301</v>
      </c>
      <c r="E3658">
        <v>602</v>
      </c>
    </row>
    <row r="3659" spans="1:5" x14ac:dyDescent="0.35">
      <c r="A3659" t="s">
        <v>274</v>
      </c>
      <c r="B3659" t="s">
        <v>275</v>
      </c>
      <c r="C3659">
        <v>1926</v>
      </c>
      <c r="D3659">
        <v>358</v>
      </c>
      <c r="E3659">
        <v>716</v>
      </c>
    </row>
    <row r="3660" spans="1:5" x14ac:dyDescent="0.35">
      <c r="A3660" t="s">
        <v>274</v>
      </c>
      <c r="B3660" t="s">
        <v>275</v>
      </c>
      <c r="C3660">
        <v>1927</v>
      </c>
      <c r="D3660">
        <v>331</v>
      </c>
      <c r="E3660">
        <v>662</v>
      </c>
    </row>
    <row r="3661" spans="1:5" x14ac:dyDescent="0.35">
      <c r="A3661" t="s">
        <v>274</v>
      </c>
      <c r="B3661" t="s">
        <v>275</v>
      </c>
      <c r="C3661">
        <v>1928</v>
      </c>
      <c r="D3661">
        <v>273</v>
      </c>
      <c r="E3661">
        <v>546</v>
      </c>
    </row>
    <row r="3662" spans="1:5" x14ac:dyDescent="0.35">
      <c r="A3662" t="s">
        <v>274</v>
      </c>
      <c r="B3662" t="s">
        <v>275</v>
      </c>
      <c r="C3662">
        <v>1928</v>
      </c>
      <c r="D3662">
        <v>300</v>
      </c>
    </row>
    <row r="3663" spans="1:5" x14ac:dyDescent="0.35">
      <c r="A3663" t="s">
        <v>274</v>
      </c>
      <c r="B3663" t="s">
        <v>275</v>
      </c>
      <c r="C3663">
        <v>1929</v>
      </c>
      <c r="D3663">
        <v>275</v>
      </c>
      <c r="E3663">
        <v>550</v>
      </c>
    </row>
    <row r="3664" spans="1:5" x14ac:dyDescent="0.35">
      <c r="A3664" t="s">
        <v>274</v>
      </c>
      <c r="B3664" t="s">
        <v>275</v>
      </c>
      <c r="C3664">
        <v>1929</v>
      </c>
      <c r="D3664">
        <v>321</v>
      </c>
    </row>
    <row r="3665" spans="1:5" x14ac:dyDescent="0.35">
      <c r="A3665" t="s">
        <v>274</v>
      </c>
      <c r="B3665" t="s">
        <v>275</v>
      </c>
      <c r="C3665">
        <v>1930</v>
      </c>
      <c r="D3665">
        <v>304</v>
      </c>
      <c r="E3665">
        <v>610</v>
      </c>
    </row>
    <row r="3666" spans="1:5" x14ac:dyDescent="0.35">
      <c r="A3666" t="s">
        <v>274</v>
      </c>
      <c r="B3666" t="s">
        <v>275</v>
      </c>
      <c r="C3666">
        <v>1930</v>
      </c>
      <c r="D3666">
        <v>340</v>
      </c>
    </row>
    <row r="3667" spans="1:5" x14ac:dyDescent="0.35">
      <c r="A3667" t="s">
        <v>274</v>
      </c>
      <c r="B3667" t="s">
        <v>275</v>
      </c>
      <c r="C3667">
        <v>1931</v>
      </c>
      <c r="D3667">
        <v>288</v>
      </c>
      <c r="E3667">
        <v>570</v>
      </c>
    </row>
    <row r="3668" spans="1:5" x14ac:dyDescent="0.35">
      <c r="A3668" t="s">
        <v>274</v>
      </c>
      <c r="B3668" t="s">
        <v>275</v>
      </c>
      <c r="C3668">
        <v>1931</v>
      </c>
      <c r="D3668">
        <v>331</v>
      </c>
    </row>
    <row r="3669" spans="1:5" x14ac:dyDescent="0.35">
      <c r="A3669" t="s">
        <v>274</v>
      </c>
      <c r="B3669" t="s">
        <v>275</v>
      </c>
      <c r="C3669">
        <v>1932</v>
      </c>
      <c r="D3669">
        <v>260</v>
      </c>
      <c r="E3669">
        <v>520</v>
      </c>
    </row>
    <row r="3670" spans="1:5" x14ac:dyDescent="0.35">
      <c r="A3670" t="s">
        <v>274</v>
      </c>
      <c r="B3670" t="s">
        <v>275</v>
      </c>
      <c r="C3670">
        <v>1932</v>
      </c>
      <c r="D3670">
        <v>291</v>
      </c>
    </row>
    <row r="3671" spans="1:5" x14ac:dyDescent="0.35">
      <c r="A3671" t="s">
        <v>274</v>
      </c>
      <c r="B3671" t="s">
        <v>275</v>
      </c>
      <c r="C3671">
        <v>1933</v>
      </c>
      <c r="D3671">
        <v>250</v>
      </c>
      <c r="E3671">
        <v>502</v>
      </c>
    </row>
    <row r="3672" spans="1:5" x14ac:dyDescent="0.35">
      <c r="A3672" t="s">
        <v>274</v>
      </c>
      <c r="B3672" t="s">
        <v>275</v>
      </c>
      <c r="C3672">
        <v>1933</v>
      </c>
      <c r="D3672">
        <v>290</v>
      </c>
    </row>
    <row r="3673" spans="1:5" x14ac:dyDescent="0.35">
      <c r="A3673" t="s">
        <v>274</v>
      </c>
      <c r="B3673" t="s">
        <v>275</v>
      </c>
      <c r="C3673">
        <v>1934</v>
      </c>
      <c r="D3673">
        <v>258</v>
      </c>
      <c r="E3673">
        <v>516</v>
      </c>
    </row>
    <row r="3674" spans="1:5" x14ac:dyDescent="0.35">
      <c r="A3674" t="s">
        <v>274</v>
      </c>
      <c r="B3674" t="s">
        <v>275</v>
      </c>
      <c r="C3674">
        <v>1934</v>
      </c>
      <c r="D3674">
        <v>293</v>
      </c>
    </row>
    <row r="3675" spans="1:5" x14ac:dyDescent="0.35">
      <c r="A3675" t="s">
        <v>274</v>
      </c>
      <c r="B3675" t="s">
        <v>275</v>
      </c>
      <c r="C3675">
        <v>1935</v>
      </c>
      <c r="D3675">
        <v>275</v>
      </c>
      <c r="E3675">
        <v>550</v>
      </c>
    </row>
    <row r="3676" spans="1:5" x14ac:dyDescent="0.35">
      <c r="A3676" t="s">
        <v>274</v>
      </c>
      <c r="B3676" t="s">
        <v>275</v>
      </c>
      <c r="C3676">
        <v>1935</v>
      </c>
      <c r="D3676">
        <v>303</v>
      </c>
    </row>
    <row r="3677" spans="1:5" x14ac:dyDescent="0.35">
      <c r="A3677" t="s">
        <v>274</v>
      </c>
      <c r="B3677" t="s">
        <v>275</v>
      </c>
      <c r="C3677">
        <v>1936</v>
      </c>
      <c r="D3677">
        <v>225</v>
      </c>
      <c r="E3677">
        <v>450</v>
      </c>
    </row>
    <row r="3678" spans="1:5" x14ac:dyDescent="0.35">
      <c r="A3678" t="s">
        <v>274</v>
      </c>
      <c r="B3678" t="s">
        <v>275</v>
      </c>
      <c r="C3678">
        <v>1936</v>
      </c>
      <c r="D3678">
        <v>267</v>
      </c>
    </row>
    <row r="3679" spans="1:5" x14ac:dyDescent="0.35">
      <c r="A3679" t="s">
        <v>274</v>
      </c>
      <c r="B3679" t="s">
        <v>275</v>
      </c>
      <c r="C3679">
        <v>1937</v>
      </c>
      <c r="D3679">
        <v>276</v>
      </c>
      <c r="E3679">
        <v>554</v>
      </c>
    </row>
    <row r="3680" spans="1:5" x14ac:dyDescent="0.35">
      <c r="A3680" t="s">
        <v>274</v>
      </c>
      <c r="B3680" t="s">
        <v>275</v>
      </c>
      <c r="C3680">
        <v>1937</v>
      </c>
      <c r="D3680">
        <v>309</v>
      </c>
    </row>
    <row r="3681" spans="1:5" x14ac:dyDescent="0.35">
      <c r="A3681" t="s">
        <v>274</v>
      </c>
      <c r="B3681" t="s">
        <v>275</v>
      </c>
      <c r="C3681">
        <v>1938</v>
      </c>
      <c r="D3681">
        <v>296</v>
      </c>
      <c r="E3681">
        <v>592</v>
      </c>
    </row>
    <row r="3682" spans="1:5" x14ac:dyDescent="0.35">
      <c r="A3682" t="s">
        <v>274</v>
      </c>
      <c r="B3682" t="s">
        <v>275</v>
      </c>
      <c r="C3682">
        <v>1938</v>
      </c>
      <c r="D3682">
        <v>326</v>
      </c>
    </row>
    <row r="3683" spans="1:5" x14ac:dyDescent="0.35">
      <c r="A3683" t="s">
        <v>274</v>
      </c>
      <c r="B3683" t="s">
        <v>275</v>
      </c>
      <c r="C3683">
        <v>1939</v>
      </c>
      <c r="D3683">
        <v>299</v>
      </c>
      <c r="E3683">
        <v>598</v>
      </c>
    </row>
    <row r="3684" spans="1:5" x14ac:dyDescent="0.35">
      <c r="A3684" t="s">
        <v>274</v>
      </c>
      <c r="B3684" t="s">
        <v>275</v>
      </c>
      <c r="C3684">
        <v>1939</v>
      </c>
      <c r="D3684">
        <v>330</v>
      </c>
    </row>
    <row r="3685" spans="1:5" x14ac:dyDescent="0.35">
      <c r="A3685" t="s">
        <v>274</v>
      </c>
      <c r="B3685" t="s">
        <v>275</v>
      </c>
      <c r="C3685">
        <v>1940</v>
      </c>
      <c r="D3685">
        <v>344</v>
      </c>
      <c r="E3685">
        <v>688</v>
      </c>
    </row>
    <row r="3686" spans="1:5" x14ac:dyDescent="0.35">
      <c r="A3686" t="s">
        <v>274</v>
      </c>
      <c r="B3686" t="s">
        <v>275</v>
      </c>
      <c r="C3686">
        <v>1940</v>
      </c>
      <c r="D3686">
        <v>399</v>
      </c>
    </row>
    <row r="3687" spans="1:5" x14ac:dyDescent="0.35">
      <c r="A3687" t="s">
        <v>274</v>
      </c>
      <c r="B3687" t="s">
        <v>275</v>
      </c>
      <c r="C3687">
        <v>1941</v>
      </c>
      <c r="D3687">
        <v>398</v>
      </c>
      <c r="E3687">
        <v>794</v>
      </c>
    </row>
    <row r="3688" spans="1:5" x14ac:dyDescent="0.35">
      <c r="A3688" t="s">
        <v>274</v>
      </c>
      <c r="B3688" t="s">
        <v>275</v>
      </c>
      <c r="C3688">
        <v>1941</v>
      </c>
      <c r="D3688">
        <v>463</v>
      </c>
    </row>
    <row r="3689" spans="1:5" x14ac:dyDescent="0.35">
      <c r="A3689" t="s">
        <v>274</v>
      </c>
      <c r="B3689" t="s">
        <v>275</v>
      </c>
      <c r="C3689">
        <v>1942</v>
      </c>
      <c r="D3689">
        <v>400</v>
      </c>
      <c r="E3689">
        <v>800</v>
      </c>
    </row>
    <row r="3690" spans="1:5" x14ac:dyDescent="0.35">
      <c r="A3690" t="s">
        <v>274</v>
      </c>
      <c r="B3690" t="s">
        <v>275</v>
      </c>
      <c r="C3690">
        <v>1942</v>
      </c>
      <c r="D3690">
        <v>437</v>
      </c>
    </row>
    <row r="3691" spans="1:5" x14ac:dyDescent="0.35">
      <c r="A3691" t="s">
        <v>274</v>
      </c>
      <c r="B3691" t="s">
        <v>275</v>
      </c>
      <c r="C3691">
        <v>1943</v>
      </c>
      <c r="D3691">
        <v>332</v>
      </c>
      <c r="E3691">
        <v>664</v>
      </c>
    </row>
    <row r="3692" spans="1:5" x14ac:dyDescent="0.35">
      <c r="A3692" t="s">
        <v>274</v>
      </c>
      <c r="B3692" t="s">
        <v>275</v>
      </c>
      <c r="C3692">
        <v>1943</v>
      </c>
      <c r="D3692">
        <v>384</v>
      </c>
    </row>
    <row r="3693" spans="1:5" x14ac:dyDescent="0.35">
      <c r="A3693" t="s">
        <v>274</v>
      </c>
      <c r="B3693" t="s">
        <v>275</v>
      </c>
      <c r="C3693">
        <v>1944</v>
      </c>
      <c r="D3693">
        <v>430</v>
      </c>
      <c r="E3693">
        <v>860</v>
      </c>
    </row>
    <row r="3694" spans="1:5" x14ac:dyDescent="0.35">
      <c r="A3694" t="s">
        <v>274</v>
      </c>
      <c r="B3694" t="s">
        <v>275</v>
      </c>
      <c r="C3694">
        <v>1944</v>
      </c>
      <c r="D3694">
        <v>473</v>
      </c>
    </row>
    <row r="3695" spans="1:5" x14ac:dyDescent="0.35">
      <c r="A3695" t="s">
        <v>274</v>
      </c>
      <c r="B3695" t="s">
        <v>275</v>
      </c>
      <c r="C3695">
        <v>1945</v>
      </c>
      <c r="D3695">
        <v>463</v>
      </c>
    </row>
    <row r="3696" spans="1:5" x14ac:dyDescent="0.35">
      <c r="A3696" t="s">
        <v>274</v>
      </c>
      <c r="B3696" t="s">
        <v>275</v>
      </c>
      <c r="C3696">
        <v>1945</v>
      </c>
      <c r="D3696">
        <v>511</v>
      </c>
    </row>
    <row r="3697" spans="1:5" x14ac:dyDescent="0.35">
      <c r="A3697" t="s">
        <v>274</v>
      </c>
      <c r="B3697" t="s">
        <v>275</v>
      </c>
      <c r="C3697">
        <v>1946</v>
      </c>
      <c r="D3697">
        <v>518</v>
      </c>
    </row>
    <row r="3698" spans="1:5" x14ac:dyDescent="0.35">
      <c r="A3698" t="s">
        <v>274</v>
      </c>
      <c r="B3698" t="s">
        <v>275</v>
      </c>
      <c r="C3698">
        <v>1946</v>
      </c>
      <c r="D3698">
        <v>574</v>
      </c>
    </row>
    <row r="3699" spans="1:5" x14ac:dyDescent="0.35">
      <c r="A3699" t="s">
        <v>274</v>
      </c>
      <c r="B3699" t="s">
        <v>275</v>
      </c>
      <c r="C3699">
        <v>1947</v>
      </c>
      <c r="D3699">
        <v>529</v>
      </c>
      <c r="E3699">
        <v>1058</v>
      </c>
    </row>
    <row r="3700" spans="1:5" x14ac:dyDescent="0.35">
      <c r="A3700" t="s">
        <v>274</v>
      </c>
      <c r="B3700" t="s">
        <v>275</v>
      </c>
      <c r="C3700">
        <v>1947</v>
      </c>
      <c r="D3700">
        <v>578</v>
      </c>
    </row>
    <row r="3701" spans="1:5" x14ac:dyDescent="0.35">
      <c r="A3701" t="s">
        <v>274</v>
      </c>
      <c r="B3701" t="s">
        <v>275</v>
      </c>
      <c r="C3701">
        <v>1948</v>
      </c>
      <c r="D3701">
        <v>522</v>
      </c>
    </row>
    <row r="3702" spans="1:5" x14ac:dyDescent="0.35">
      <c r="A3702" t="s">
        <v>274</v>
      </c>
      <c r="B3702" t="s">
        <v>275</v>
      </c>
      <c r="C3702">
        <v>1948</v>
      </c>
      <c r="D3702">
        <v>559</v>
      </c>
    </row>
    <row r="3703" spans="1:5" x14ac:dyDescent="0.35">
      <c r="A3703" t="s">
        <v>274</v>
      </c>
      <c r="B3703" t="s">
        <v>275</v>
      </c>
      <c r="C3703">
        <v>1949</v>
      </c>
      <c r="D3703">
        <v>532</v>
      </c>
      <c r="E3703">
        <v>1064</v>
      </c>
    </row>
    <row r="3704" spans="1:5" x14ac:dyDescent="0.35">
      <c r="A3704" t="s">
        <v>274</v>
      </c>
      <c r="B3704" t="s">
        <v>275</v>
      </c>
      <c r="C3704">
        <v>1949</v>
      </c>
      <c r="D3704">
        <v>584</v>
      </c>
    </row>
    <row r="3705" spans="1:5" x14ac:dyDescent="0.35">
      <c r="A3705" t="s">
        <v>274</v>
      </c>
      <c r="B3705" t="s">
        <v>275</v>
      </c>
      <c r="C3705">
        <v>1950</v>
      </c>
      <c r="D3705">
        <v>540</v>
      </c>
    </row>
    <row r="3706" spans="1:5" x14ac:dyDescent="0.35">
      <c r="A3706" t="s">
        <v>274</v>
      </c>
      <c r="B3706" t="s">
        <v>275</v>
      </c>
      <c r="C3706">
        <v>1950</v>
      </c>
      <c r="D3706">
        <v>598</v>
      </c>
    </row>
    <row r="3707" spans="1:5" x14ac:dyDescent="0.35">
      <c r="A3707" t="s">
        <v>274</v>
      </c>
      <c r="B3707" t="s">
        <v>275</v>
      </c>
      <c r="C3707">
        <v>1951</v>
      </c>
      <c r="D3707">
        <v>509</v>
      </c>
    </row>
    <row r="3708" spans="1:5" x14ac:dyDescent="0.35">
      <c r="A3708" t="s">
        <v>274</v>
      </c>
      <c r="B3708" t="s">
        <v>275</v>
      </c>
      <c r="C3708">
        <v>1951</v>
      </c>
      <c r="D3708">
        <v>559</v>
      </c>
    </row>
    <row r="3709" spans="1:5" x14ac:dyDescent="0.35">
      <c r="A3709" t="s">
        <v>274</v>
      </c>
      <c r="B3709" t="s">
        <v>275</v>
      </c>
      <c r="C3709">
        <v>1952</v>
      </c>
      <c r="D3709">
        <v>569</v>
      </c>
    </row>
    <row r="3710" spans="1:5" x14ac:dyDescent="0.35">
      <c r="A3710" t="s">
        <v>274</v>
      </c>
      <c r="B3710" t="s">
        <v>275</v>
      </c>
      <c r="C3710">
        <v>1952</v>
      </c>
      <c r="D3710">
        <v>624</v>
      </c>
    </row>
    <row r="3711" spans="1:5" x14ac:dyDescent="0.35">
      <c r="A3711" t="s">
        <v>274</v>
      </c>
      <c r="B3711" t="s">
        <v>275</v>
      </c>
      <c r="C3711">
        <v>1953</v>
      </c>
      <c r="D3711">
        <v>562</v>
      </c>
    </row>
    <row r="3712" spans="1:5" x14ac:dyDescent="0.35">
      <c r="A3712" t="s">
        <v>274</v>
      </c>
      <c r="B3712" t="s">
        <v>275</v>
      </c>
      <c r="C3712">
        <v>1953</v>
      </c>
      <c r="D3712">
        <v>613</v>
      </c>
    </row>
    <row r="3713" spans="1:4" x14ac:dyDescent="0.35">
      <c r="A3713" t="s">
        <v>274</v>
      </c>
      <c r="B3713" t="s">
        <v>275</v>
      </c>
      <c r="C3713">
        <v>1954</v>
      </c>
      <c r="D3713">
        <v>600</v>
      </c>
    </row>
    <row r="3714" spans="1:4" x14ac:dyDescent="0.35">
      <c r="A3714" t="s">
        <v>274</v>
      </c>
      <c r="B3714" t="s">
        <v>275</v>
      </c>
      <c r="C3714">
        <v>1954</v>
      </c>
      <c r="D3714">
        <v>646</v>
      </c>
    </row>
    <row r="3715" spans="1:4" x14ac:dyDescent="0.35">
      <c r="A3715" t="s">
        <v>274</v>
      </c>
      <c r="B3715" t="s">
        <v>275</v>
      </c>
      <c r="C3715">
        <v>1955</v>
      </c>
      <c r="D3715">
        <v>605</v>
      </c>
    </row>
    <row r="3716" spans="1:4" x14ac:dyDescent="0.35">
      <c r="A3716" t="s">
        <v>274</v>
      </c>
      <c r="B3716" t="s">
        <v>275</v>
      </c>
      <c r="C3716">
        <v>1955</v>
      </c>
      <c r="D3716">
        <v>658</v>
      </c>
    </row>
    <row r="3717" spans="1:4" x14ac:dyDescent="0.35">
      <c r="A3717" t="s">
        <v>274</v>
      </c>
      <c r="B3717" t="s">
        <v>275</v>
      </c>
      <c r="C3717">
        <v>1956</v>
      </c>
      <c r="D3717">
        <v>619</v>
      </c>
    </row>
    <row r="3718" spans="1:4" x14ac:dyDescent="0.35">
      <c r="A3718" t="s">
        <v>274</v>
      </c>
      <c r="B3718" t="s">
        <v>275</v>
      </c>
      <c r="C3718">
        <v>1956</v>
      </c>
      <c r="D3718">
        <v>685</v>
      </c>
    </row>
    <row r="3719" spans="1:4" x14ac:dyDescent="0.35">
      <c r="A3719" t="s">
        <v>274</v>
      </c>
      <c r="B3719" t="s">
        <v>275</v>
      </c>
      <c r="C3719">
        <v>1957</v>
      </c>
      <c r="D3719">
        <v>555</v>
      </c>
    </row>
    <row r="3720" spans="1:4" x14ac:dyDescent="0.35">
      <c r="A3720" t="s">
        <v>274</v>
      </c>
      <c r="B3720" t="s">
        <v>275</v>
      </c>
      <c r="C3720">
        <v>1957</v>
      </c>
      <c r="D3720">
        <v>615</v>
      </c>
    </row>
    <row r="3721" spans="1:4" x14ac:dyDescent="0.35">
      <c r="A3721" t="s">
        <v>274</v>
      </c>
      <c r="B3721" t="s">
        <v>275</v>
      </c>
      <c r="C3721">
        <v>1958</v>
      </c>
      <c r="D3721">
        <v>620</v>
      </c>
    </row>
    <row r="3722" spans="1:4" x14ac:dyDescent="0.35">
      <c r="A3722" t="s">
        <v>274</v>
      </c>
      <c r="B3722" t="s">
        <v>275</v>
      </c>
      <c r="C3722">
        <v>1958</v>
      </c>
      <c r="D3722">
        <v>651</v>
      </c>
    </row>
    <row r="3723" spans="1:4" x14ac:dyDescent="0.35">
      <c r="A3723" t="s">
        <v>274</v>
      </c>
      <c r="B3723" t="s">
        <v>275</v>
      </c>
      <c r="C3723">
        <v>1959</v>
      </c>
      <c r="D3723">
        <v>706</v>
      </c>
    </row>
    <row r="3724" spans="1:4" x14ac:dyDescent="0.35">
      <c r="A3724" t="s">
        <v>274</v>
      </c>
      <c r="B3724" t="s">
        <v>275</v>
      </c>
      <c r="C3724">
        <v>1959</v>
      </c>
      <c r="D3724">
        <v>755</v>
      </c>
    </row>
    <row r="3725" spans="1:4" x14ac:dyDescent="0.35">
      <c r="A3725" t="s">
        <v>274</v>
      </c>
      <c r="B3725" t="s">
        <v>275</v>
      </c>
      <c r="C3725">
        <v>1960</v>
      </c>
      <c r="D3725">
        <v>624</v>
      </c>
    </row>
    <row r="3726" spans="1:4" x14ac:dyDescent="0.35">
      <c r="A3726" t="s">
        <v>274</v>
      </c>
      <c r="B3726" t="s">
        <v>275</v>
      </c>
      <c r="C3726">
        <v>1960</v>
      </c>
      <c r="D3726">
        <v>679</v>
      </c>
    </row>
    <row r="3727" spans="1:4" x14ac:dyDescent="0.35">
      <c r="A3727" t="s">
        <v>274</v>
      </c>
      <c r="B3727" t="s">
        <v>275</v>
      </c>
      <c r="C3727">
        <v>1961</v>
      </c>
      <c r="D3727">
        <v>657</v>
      </c>
    </row>
    <row r="3728" spans="1:4" x14ac:dyDescent="0.35">
      <c r="A3728" t="s">
        <v>274</v>
      </c>
      <c r="B3728" t="s">
        <v>275</v>
      </c>
      <c r="C3728">
        <v>1961</v>
      </c>
      <c r="D3728">
        <v>694</v>
      </c>
    </row>
    <row r="3729" spans="1:4" x14ac:dyDescent="0.35">
      <c r="A3729" t="s">
        <v>274</v>
      </c>
      <c r="B3729" t="s">
        <v>275</v>
      </c>
      <c r="C3729">
        <v>1962</v>
      </c>
      <c r="D3729">
        <v>663</v>
      </c>
    </row>
    <row r="3730" spans="1:4" x14ac:dyDescent="0.35">
      <c r="A3730" t="s">
        <v>274</v>
      </c>
      <c r="B3730" t="s">
        <v>275</v>
      </c>
      <c r="C3730">
        <v>1962</v>
      </c>
      <c r="D3730">
        <v>704</v>
      </c>
    </row>
    <row r="3731" spans="1:4" x14ac:dyDescent="0.35">
      <c r="A3731" t="s">
        <v>274</v>
      </c>
      <c r="B3731" t="s">
        <v>275</v>
      </c>
      <c r="C3731">
        <v>1963</v>
      </c>
      <c r="D3731">
        <v>681</v>
      </c>
    </row>
    <row r="3732" spans="1:4" x14ac:dyDescent="0.35">
      <c r="A3732" t="s">
        <v>274</v>
      </c>
      <c r="B3732" t="s">
        <v>275</v>
      </c>
      <c r="C3732">
        <v>1963</v>
      </c>
      <c r="D3732">
        <v>725</v>
      </c>
    </row>
    <row r="3733" spans="1:4" x14ac:dyDescent="0.35">
      <c r="A3733" t="s">
        <v>274</v>
      </c>
      <c r="B3733" t="s">
        <v>275</v>
      </c>
      <c r="C3733">
        <v>1964</v>
      </c>
      <c r="D3733">
        <v>684</v>
      </c>
    </row>
    <row r="3734" spans="1:4" x14ac:dyDescent="0.35">
      <c r="A3734" t="s">
        <v>274</v>
      </c>
      <c r="B3734" t="s">
        <v>275</v>
      </c>
      <c r="C3734">
        <v>1964</v>
      </c>
      <c r="D3734">
        <v>721</v>
      </c>
    </row>
    <row r="3735" spans="1:4" x14ac:dyDescent="0.35">
      <c r="A3735" t="s">
        <v>274</v>
      </c>
      <c r="B3735" t="s">
        <v>275</v>
      </c>
      <c r="C3735">
        <v>1965</v>
      </c>
      <c r="D3735">
        <v>600</v>
      </c>
    </row>
    <row r="3736" spans="1:4" x14ac:dyDescent="0.35">
      <c r="A3736" t="s">
        <v>274</v>
      </c>
      <c r="B3736" t="s">
        <v>275</v>
      </c>
      <c r="C3736">
        <v>1965</v>
      </c>
      <c r="D3736">
        <v>633</v>
      </c>
    </row>
    <row r="3737" spans="1:4" x14ac:dyDescent="0.35">
      <c r="A3737" t="s">
        <v>274</v>
      </c>
      <c r="B3737" t="s">
        <v>275</v>
      </c>
      <c r="C3737">
        <v>1966</v>
      </c>
      <c r="D3737">
        <v>589</v>
      </c>
    </row>
    <row r="3738" spans="1:4" x14ac:dyDescent="0.35">
      <c r="A3738" t="s">
        <v>274</v>
      </c>
      <c r="B3738" t="s">
        <v>275</v>
      </c>
      <c r="C3738">
        <v>1966</v>
      </c>
      <c r="D3738">
        <v>619</v>
      </c>
    </row>
    <row r="3739" spans="1:4" x14ac:dyDescent="0.35">
      <c r="A3739" t="s">
        <v>274</v>
      </c>
      <c r="B3739" t="s">
        <v>275</v>
      </c>
      <c r="C3739">
        <v>1967</v>
      </c>
      <c r="D3739">
        <v>590</v>
      </c>
    </row>
    <row r="3740" spans="1:4" x14ac:dyDescent="0.35">
      <c r="A3740" t="s">
        <v>274</v>
      </c>
      <c r="B3740" t="s">
        <v>275</v>
      </c>
      <c r="C3740">
        <v>1967</v>
      </c>
      <c r="D3740">
        <v>615</v>
      </c>
    </row>
    <row r="3741" spans="1:4" x14ac:dyDescent="0.35">
      <c r="A3741" t="s">
        <v>274</v>
      </c>
      <c r="B3741" t="s">
        <v>275</v>
      </c>
      <c r="C3741">
        <v>1968</v>
      </c>
      <c r="D3741">
        <v>666</v>
      </c>
    </row>
    <row r="3742" spans="1:4" x14ac:dyDescent="0.35">
      <c r="A3742" t="s">
        <v>274</v>
      </c>
      <c r="B3742" t="s">
        <v>275</v>
      </c>
      <c r="C3742">
        <v>1968</v>
      </c>
      <c r="D3742">
        <v>690</v>
      </c>
    </row>
    <row r="3743" spans="1:4" x14ac:dyDescent="0.35">
      <c r="A3743" t="s">
        <v>274</v>
      </c>
      <c r="B3743" t="s">
        <v>275</v>
      </c>
      <c r="C3743">
        <v>1969</v>
      </c>
      <c r="D3743">
        <v>627</v>
      </c>
    </row>
    <row r="3744" spans="1:4" x14ac:dyDescent="0.35">
      <c r="A3744" t="s">
        <v>274</v>
      </c>
      <c r="B3744" t="s">
        <v>275</v>
      </c>
      <c r="C3744">
        <v>1969</v>
      </c>
      <c r="D3744">
        <v>646</v>
      </c>
    </row>
    <row r="3745" spans="1:6" x14ac:dyDescent="0.35">
      <c r="A3745" t="s">
        <v>274</v>
      </c>
      <c r="B3745" t="s">
        <v>275</v>
      </c>
      <c r="C3745">
        <v>1970</v>
      </c>
      <c r="D3745">
        <v>647</v>
      </c>
    </row>
    <row r="3746" spans="1:6" x14ac:dyDescent="0.35">
      <c r="A3746" t="s">
        <v>274</v>
      </c>
      <c r="B3746" t="s">
        <v>275</v>
      </c>
      <c r="C3746">
        <v>1970</v>
      </c>
      <c r="D3746">
        <v>673</v>
      </c>
    </row>
    <row r="3747" spans="1:6" x14ac:dyDescent="0.35">
      <c r="A3747" t="s">
        <v>274</v>
      </c>
      <c r="B3747" t="s">
        <v>275</v>
      </c>
      <c r="C3747">
        <v>1971</v>
      </c>
      <c r="D3747">
        <v>678</v>
      </c>
      <c r="F3747">
        <v>63735</v>
      </c>
    </row>
    <row r="3748" spans="1:6" x14ac:dyDescent="0.35">
      <c r="A3748" t="s">
        <v>274</v>
      </c>
      <c r="B3748" t="s">
        <v>275</v>
      </c>
      <c r="C3748">
        <v>1972</v>
      </c>
      <c r="D3748">
        <v>618</v>
      </c>
      <c r="F3748">
        <v>62586</v>
      </c>
    </row>
    <row r="3749" spans="1:6" x14ac:dyDescent="0.35">
      <c r="A3749" t="s">
        <v>274</v>
      </c>
      <c r="B3749" t="s">
        <v>275</v>
      </c>
      <c r="C3749">
        <v>1973</v>
      </c>
      <c r="D3749">
        <v>591</v>
      </c>
      <c r="F3749">
        <v>60093</v>
      </c>
    </row>
    <row r="3750" spans="1:6" x14ac:dyDescent="0.35">
      <c r="A3750" t="s">
        <v>274</v>
      </c>
      <c r="B3750" t="s">
        <v>275</v>
      </c>
      <c r="C3750">
        <v>1974</v>
      </c>
      <c r="D3750">
        <v>570</v>
      </c>
      <c r="F3750">
        <v>58692</v>
      </c>
    </row>
    <row r="3751" spans="1:6" x14ac:dyDescent="0.35">
      <c r="A3751" t="s">
        <v>274</v>
      </c>
      <c r="B3751" t="s">
        <v>275</v>
      </c>
      <c r="C3751">
        <v>1975</v>
      </c>
      <c r="D3751">
        <v>597</v>
      </c>
      <c r="F3751">
        <v>55902</v>
      </c>
    </row>
    <row r="3752" spans="1:6" x14ac:dyDescent="0.35">
      <c r="A3752" t="s">
        <v>274</v>
      </c>
      <c r="B3752" t="s">
        <v>275</v>
      </c>
      <c r="C3752">
        <v>1976</v>
      </c>
      <c r="D3752">
        <v>534</v>
      </c>
      <c r="F3752">
        <v>54447</v>
      </c>
    </row>
    <row r="3753" spans="1:6" x14ac:dyDescent="0.35">
      <c r="A3753" t="s">
        <v>274</v>
      </c>
      <c r="B3753" t="s">
        <v>275</v>
      </c>
      <c r="C3753">
        <v>1977</v>
      </c>
      <c r="D3753">
        <v>543</v>
      </c>
      <c r="F3753">
        <v>53487</v>
      </c>
    </row>
    <row r="3754" spans="1:6" x14ac:dyDescent="0.35">
      <c r="A3754" t="s">
        <v>274</v>
      </c>
      <c r="B3754" t="s">
        <v>275</v>
      </c>
      <c r="C3754">
        <v>1978</v>
      </c>
      <c r="D3754">
        <v>528</v>
      </c>
      <c r="F3754">
        <v>50310</v>
      </c>
    </row>
    <row r="3755" spans="1:6" x14ac:dyDescent="0.35">
      <c r="A3755" t="s">
        <v>274</v>
      </c>
      <c r="B3755" t="s">
        <v>275</v>
      </c>
      <c r="C3755">
        <v>1979</v>
      </c>
      <c r="D3755">
        <v>516</v>
      </c>
      <c r="F3755">
        <v>51576</v>
      </c>
    </row>
    <row r="3756" spans="1:6" x14ac:dyDescent="0.35">
      <c r="A3756" t="s">
        <v>274</v>
      </c>
      <c r="B3756" t="s">
        <v>275</v>
      </c>
      <c r="C3756">
        <v>1980</v>
      </c>
      <c r="D3756">
        <v>510</v>
      </c>
      <c r="F3756">
        <v>49848</v>
      </c>
    </row>
    <row r="3757" spans="1:6" x14ac:dyDescent="0.35">
      <c r="A3757" t="s">
        <v>274</v>
      </c>
      <c r="B3757" t="s">
        <v>275</v>
      </c>
      <c r="C3757">
        <v>1981</v>
      </c>
      <c r="D3757">
        <v>522</v>
      </c>
      <c r="F3757">
        <v>50052</v>
      </c>
    </row>
    <row r="3758" spans="1:6" x14ac:dyDescent="0.35">
      <c r="A3758" t="s">
        <v>274</v>
      </c>
      <c r="B3758" t="s">
        <v>275</v>
      </c>
      <c r="C3758">
        <v>1982</v>
      </c>
      <c r="D3758">
        <v>501</v>
      </c>
      <c r="F3758">
        <v>49203</v>
      </c>
    </row>
    <row r="3759" spans="1:6" x14ac:dyDescent="0.35">
      <c r="A3759" t="s">
        <v>274</v>
      </c>
      <c r="B3759" t="s">
        <v>275</v>
      </c>
      <c r="C3759">
        <v>1983</v>
      </c>
      <c r="D3759">
        <v>531</v>
      </c>
      <c r="F3759">
        <v>49653</v>
      </c>
    </row>
    <row r="3760" spans="1:6" x14ac:dyDescent="0.35">
      <c r="A3760" t="s">
        <v>274</v>
      </c>
      <c r="B3760" t="s">
        <v>275</v>
      </c>
      <c r="C3760">
        <v>1984</v>
      </c>
      <c r="D3760">
        <v>582</v>
      </c>
      <c r="F3760">
        <v>50694</v>
      </c>
    </row>
    <row r="3761" spans="1:6" x14ac:dyDescent="0.35">
      <c r="A3761" t="s">
        <v>274</v>
      </c>
      <c r="B3761" t="s">
        <v>275</v>
      </c>
      <c r="C3761">
        <v>1985</v>
      </c>
      <c r="D3761">
        <v>546</v>
      </c>
      <c r="F3761">
        <v>50916</v>
      </c>
    </row>
    <row r="3762" spans="1:6" x14ac:dyDescent="0.35">
      <c r="A3762" t="s">
        <v>274</v>
      </c>
      <c r="B3762" t="s">
        <v>275</v>
      </c>
      <c r="C3762">
        <v>1986</v>
      </c>
      <c r="D3762">
        <v>552</v>
      </c>
      <c r="F3762">
        <v>51933</v>
      </c>
    </row>
    <row r="3763" spans="1:6" x14ac:dyDescent="0.35">
      <c r="A3763" t="s">
        <v>274</v>
      </c>
      <c r="B3763" t="s">
        <v>275</v>
      </c>
      <c r="C3763">
        <v>1987</v>
      </c>
      <c r="D3763">
        <v>642</v>
      </c>
      <c r="F3763">
        <v>54216</v>
      </c>
    </row>
    <row r="3764" spans="1:6" x14ac:dyDescent="0.35">
      <c r="A3764" t="s">
        <v>274</v>
      </c>
      <c r="B3764" t="s">
        <v>275</v>
      </c>
      <c r="C3764">
        <v>1988</v>
      </c>
      <c r="D3764">
        <v>630</v>
      </c>
      <c r="F3764">
        <v>56541</v>
      </c>
    </row>
    <row r="3765" spans="1:6" x14ac:dyDescent="0.35">
      <c r="A3765" t="s">
        <v>274</v>
      </c>
      <c r="B3765" t="s">
        <v>275</v>
      </c>
      <c r="C3765">
        <v>1989</v>
      </c>
      <c r="D3765">
        <v>663</v>
      </c>
      <c r="F3765">
        <v>57003</v>
      </c>
    </row>
    <row r="3766" spans="1:6" x14ac:dyDescent="0.35">
      <c r="A3766" t="s">
        <v>274</v>
      </c>
      <c r="B3766" t="s">
        <v>275</v>
      </c>
      <c r="C3766">
        <v>1990</v>
      </c>
      <c r="D3766">
        <v>705</v>
      </c>
      <c r="F3766">
        <v>58950</v>
      </c>
    </row>
    <row r="3767" spans="1:6" x14ac:dyDescent="0.35">
      <c r="A3767" t="s">
        <v>274</v>
      </c>
      <c r="B3767" t="s">
        <v>275</v>
      </c>
      <c r="C3767">
        <v>1991</v>
      </c>
      <c r="D3767">
        <v>714</v>
      </c>
      <c r="F3767">
        <v>58707</v>
      </c>
    </row>
    <row r="3768" spans="1:6" x14ac:dyDescent="0.35">
      <c r="A3768" t="s">
        <v>274</v>
      </c>
      <c r="B3768" t="s">
        <v>275</v>
      </c>
      <c r="C3768">
        <v>1992</v>
      </c>
      <c r="D3768">
        <v>714</v>
      </c>
      <c r="F3768">
        <v>57954</v>
      </c>
    </row>
    <row r="3769" spans="1:6" x14ac:dyDescent="0.35">
      <c r="A3769" t="s">
        <v>274</v>
      </c>
      <c r="B3769" t="s">
        <v>275</v>
      </c>
      <c r="C3769">
        <v>1993</v>
      </c>
      <c r="D3769">
        <v>717</v>
      </c>
      <c r="F3769">
        <v>57480</v>
      </c>
    </row>
    <row r="3770" spans="1:6" x14ac:dyDescent="0.35">
      <c r="A3770" t="s">
        <v>274</v>
      </c>
      <c r="B3770" t="s">
        <v>275</v>
      </c>
      <c r="C3770">
        <v>1994</v>
      </c>
      <c r="D3770">
        <v>744</v>
      </c>
      <c r="F3770">
        <v>55974</v>
      </c>
    </row>
    <row r="3771" spans="1:6" x14ac:dyDescent="0.35">
      <c r="A3771" t="s">
        <v>274</v>
      </c>
      <c r="B3771" t="s">
        <v>275</v>
      </c>
      <c r="C3771">
        <v>1995</v>
      </c>
      <c r="D3771">
        <v>708</v>
      </c>
      <c r="F3771">
        <v>56442</v>
      </c>
    </row>
    <row r="3772" spans="1:6" x14ac:dyDescent="0.35">
      <c r="A3772" t="s">
        <v>274</v>
      </c>
      <c r="B3772" t="s">
        <v>275</v>
      </c>
      <c r="C3772">
        <v>1996</v>
      </c>
      <c r="D3772">
        <v>735</v>
      </c>
      <c r="F3772">
        <v>56130</v>
      </c>
    </row>
    <row r="3773" spans="1:6" x14ac:dyDescent="0.35">
      <c r="A3773" t="s">
        <v>274</v>
      </c>
      <c r="B3773" t="s">
        <v>275</v>
      </c>
      <c r="C3773">
        <v>1997</v>
      </c>
      <c r="D3773">
        <v>804</v>
      </c>
      <c r="F3773">
        <v>56283</v>
      </c>
    </row>
    <row r="3774" spans="1:6" x14ac:dyDescent="0.35">
      <c r="A3774" t="s">
        <v>274</v>
      </c>
      <c r="B3774" t="s">
        <v>275</v>
      </c>
      <c r="C3774">
        <v>1998</v>
      </c>
      <c r="D3774">
        <v>834</v>
      </c>
      <c r="F3774">
        <v>53955</v>
      </c>
    </row>
    <row r="3775" spans="1:6" x14ac:dyDescent="0.35">
      <c r="A3775" t="s">
        <v>274</v>
      </c>
      <c r="B3775" t="s">
        <v>275</v>
      </c>
      <c r="C3775">
        <v>1999</v>
      </c>
      <c r="D3775">
        <v>843</v>
      </c>
      <c r="F3775">
        <v>55698</v>
      </c>
    </row>
    <row r="3776" spans="1:6" x14ac:dyDescent="0.35">
      <c r="A3776" t="s">
        <v>274</v>
      </c>
      <c r="B3776" t="s">
        <v>275</v>
      </c>
      <c r="C3776">
        <v>2000</v>
      </c>
      <c r="D3776">
        <v>882</v>
      </c>
      <c r="F3776">
        <v>55119</v>
      </c>
    </row>
    <row r="3777" spans="1:6" x14ac:dyDescent="0.35">
      <c r="A3777" t="s">
        <v>274</v>
      </c>
      <c r="B3777" t="s">
        <v>275</v>
      </c>
      <c r="C3777">
        <v>2001</v>
      </c>
      <c r="D3777">
        <v>879</v>
      </c>
      <c r="F3777">
        <v>54333</v>
      </c>
    </row>
    <row r="3778" spans="1:6" x14ac:dyDescent="0.35">
      <c r="A3778" t="s">
        <v>274</v>
      </c>
      <c r="B3778" t="s">
        <v>275</v>
      </c>
      <c r="C3778">
        <v>2002</v>
      </c>
      <c r="D3778">
        <v>900</v>
      </c>
      <c r="F3778">
        <v>52536</v>
      </c>
    </row>
    <row r="3779" spans="1:6" x14ac:dyDescent="0.35">
      <c r="A3779" t="s">
        <v>274</v>
      </c>
      <c r="B3779" t="s">
        <v>275</v>
      </c>
      <c r="C3779">
        <v>2003</v>
      </c>
      <c r="D3779">
        <v>906</v>
      </c>
      <c r="F3779">
        <v>54606</v>
      </c>
    </row>
    <row r="3780" spans="1:6" x14ac:dyDescent="0.35">
      <c r="A3780" t="s">
        <v>274</v>
      </c>
      <c r="B3780" t="s">
        <v>275</v>
      </c>
      <c r="C3780">
        <v>2004</v>
      </c>
      <c r="D3780">
        <v>945</v>
      </c>
      <c r="F3780">
        <v>56634</v>
      </c>
    </row>
    <row r="3781" spans="1:6" x14ac:dyDescent="0.35">
      <c r="A3781" t="s">
        <v>274</v>
      </c>
      <c r="B3781" t="s">
        <v>275</v>
      </c>
      <c r="C3781">
        <v>2005</v>
      </c>
      <c r="D3781">
        <v>882</v>
      </c>
      <c r="F3781">
        <v>56295</v>
      </c>
    </row>
    <row r="3782" spans="1:6" x14ac:dyDescent="0.35">
      <c r="A3782" t="s">
        <v>274</v>
      </c>
      <c r="B3782" t="s">
        <v>275</v>
      </c>
      <c r="C3782">
        <v>2006</v>
      </c>
      <c r="D3782">
        <v>864</v>
      </c>
      <c r="F3782">
        <v>57801</v>
      </c>
    </row>
    <row r="3783" spans="1:6" x14ac:dyDescent="0.35">
      <c r="A3783" t="s">
        <v>274</v>
      </c>
      <c r="B3783" t="s">
        <v>275</v>
      </c>
      <c r="C3783">
        <v>2007</v>
      </c>
      <c r="D3783">
        <v>987</v>
      </c>
      <c r="F3783">
        <v>62493</v>
      </c>
    </row>
    <row r="3784" spans="1:6" x14ac:dyDescent="0.35">
      <c r="A3784" t="s">
        <v>274</v>
      </c>
      <c r="B3784" t="s">
        <v>275</v>
      </c>
      <c r="C3784">
        <v>2008</v>
      </c>
      <c r="D3784">
        <v>939</v>
      </c>
      <c r="F3784">
        <v>62931</v>
      </c>
    </row>
    <row r="3785" spans="1:6" x14ac:dyDescent="0.35">
      <c r="A3785" t="s">
        <v>274</v>
      </c>
      <c r="B3785" t="s">
        <v>275</v>
      </c>
      <c r="C3785">
        <v>2009</v>
      </c>
      <c r="D3785">
        <v>867</v>
      </c>
      <c r="F3785">
        <v>61131</v>
      </c>
    </row>
    <row r="3786" spans="1:6" x14ac:dyDescent="0.35">
      <c r="A3786" t="s">
        <v>274</v>
      </c>
      <c r="B3786" t="s">
        <v>275</v>
      </c>
      <c r="C3786">
        <v>2010</v>
      </c>
      <c r="D3786">
        <v>915</v>
      </c>
      <c r="F3786">
        <v>62433</v>
      </c>
    </row>
    <row r="3787" spans="1:6" x14ac:dyDescent="0.35">
      <c r="A3787" t="s">
        <v>274</v>
      </c>
      <c r="B3787" t="s">
        <v>275</v>
      </c>
      <c r="C3787">
        <v>2011</v>
      </c>
      <c r="D3787">
        <v>879</v>
      </c>
      <c r="F3787">
        <v>60027</v>
      </c>
    </row>
    <row r="3788" spans="1:6" x14ac:dyDescent="0.35">
      <c r="A3788" t="s">
        <v>274</v>
      </c>
      <c r="B3788" t="s">
        <v>275</v>
      </c>
      <c r="C3788">
        <v>2012</v>
      </c>
      <c r="D3788">
        <v>837</v>
      </c>
      <c r="F3788">
        <v>59838</v>
      </c>
    </row>
    <row r="3789" spans="1:6" x14ac:dyDescent="0.35">
      <c r="A3789" t="s">
        <v>274</v>
      </c>
      <c r="B3789" t="s">
        <v>275</v>
      </c>
      <c r="C3789">
        <v>2013</v>
      </c>
      <c r="D3789">
        <v>843</v>
      </c>
      <c r="F3789">
        <v>57327</v>
      </c>
    </row>
    <row r="3790" spans="1:6" x14ac:dyDescent="0.35">
      <c r="A3790" t="s">
        <v>274</v>
      </c>
      <c r="B3790" t="s">
        <v>275</v>
      </c>
      <c r="C3790">
        <v>2014</v>
      </c>
      <c r="D3790">
        <v>810</v>
      </c>
      <c r="F3790">
        <v>55959</v>
      </c>
    </row>
    <row r="3791" spans="1:6" x14ac:dyDescent="0.35">
      <c r="A3791" t="s">
        <v>274</v>
      </c>
      <c r="B3791" t="s">
        <v>275</v>
      </c>
      <c r="C3791">
        <v>2015</v>
      </c>
      <c r="D3791">
        <v>828</v>
      </c>
      <c r="F3791">
        <v>59631</v>
      </c>
    </row>
    <row r="3792" spans="1:6" x14ac:dyDescent="0.35">
      <c r="A3792" t="s">
        <v>274</v>
      </c>
      <c r="B3792" t="s">
        <v>275</v>
      </c>
      <c r="C3792">
        <v>2016</v>
      </c>
      <c r="D3792">
        <v>810</v>
      </c>
      <c r="F3792">
        <v>58110</v>
      </c>
    </row>
    <row r="3793" spans="1:6" x14ac:dyDescent="0.35">
      <c r="A3793" t="s">
        <v>274</v>
      </c>
      <c r="B3793" t="s">
        <v>275</v>
      </c>
      <c r="C3793">
        <v>2017</v>
      </c>
      <c r="D3793">
        <v>753</v>
      </c>
      <c r="F3793">
        <v>58383</v>
      </c>
    </row>
    <row r="3794" spans="1:6" x14ac:dyDescent="0.35">
      <c r="A3794" t="s">
        <v>274</v>
      </c>
      <c r="B3794" t="s">
        <v>275</v>
      </c>
      <c r="C3794">
        <v>2018</v>
      </c>
      <c r="D3794">
        <v>711</v>
      </c>
      <c r="F3794">
        <v>56892</v>
      </c>
    </row>
    <row r="3795" spans="1:6" x14ac:dyDescent="0.35">
      <c r="A3795" t="s">
        <v>274</v>
      </c>
      <c r="B3795" t="s">
        <v>275</v>
      </c>
      <c r="C3795">
        <v>2019</v>
      </c>
      <c r="D3795">
        <v>762</v>
      </c>
      <c r="F3795">
        <v>58398</v>
      </c>
    </row>
    <row r="3796" spans="1:6" x14ac:dyDescent="0.35">
      <c r="A3796" t="s">
        <v>274</v>
      </c>
      <c r="B3796" t="s">
        <v>275</v>
      </c>
      <c r="C3796">
        <v>2020</v>
      </c>
      <c r="D3796">
        <v>738</v>
      </c>
      <c r="F3796">
        <v>56418</v>
      </c>
    </row>
    <row r="3797" spans="1:6" x14ac:dyDescent="0.35">
      <c r="A3797" t="s">
        <v>274</v>
      </c>
      <c r="B3797" t="s">
        <v>275</v>
      </c>
      <c r="C3797">
        <v>2021</v>
      </c>
      <c r="D3797">
        <v>765</v>
      </c>
      <c r="F3797">
        <v>57438</v>
      </c>
    </row>
    <row r="3798" spans="1:6" x14ac:dyDescent="0.35">
      <c r="A3798" t="s">
        <v>276</v>
      </c>
      <c r="B3798" t="s">
        <v>277</v>
      </c>
      <c r="C3798">
        <v>1856</v>
      </c>
      <c r="D3798">
        <v>1267</v>
      </c>
    </row>
    <row r="3799" spans="1:6" x14ac:dyDescent="0.35">
      <c r="A3799" t="s">
        <v>276</v>
      </c>
      <c r="B3799" t="s">
        <v>277</v>
      </c>
      <c r="C3799">
        <v>1857</v>
      </c>
      <c r="D3799">
        <v>1300</v>
      </c>
    </row>
    <row r="3800" spans="1:6" x14ac:dyDescent="0.35">
      <c r="A3800" t="s">
        <v>276</v>
      </c>
      <c r="B3800" t="s">
        <v>277</v>
      </c>
      <c r="C3800">
        <v>1858</v>
      </c>
      <c r="D3800">
        <v>1262</v>
      </c>
    </row>
    <row r="3801" spans="1:6" x14ac:dyDescent="0.35">
      <c r="A3801" t="s">
        <v>276</v>
      </c>
      <c r="B3801" t="s">
        <v>277</v>
      </c>
      <c r="C3801">
        <v>1859</v>
      </c>
      <c r="D3801">
        <v>1335</v>
      </c>
    </row>
    <row r="3802" spans="1:6" x14ac:dyDescent="0.35">
      <c r="A3802" t="s">
        <v>276</v>
      </c>
      <c r="B3802" t="s">
        <v>277</v>
      </c>
      <c r="C3802">
        <v>1860</v>
      </c>
      <c r="D3802">
        <v>1247</v>
      </c>
    </row>
    <row r="3803" spans="1:6" x14ac:dyDescent="0.35">
      <c r="A3803" t="s">
        <v>276</v>
      </c>
      <c r="B3803" t="s">
        <v>277</v>
      </c>
      <c r="C3803">
        <v>1861</v>
      </c>
      <c r="D3803">
        <v>1249</v>
      </c>
    </row>
    <row r="3804" spans="1:6" x14ac:dyDescent="0.35">
      <c r="A3804" t="s">
        <v>276</v>
      </c>
      <c r="B3804" t="s">
        <v>277</v>
      </c>
      <c r="C3804">
        <v>1862</v>
      </c>
      <c r="D3804">
        <v>1279</v>
      </c>
    </row>
    <row r="3805" spans="1:6" x14ac:dyDescent="0.35">
      <c r="A3805" t="s">
        <v>276</v>
      </c>
      <c r="B3805" t="s">
        <v>277</v>
      </c>
      <c r="C3805">
        <v>1863</v>
      </c>
      <c r="D3805">
        <v>1267</v>
      </c>
    </row>
    <row r="3806" spans="1:6" x14ac:dyDescent="0.35">
      <c r="A3806" t="s">
        <v>276</v>
      </c>
      <c r="B3806" t="s">
        <v>277</v>
      </c>
      <c r="C3806">
        <v>1864</v>
      </c>
      <c r="D3806">
        <v>1332</v>
      </c>
    </row>
    <row r="3807" spans="1:6" x14ac:dyDescent="0.35">
      <c r="A3807" t="s">
        <v>276</v>
      </c>
      <c r="B3807" t="s">
        <v>277</v>
      </c>
      <c r="C3807">
        <v>1865</v>
      </c>
      <c r="D3807">
        <v>1364</v>
      </c>
    </row>
    <row r="3808" spans="1:6" x14ac:dyDescent="0.35">
      <c r="A3808" t="s">
        <v>276</v>
      </c>
      <c r="B3808" t="s">
        <v>277</v>
      </c>
      <c r="C3808">
        <v>1866</v>
      </c>
      <c r="D3808">
        <v>1366</v>
      </c>
    </row>
    <row r="3809" spans="1:4" x14ac:dyDescent="0.35">
      <c r="A3809" t="s">
        <v>276</v>
      </c>
      <c r="B3809" t="s">
        <v>277</v>
      </c>
      <c r="C3809">
        <v>1867</v>
      </c>
      <c r="D3809">
        <v>1365</v>
      </c>
    </row>
    <row r="3810" spans="1:4" x14ac:dyDescent="0.35">
      <c r="A3810" t="s">
        <v>276</v>
      </c>
      <c r="B3810" t="s">
        <v>277</v>
      </c>
      <c r="C3810">
        <v>1868</v>
      </c>
      <c r="D3810">
        <v>1443</v>
      </c>
    </row>
    <row r="3811" spans="1:4" x14ac:dyDescent="0.35">
      <c r="A3811" t="s">
        <v>276</v>
      </c>
      <c r="B3811" t="s">
        <v>277</v>
      </c>
      <c r="C3811">
        <v>1869</v>
      </c>
      <c r="D3811">
        <v>1407</v>
      </c>
    </row>
    <row r="3812" spans="1:4" x14ac:dyDescent="0.35">
      <c r="A3812" t="s">
        <v>276</v>
      </c>
      <c r="B3812" t="s">
        <v>277</v>
      </c>
      <c r="C3812">
        <v>1870</v>
      </c>
      <c r="D3812">
        <v>1384</v>
      </c>
    </row>
    <row r="3813" spans="1:4" x14ac:dyDescent="0.35">
      <c r="A3813" t="s">
        <v>276</v>
      </c>
      <c r="B3813" t="s">
        <v>277</v>
      </c>
      <c r="C3813">
        <v>1871</v>
      </c>
      <c r="D3813">
        <v>1299</v>
      </c>
    </row>
    <row r="3814" spans="1:4" x14ac:dyDescent="0.35">
      <c r="A3814" t="s">
        <v>276</v>
      </c>
      <c r="B3814" t="s">
        <v>277</v>
      </c>
      <c r="C3814">
        <v>1872</v>
      </c>
      <c r="D3814">
        <v>1383</v>
      </c>
    </row>
    <row r="3815" spans="1:4" x14ac:dyDescent="0.35">
      <c r="A3815" t="s">
        <v>276</v>
      </c>
      <c r="B3815" t="s">
        <v>277</v>
      </c>
      <c r="C3815">
        <v>1873</v>
      </c>
      <c r="D3815">
        <v>1410</v>
      </c>
    </row>
    <row r="3816" spans="1:4" x14ac:dyDescent="0.35">
      <c r="A3816" t="s">
        <v>276</v>
      </c>
      <c r="B3816" t="s">
        <v>277</v>
      </c>
      <c r="C3816">
        <v>1874</v>
      </c>
      <c r="D3816">
        <v>1512</v>
      </c>
    </row>
    <row r="3817" spans="1:4" x14ac:dyDescent="0.35">
      <c r="A3817" t="s">
        <v>276</v>
      </c>
      <c r="B3817" t="s">
        <v>277</v>
      </c>
      <c r="C3817">
        <v>1875</v>
      </c>
      <c r="D3817">
        <v>1477</v>
      </c>
    </row>
    <row r="3818" spans="1:4" x14ac:dyDescent="0.35">
      <c r="A3818" t="s">
        <v>276</v>
      </c>
      <c r="B3818" t="s">
        <v>277</v>
      </c>
      <c r="C3818">
        <v>1876</v>
      </c>
      <c r="D3818">
        <v>1463</v>
      </c>
    </row>
    <row r="3819" spans="1:4" x14ac:dyDescent="0.35">
      <c r="A3819" t="s">
        <v>276</v>
      </c>
      <c r="B3819" t="s">
        <v>277</v>
      </c>
      <c r="C3819">
        <v>1877</v>
      </c>
      <c r="D3819">
        <v>1429</v>
      </c>
    </row>
    <row r="3820" spans="1:4" x14ac:dyDescent="0.35">
      <c r="A3820" t="s">
        <v>276</v>
      </c>
      <c r="B3820" t="s">
        <v>277</v>
      </c>
      <c r="C3820">
        <v>1878</v>
      </c>
      <c r="D3820">
        <v>1367</v>
      </c>
    </row>
    <row r="3821" spans="1:4" x14ac:dyDescent="0.35">
      <c r="A3821" t="s">
        <v>276</v>
      </c>
      <c r="B3821" t="s">
        <v>277</v>
      </c>
      <c r="C3821">
        <v>1879</v>
      </c>
      <c r="D3821">
        <v>1452</v>
      </c>
    </row>
    <row r="3822" spans="1:4" x14ac:dyDescent="0.35">
      <c r="A3822" t="s">
        <v>276</v>
      </c>
      <c r="B3822" t="s">
        <v>277</v>
      </c>
      <c r="C3822">
        <v>1880</v>
      </c>
      <c r="D3822">
        <v>1438</v>
      </c>
    </row>
    <row r="3823" spans="1:4" x14ac:dyDescent="0.35">
      <c r="A3823" t="s">
        <v>276</v>
      </c>
      <c r="B3823" t="s">
        <v>277</v>
      </c>
      <c r="C3823">
        <v>1881</v>
      </c>
      <c r="D3823">
        <v>1418</v>
      </c>
    </row>
    <row r="3824" spans="1:4" x14ac:dyDescent="0.35">
      <c r="A3824" t="s">
        <v>276</v>
      </c>
      <c r="B3824" t="s">
        <v>277</v>
      </c>
      <c r="C3824">
        <v>1882</v>
      </c>
      <c r="D3824">
        <v>1415</v>
      </c>
    </row>
    <row r="3825" spans="1:4" x14ac:dyDescent="0.35">
      <c r="A3825" t="s">
        <v>276</v>
      </c>
      <c r="B3825" t="s">
        <v>277</v>
      </c>
      <c r="C3825">
        <v>1883</v>
      </c>
      <c r="D3825">
        <v>1370</v>
      </c>
    </row>
    <row r="3826" spans="1:4" x14ac:dyDescent="0.35">
      <c r="A3826" t="s">
        <v>276</v>
      </c>
      <c r="B3826" t="s">
        <v>277</v>
      </c>
      <c r="C3826">
        <v>1884</v>
      </c>
      <c r="D3826">
        <v>1457</v>
      </c>
    </row>
    <row r="3827" spans="1:4" x14ac:dyDescent="0.35">
      <c r="A3827" t="s">
        <v>276</v>
      </c>
      <c r="B3827" t="s">
        <v>277</v>
      </c>
      <c r="C3827">
        <v>1885</v>
      </c>
      <c r="D3827">
        <v>1423</v>
      </c>
    </row>
    <row r="3828" spans="1:4" x14ac:dyDescent="0.35">
      <c r="A3828" t="s">
        <v>276</v>
      </c>
      <c r="B3828" t="s">
        <v>277</v>
      </c>
      <c r="C3828">
        <v>1886</v>
      </c>
      <c r="D3828">
        <v>1331</v>
      </c>
    </row>
    <row r="3829" spans="1:4" x14ac:dyDescent="0.35">
      <c r="A3829" t="s">
        <v>276</v>
      </c>
      <c r="B3829" t="s">
        <v>277</v>
      </c>
      <c r="C3829">
        <v>1887</v>
      </c>
      <c r="D3829">
        <v>1335</v>
      </c>
    </row>
    <row r="3830" spans="1:4" x14ac:dyDescent="0.35">
      <c r="A3830" t="s">
        <v>276</v>
      </c>
      <c r="B3830" t="s">
        <v>277</v>
      </c>
      <c r="C3830">
        <v>1888</v>
      </c>
      <c r="D3830">
        <v>1380</v>
      </c>
    </row>
    <row r="3831" spans="1:4" x14ac:dyDescent="0.35">
      <c r="A3831" t="s">
        <v>276</v>
      </c>
      <c r="B3831" t="s">
        <v>277</v>
      </c>
      <c r="C3831">
        <v>1889</v>
      </c>
      <c r="D3831">
        <v>1423</v>
      </c>
    </row>
    <row r="3832" spans="1:4" x14ac:dyDescent="0.35">
      <c r="A3832" t="s">
        <v>276</v>
      </c>
      <c r="B3832" t="s">
        <v>277</v>
      </c>
      <c r="C3832">
        <v>1890</v>
      </c>
      <c r="D3832">
        <v>1421</v>
      </c>
    </row>
    <row r="3833" spans="1:4" x14ac:dyDescent="0.35">
      <c r="A3833" t="s">
        <v>276</v>
      </c>
      <c r="B3833" t="s">
        <v>277</v>
      </c>
      <c r="C3833">
        <v>1891</v>
      </c>
      <c r="D3833">
        <v>1372</v>
      </c>
    </row>
    <row r="3834" spans="1:4" x14ac:dyDescent="0.35">
      <c r="A3834" t="s">
        <v>276</v>
      </c>
      <c r="B3834" t="s">
        <v>277</v>
      </c>
      <c r="C3834">
        <v>1892</v>
      </c>
      <c r="D3834">
        <v>1468</v>
      </c>
    </row>
    <row r="3835" spans="1:4" x14ac:dyDescent="0.35">
      <c r="A3835" t="s">
        <v>276</v>
      </c>
      <c r="B3835" t="s">
        <v>277</v>
      </c>
      <c r="C3835">
        <v>1893</v>
      </c>
      <c r="D3835">
        <v>1469</v>
      </c>
    </row>
    <row r="3836" spans="1:4" x14ac:dyDescent="0.35">
      <c r="A3836" t="s">
        <v>276</v>
      </c>
      <c r="B3836" t="s">
        <v>277</v>
      </c>
      <c r="C3836">
        <v>1894</v>
      </c>
      <c r="D3836">
        <v>1450</v>
      </c>
    </row>
    <row r="3837" spans="1:4" x14ac:dyDescent="0.35">
      <c r="A3837" t="s">
        <v>276</v>
      </c>
      <c r="B3837" t="s">
        <v>277</v>
      </c>
      <c r="C3837">
        <v>1895</v>
      </c>
      <c r="D3837">
        <v>1342</v>
      </c>
    </row>
    <row r="3838" spans="1:4" x14ac:dyDescent="0.35">
      <c r="A3838" t="s">
        <v>276</v>
      </c>
      <c r="B3838" t="s">
        <v>277</v>
      </c>
      <c r="C3838">
        <v>1896</v>
      </c>
      <c r="D3838">
        <v>1493</v>
      </c>
    </row>
    <row r="3839" spans="1:4" x14ac:dyDescent="0.35">
      <c r="A3839" t="s">
        <v>276</v>
      </c>
      <c r="B3839" t="s">
        <v>277</v>
      </c>
      <c r="C3839">
        <v>1897</v>
      </c>
      <c r="D3839">
        <v>1375</v>
      </c>
    </row>
    <row r="3840" spans="1:4" x14ac:dyDescent="0.35">
      <c r="A3840" t="s">
        <v>276</v>
      </c>
      <c r="B3840" t="s">
        <v>277</v>
      </c>
      <c r="C3840">
        <v>1898</v>
      </c>
      <c r="D3840">
        <v>1450</v>
      </c>
    </row>
    <row r="3841" spans="1:4" x14ac:dyDescent="0.35">
      <c r="A3841" t="s">
        <v>276</v>
      </c>
      <c r="B3841" t="s">
        <v>277</v>
      </c>
      <c r="C3841">
        <v>1899</v>
      </c>
      <c r="D3841">
        <v>1463</v>
      </c>
    </row>
    <row r="3842" spans="1:4" x14ac:dyDescent="0.35">
      <c r="A3842" t="s">
        <v>276</v>
      </c>
      <c r="B3842" t="s">
        <v>277</v>
      </c>
      <c r="C3842">
        <v>1900</v>
      </c>
      <c r="D3842">
        <v>1544</v>
      </c>
    </row>
    <row r="3843" spans="1:4" x14ac:dyDescent="0.35">
      <c r="A3843" t="s">
        <v>276</v>
      </c>
      <c r="B3843" t="s">
        <v>277</v>
      </c>
      <c r="C3843">
        <v>1901</v>
      </c>
      <c r="D3843">
        <v>1547</v>
      </c>
    </row>
    <row r="3844" spans="1:4" x14ac:dyDescent="0.35">
      <c r="A3844" t="s">
        <v>276</v>
      </c>
      <c r="B3844" t="s">
        <v>277</v>
      </c>
      <c r="C3844">
        <v>1902</v>
      </c>
      <c r="D3844">
        <v>1620</v>
      </c>
    </row>
    <row r="3845" spans="1:4" x14ac:dyDescent="0.35">
      <c r="A3845" t="s">
        <v>276</v>
      </c>
      <c r="B3845" t="s">
        <v>277</v>
      </c>
      <c r="C3845">
        <v>1903</v>
      </c>
      <c r="D3845">
        <v>1604</v>
      </c>
    </row>
    <row r="3846" spans="1:4" x14ac:dyDescent="0.35">
      <c r="A3846" t="s">
        <v>276</v>
      </c>
      <c r="B3846" t="s">
        <v>277</v>
      </c>
      <c r="C3846">
        <v>1904</v>
      </c>
      <c r="D3846">
        <v>1603</v>
      </c>
    </row>
    <row r="3847" spans="1:4" x14ac:dyDescent="0.35">
      <c r="A3847" t="s">
        <v>276</v>
      </c>
      <c r="B3847" t="s">
        <v>277</v>
      </c>
      <c r="C3847">
        <v>1905</v>
      </c>
      <c r="D3847">
        <v>1619</v>
      </c>
    </row>
    <row r="3848" spans="1:4" x14ac:dyDescent="0.35">
      <c r="A3848" t="s">
        <v>276</v>
      </c>
      <c r="B3848" t="s">
        <v>277</v>
      </c>
      <c r="C3848">
        <v>1906</v>
      </c>
      <c r="D3848">
        <v>1524</v>
      </c>
    </row>
    <row r="3849" spans="1:4" x14ac:dyDescent="0.35">
      <c r="A3849" t="s">
        <v>276</v>
      </c>
      <c r="B3849" t="s">
        <v>277</v>
      </c>
      <c r="C3849">
        <v>1907</v>
      </c>
      <c r="D3849">
        <v>1676</v>
      </c>
    </row>
    <row r="3850" spans="1:4" x14ac:dyDescent="0.35">
      <c r="A3850" t="s">
        <v>276</v>
      </c>
      <c r="B3850" t="s">
        <v>277</v>
      </c>
      <c r="C3850">
        <v>1908</v>
      </c>
      <c r="D3850">
        <v>1675</v>
      </c>
    </row>
    <row r="3851" spans="1:4" x14ac:dyDescent="0.35">
      <c r="A3851" t="s">
        <v>276</v>
      </c>
      <c r="B3851" t="s">
        <v>277</v>
      </c>
      <c r="C3851">
        <v>1909</v>
      </c>
      <c r="D3851">
        <v>1627</v>
      </c>
    </row>
    <row r="3852" spans="1:4" x14ac:dyDescent="0.35">
      <c r="A3852" t="s">
        <v>276</v>
      </c>
      <c r="B3852" t="s">
        <v>277</v>
      </c>
      <c r="C3852">
        <v>1910</v>
      </c>
      <c r="D3852">
        <v>1541</v>
      </c>
    </row>
    <row r="3853" spans="1:4" x14ac:dyDescent="0.35">
      <c r="A3853" t="s">
        <v>276</v>
      </c>
      <c r="B3853" t="s">
        <v>277</v>
      </c>
      <c r="C3853">
        <v>1911</v>
      </c>
      <c r="D3853">
        <v>1552</v>
      </c>
    </row>
    <row r="3854" spans="1:4" x14ac:dyDescent="0.35">
      <c r="A3854" t="s">
        <v>276</v>
      </c>
      <c r="B3854" t="s">
        <v>277</v>
      </c>
      <c r="C3854">
        <v>1912</v>
      </c>
      <c r="D3854">
        <v>1524</v>
      </c>
    </row>
    <row r="3855" spans="1:4" x14ac:dyDescent="0.35">
      <c r="A3855" t="s">
        <v>276</v>
      </c>
      <c r="B3855" t="s">
        <v>277</v>
      </c>
      <c r="C3855">
        <v>1913</v>
      </c>
      <c r="D3855">
        <v>1527</v>
      </c>
    </row>
    <row r="3856" spans="1:4" x14ac:dyDescent="0.35">
      <c r="A3856" t="s">
        <v>276</v>
      </c>
      <c r="B3856" t="s">
        <v>277</v>
      </c>
      <c r="C3856">
        <v>1914</v>
      </c>
      <c r="D3856">
        <v>1634</v>
      </c>
    </row>
    <row r="3857" spans="1:4" x14ac:dyDescent="0.35">
      <c r="A3857" t="s">
        <v>276</v>
      </c>
      <c r="B3857" t="s">
        <v>277</v>
      </c>
      <c r="C3857">
        <v>1915</v>
      </c>
      <c r="D3857">
        <v>1451</v>
      </c>
    </row>
    <row r="3858" spans="1:4" x14ac:dyDescent="0.35">
      <c r="A3858" t="s">
        <v>276</v>
      </c>
      <c r="B3858" t="s">
        <v>277</v>
      </c>
      <c r="C3858">
        <v>1916</v>
      </c>
      <c r="D3858">
        <v>1419</v>
      </c>
    </row>
    <row r="3859" spans="1:4" x14ac:dyDescent="0.35">
      <c r="A3859" t="s">
        <v>276</v>
      </c>
      <c r="B3859" t="s">
        <v>277</v>
      </c>
      <c r="C3859">
        <v>1917</v>
      </c>
      <c r="D3859">
        <v>1274</v>
      </c>
    </row>
    <row r="3860" spans="1:4" x14ac:dyDescent="0.35">
      <c r="A3860" t="s">
        <v>276</v>
      </c>
      <c r="B3860" t="s">
        <v>277</v>
      </c>
      <c r="C3860">
        <v>1918</v>
      </c>
      <c r="D3860">
        <v>1357</v>
      </c>
    </row>
    <row r="3861" spans="1:4" x14ac:dyDescent="0.35">
      <c r="A3861" t="s">
        <v>276</v>
      </c>
      <c r="B3861" t="s">
        <v>277</v>
      </c>
      <c r="C3861">
        <v>1919</v>
      </c>
      <c r="D3861">
        <v>1584</v>
      </c>
    </row>
    <row r="3862" spans="1:4" x14ac:dyDescent="0.35">
      <c r="A3862" t="s">
        <v>276</v>
      </c>
      <c r="B3862" t="s">
        <v>277</v>
      </c>
      <c r="C3862">
        <v>1920</v>
      </c>
      <c r="D3862">
        <v>1822</v>
      </c>
    </row>
    <row r="3863" spans="1:4" x14ac:dyDescent="0.35">
      <c r="A3863" t="s">
        <v>276</v>
      </c>
      <c r="B3863" t="s">
        <v>277</v>
      </c>
      <c r="C3863">
        <v>1921</v>
      </c>
      <c r="D3863">
        <v>1596</v>
      </c>
    </row>
    <row r="3864" spans="1:4" x14ac:dyDescent="0.35">
      <c r="A3864" t="s">
        <v>276</v>
      </c>
      <c r="B3864" t="s">
        <v>277</v>
      </c>
      <c r="C3864">
        <v>1922</v>
      </c>
      <c r="D3864">
        <v>1498</v>
      </c>
    </row>
    <row r="3865" spans="1:4" x14ac:dyDescent="0.35">
      <c r="A3865" t="s">
        <v>276</v>
      </c>
      <c r="B3865" t="s">
        <v>277</v>
      </c>
      <c r="C3865">
        <v>1923</v>
      </c>
      <c r="D3865">
        <v>1491</v>
      </c>
    </row>
    <row r="3866" spans="1:4" x14ac:dyDescent="0.35">
      <c r="A3866" t="s">
        <v>276</v>
      </c>
      <c r="B3866" t="s">
        <v>277</v>
      </c>
      <c r="C3866">
        <v>1924</v>
      </c>
      <c r="D3866">
        <v>1400</v>
      </c>
    </row>
    <row r="3867" spans="1:4" x14ac:dyDescent="0.35">
      <c r="A3867" t="s">
        <v>276</v>
      </c>
      <c r="B3867" t="s">
        <v>277</v>
      </c>
      <c r="C3867">
        <v>1925</v>
      </c>
      <c r="D3867">
        <v>1309</v>
      </c>
    </row>
    <row r="3868" spans="1:4" x14ac:dyDescent="0.35">
      <c r="A3868" t="s">
        <v>276</v>
      </c>
      <c r="B3868" t="s">
        <v>277</v>
      </c>
      <c r="C3868">
        <v>1926</v>
      </c>
      <c r="D3868">
        <v>1279</v>
      </c>
    </row>
    <row r="3869" spans="1:4" x14ac:dyDescent="0.35">
      <c r="A3869" t="s">
        <v>276</v>
      </c>
      <c r="B3869" t="s">
        <v>277</v>
      </c>
      <c r="C3869">
        <v>1927</v>
      </c>
      <c r="D3869">
        <v>1237</v>
      </c>
    </row>
    <row r="3870" spans="1:4" x14ac:dyDescent="0.35">
      <c r="A3870" t="s">
        <v>276</v>
      </c>
      <c r="B3870" t="s">
        <v>277</v>
      </c>
      <c r="C3870">
        <v>1928</v>
      </c>
      <c r="D3870">
        <v>1201</v>
      </c>
    </row>
    <row r="3871" spans="1:4" x14ac:dyDescent="0.35">
      <c r="A3871" t="s">
        <v>276</v>
      </c>
      <c r="B3871" t="s">
        <v>277</v>
      </c>
      <c r="C3871">
        <v>1929</v>
      </c>
      <c r="D3871">
        <v>1157</v>
      </c>
    </row>
    <row r="3872" spans="1:4" x14ac:dyDescent="0.35">
      <c r="A3872" t="s">
        <v>276</v>
      </c>
      <c r="B3872" t="s">
        <v>277</v>
      </c>
      <c r="C3872">
        <v>1930</v>
      </c>
      <c r="D3872">
        <v>1265</v>
      </c>
    </row>
    <row r="3873" spans="1:4" x14ac:dyDescent="0.35">
      <c r="A3873" t="s">
        <v>276</v>
      </c>
      <c r="B3873" t="s">
        <v>277</v>
      </c>
      <c r="C3873">
        <v>1931</v>
      </c>
      <c r="D3873">
        <v>1117</v>
      </c>
    </row>
    <row r="3874" spans="1:4" x14ac:dyDescent="0.35">
      <c r="A3874" t="s">
        <v>276</v>
      </c>
      <c r="B3874" t="s">
        <v>277</v>
      </c>
      <c r="C3874">
        <v>1932</v>
      </c>
      <c r="D3874">
        <v>1106</v>
      </c>
    </row>
    <row r="3875" spans="1:4" x14ac:dyDescent="0.35">
      <c r="A3875" t="s">
        <v>276</v>
      </c>
      <c r="B3875" t="s">
        <v>277</v>
      </c>
      <c r="C3875">
        <v>1933</v>
      </c>
      <c r="D3875">
        <v>1067</v>
      </c>
    </row>
    <row r="3876" spans="1:4" x14ac:dyDescent="0.35">
      <c r="A3876" t="s">
        <v>276</v>
      </c>
      <c r="B3876" t="s">
        <v>277</v>
      </c>
      <c r="C3876">
        <v>1934</v>
      </c>
      <c r="D3876">
        <v>1034</v>
      </c>
    </row>
    <row r="3877" spans="1:4" x14ac:dyDescent="0.35">
      <c r="A3877" t="s">
        <v>276</v>
      </c>
      <c r="B3877" t="s">
        <v>277</v>
      </c>
      <c r="C3877">
        <v>1935</v>
      </c>
      <c r="D3877">
        <v>1058</v>
      </c>
    </row>
    <row r="3878" spans="1:4" x14ac:dyDescent="0.35">
      <c r="A3878" t="s">
        <v>276</v>
      </c>
      <c r="B3878" t="s">
        <v>277</v>
      </c>
      <c r="C3878">
        <v>1936</v>
      </c>
      <c r="D3878">
        <v>1047</v>
      </c>
    </row>
    <row r="3879" spans="1:4" x14ac:dyDescent="0.35">
      <c r="A3879" t="s">
        <v>276</v>
      </c>
      <c r="B3879" t="s">
        <v>277</v>
      </c>
      <c r="C3879">
        <v>1937</v>
      </c>
      <c r="D3879">
        <v>1035</v>
      </c>
    </row>
    <row r="3880" spans="1:4" x14ac:dyDescent="0.35">
      <c r="A3880" t="s">
        <v>276</v>
      </c>
      <c r="B3880" t="s">
        <v>277</v>
      </c>
      <c r="C3880">
        <v>1938</v>
      </c>
      <c r="D3880">
        <v>1058</v>
      </c>
    </row>
    <row r="3881" spans="1:4" x14ac:dyDescent="0.35">
      <c r="A3881" t="s">
        <v>276</v>
      </c>
      <c r="B3881" t="s">
        <v>277</v>
      </c>
      <c r="C3881">
        <v>1939</v>
      </c>
      <c r="D3881">
        <v>1233</v>
      </c>
    </row>
    <row r="3882" spans="1:4" x14ac:dyDescent="0.35">
      <c r="A3882" t="s">
        <v>276</v>
      </c>
      <c r="B3882" t="s">
        <v>277</v>
      </c>
      <c r="C3882">
        <v>1940</v>
      </c>
      <c r="D3882">
        <v>1206</v>
      </c>
    </row>
    <row r="3883" spans="1:4" x14ac:dyDescent="0.35">
      <c r="A3883" t="s">
        <v>276</v>
      </c>
      <c r="B3883" t="s">
        <v>277</v>
      </c>
      <c r="C3883">
        <v>1941</v>
      </c>
      <c r="D3883">
        <v>1207</v>
      </c>
    </row>
    <row r="3884" spans="1:4" x14ac:dyDescent="0.35">
      <c r="A3884" t="s">
        <v>276</v>
      </c>
      <c r="B3884" t="s">
        <v>277</v>
      </c>
      <c r="C3884">
        <v>1942</v>
      </c>
      <c r="D3884">
        <v>1175</v>
      </c>
    </row>
    <row r="3885" spans="1:4" x14ac:dyDescent="0.35">
      <c r="A3885" t="s">
        <v>276</v>
      </c>
      <c r="B3885" t="s">
        <v>277</v>
      </c>
      <c r="C3885">
        <v>1943</v>
      </c>
      <c r="D3885">
        <v>1299</v>
      </c>
    </row>
    <row r="3886" spans="1:4" x14ac:dyDescent="0.35">
      <c r="A3886" t="s">
        <v>276</v>
      </c>
      <c r="B3886" t="s">
        <v>277</v>
      </c>
      <c r="C3886">
        <v>1944</v>
      </c>
      <c r="D3886">
        <v>1342</v>
      </c>
    </row>
    <row r="3887" spans="1:4" x14ac:dyDescent="0.35">
      <c r="A3887" t="s">
        <v>276</v>
      </c>
      <c r="B3887" t="s">
        <v>277</v>
      </c>
      <c r="C3887">
        <v>1945</v>
      </c>
      <c r="D3887">
        <v>1243</v>
      </c>
    </row>
    <row r="3888" spans="1:4" x14ac:dyDescent="0.35">
      <c r="A3888" t="s">
        <v>276</v>
      </c>
      <c r="B3888" t="s">
        <v>277</v>
      </c>
      <c r="C3888">
        <v>1946</v>
      </c>
      <c r="D3888">
        <v>1474</v>
      </c>
    </row>
    <row r="3889" spans="1:4" x14ac:dyDescent="0.35">
      <c r="A3889" t="s">
        <v>276</v>
      </c>
      <c r="B3889" t="s">
        <v>277</v>
      </c>
      <c r="C3889">
        <v>1947</v>
      </c>
      <c r="D3889">
        <v>1570</v>
      </c>
    </row>
    <row r="3890" spans="1:4" x14ac:dyDescent="0.35">
      <c r="A3890" t="s">
        <v>276</v>
      </c>
      <c r="B3890" t="s">
        <v>277</v>
      </c>
      <c r="C3890">
        <v>1948</v>
      </c>
      <c r="D3890">
        <v>1360</v>
      </c>
    </row>
    <row r="3891" spans="1:4" x14ac:dyDescent="0.35">
      <c r="A3891" t="s">
        <v>276</v>
      </c>
      <c r="B3891" t="s">
        <v>277</v>
      </c>
      <c r="C3891">
        <v>1949</v>
      </c>
      <c r="D3891">
        <v>1331</v>
      </c>
    </row>
    <row r="3892" spans="1:4" x14ac:dyDescent="0.35">
      <c r="A3892" t="s">
        <v>276</v>
      </c>
      <c r="B3892" t="s">
        <v>277</v>
      </c>
      <c r="C3892">
        <v>1950</v>
      </c>
      <c r="D3892">
        <v>1347</v>
      </c>
    </row>
    <row r="3893" spans="1:4" x14ac:dyDescent="0.35">
      <c r="A3893" t="s">
        <v>276</v>
      </c>
      <c r="B3893" t="s">
        <v>277</v>
      </c>
      <c r="C3893">
        <v>1951</v>
      </c>
      <c r="D3893">
        <v>1283</v>
      </c>
    </row>
    <row r="3894" spans="1:4" x14ac:dyDescent="0.35">
      <c r="A3894" t="s">
        <v>276</v>
      </c>
      <c r="B3894" t="s">
        <v>277</v>
      </c>
      <c r="C3894">
        <v>1952</v>
      </c>
      <c r="D3894">
        <v>1277</v>
      </c>
    </row>
    <row r="3895" spans="1:4" x14ac:dyDescent="0.35">
      <c r="A3895" t="s">
        <v>276</v>
      </c>
      <c r="B3895" t="s">
        <v>277</v>
      </c>
      <c r="C3895">
        <v>1953</v>
      </c>
      <c r="D3895">
        <v>1222</v>
      </c>
    </row>
    <row r="3896" spans="1:4" x14ac:dyDescent="0.35">
      <c r="A3896" t="s">
        <v>276</v>
      </c>
      <c r="B3896" t="s">
        <v>277</v>
      </c>
      <c r="C3896">
        <v>1954</v>
      </c>
      <c r="D3896">
        <v>1310</v>
      </c>
    </row>
    <row r="3897" spans="1:4" x14ac:dyDescent="0.35">
      <c r="A3897" t="s">
        <v>276</v>
      </c>
      <c r="B3897" t="s">
        <v>277</v>
      </c>
      <c r="C3897">
        <v>1955</v>
      </c>
      <c r="D3897">
        <v>1269</v>
      </c>
    </row>
    <row r="3898" spans="1:4" x14ac:dyDescent="0.35">
      <c r="A3898" t="s">
        <v>276</v>
      </c>
      <c r="B3898" t="s">
        <v>277</v>
      </c>
      <c r="C3898">
        <v>1956</v>
      </c>
      <c r="D3898">
        <v>1295</v>
      </c>
    </row>
    <row r="3899" spans="1:4" x14ac:dyDescent="0.35">
      <c r="A3899" t="s">
        <v>276</v>
      </c>
      <c r="C3899">
        <v>1957</v>
      </c>
    </row>
    <row r="3900" spans="1:4" x14ac:dyDescent="0.35">
      <c r="A3900" t="s">
        <v>276</v>
      </c>
      <c r="C3900">
        <v>1958</v>
      </c>
    </row>
    <row r="3901" spans="1:4" x14ac:dyDescent="0.35">
      <c r="A3901" t="s">
        <v>276</v>
      </c>
      <c r="C3901">
        <v>1959</v>
      </c>
    </row>
    <row r="3902" spans="1:4" x14ac:dyDescent="0.35">
      <c r="A3902" t="s">
        <v>276</v>
      </c>
      <c r="C3902">
        <v>1960</v>
      </c>
    </row>
    <row r="3903" spans="1:4" x14ac:dyDescent="0.35">
      <c r="A3903" t="s">
        <v>276</v>
      </c>
      <c r="C3903">
        <v>1961</v>
      </c>
    </row>
    <row r="3904" spans="1:4" x14ac:dyDescent="0.35">
      <c r="A3904" t="s">
        <v>276</v>
      </c>
      <c r="C3904">
        <v>1962</v>
      </c>
    </row>
    <row r="3905" spans="1:4" x14ac:dyDescent="0.35">
      <c r="A3905" t="s">
        <v>276</v>
      </c>
      <c r="C3905">
        <v>1963</v>
      </c>
    </row>
    <row r="3906" spans="1:4" x14ac:dyDescent="0.35">
      <c r="A3906" t="s">
        <v>276</v>
      </c>
      <c r="C3906">
        <v>1964</v>
      </c>
    </row>
    <row r="3907" spans="1:4" x14ac:dyDescent="0.35">
      <c r="A3907" t="s">
        <v>276</v>
      </c>
      <c r="C3907">
        <v>1965</v>
      </c>
    </row>
    <row r="3908" spans="1:4" x14ac:dyDescent="0.35">
      <c r="A3908" t="s">
        <v>276</v>
      </c>
      <c r="C3908">
        <v>1966</v>
      </c>
    </row>
    <row r="3909" spans="1:4" x14ac:dyDescent="0.35">
      <c r="A3909" t="s">
        <v>276</v>
      </c>
      <c r="C3909">
        <v>1967</v>
      </c>
    </row>
    <row r="3910" spans="1:4" x14ac:dyDescent="0.35">
      <c r="A3910" t="s">
        <v>276</v>
      </c>
      <c r="C3910">
        <v>1968</v>
      </c>
    </row>
    <row r="3911" spans="1:4" x14ac:dyDescent="0.35">
      <c r="A3911" t="s">
        <v>276</v>
      </c>
      <c r="C3911">
        <v>1969</v>
      </c>
    </row>
    <row r="3912" spans="1:4" x14ac:dyDescent="0.35">
      <c r="A3912" t="s">
        <v>276</v>
      </c>
      <c r="C3912">
        <v>1970</v>
      </c>
    </row>
    <row r="3913" spans="1:4" x14ac:dyDescent="0.35">
      <c r="A3913" t="s">
        <v>276</v>
      </c>
      <c r="B3913" t="s">
        <v>278</v>
      </c>
      <c r="C3913">
        <v>1971</v>
      </c>
      <c r="D3913">
        <v>903</v>
      </c>
    </row>
    <row r="3914" spans="1:4" x14ac:dyDescent="0.35">
      <c r="A3914" t="s">
        <v>276</v>
      </c>
      <c r="B3914" t="s">
        <v>278</v>
      </c>
      <c r="C3914">
        <v>1972</v>
      </c>
      <c r="D3914">
        <v>801</v>
      </c>
    </row>
    <row r="3915" spans="1:4" x14ac:dyDescent="0.35">
      <c r="A3915" t="s">
        <v>276</v>
      </c>
      <c r="B3915" t="s">
        <v>278</v>
      </c>
      <c r="C3915">
        <v>1973</v>
      </c>
      <c r="D3915">
        <v>747</v>
      </c>
    </row>
    <row r="3916" spans="1:4" x14ac:dyDescent="0.35">
      <c r="A3916" t="s">
        <v>276</v>
      </c>
      <c r="B3916" t="s">
        <v>278</v>
      </c>
      <c r="C3916">
        <v>1974</v>
      </c>
      <c r="D3916">
        <v>677</v>
      </c>
    </row>
    <row r="3917" spans="1:4" x14ac:dyDescent="0.35">
      <c r="A3917" t="s">
        <v>276</v>
      </c>
      <c r="B3917" t="s">
        <v>278</v>
      </c>
      <c r="C3917">
        <v>1975</v>
      </c>
      <c r="D3917">
        <v>625</v>
      </c>
    </row>
    <row r="3918" spans="1:4" x14ac:dyDescent="0.35">
      <c r="A3918" t="s">
        <v>276</v>
      </c>
      <c r="B3918" t="s">
        <v>278</v>
      </c>
      <c r="C3918">
        <v>1976</v>
      </c>
      <c r="D3918">
        <v>595</v>
      </c>
    </row>
    <row r="3919" spans="1:4" x14ac:dyDescent="0.35">
      <c r="A3919" t="s">
        <v>276</v>
      </c>
      <c r="B3919" t="s">
        <v>278</v>
      </c>
      <c r="C3919">
        <v>1977</v>
      </c>
      <c r="D3919">
        <v>589</v>
      </c>
    </row>
    <row r="3920" spans="1:4" x14ac:dyDescent="0.35">
      <c r="A3920" t="s">
        <v>276</v>
      </c>
      <c r="B3920" t="s">
        <v>278</v>
      </c>
      <c r="C3920">
        <v>1978</v>
      </c>
      <c r="D3920">
        <v>589</v>
      </c>
    </row>
    <row r="3921" spans="1:4" x14ac:dyDescent="0.35">
      <c r="A3921" t="s">
        <v>276</v>
      </c>
      <c r="B3921" t="s">
        <v>278</v>
      </c>
      <c r="C3921">
        <v>1979</v>
      </c>
      <c r="D3921">
        <v>638</v>
      </c>
    </row>
    <row r="3922" spans="1:4" x14ac:dyDescent="0.35">
      <c r="A3922" t="s">
        <v>276</v>
      </c>
      <c r="B3922" t="s">
        <v>278</v>
      </c>
      <c r="C3922">
        <v>1980</v>
      </c>
      <c r="D3922">
        <v>658</v>
      </c>
    </row>
    <row r="3923" spans="1:4" x14ac:dyDescent="0.35">
      <c r="A3923" t="s">
        <v>276</v>
      </c>
      <c r="B3923" t="s">
        <v>278</v>
      </c>
      <c r="C3923">
        <v>1981</v>
      </c>
      <c r="D3923">
        <v>611</v>
      </c>
    </row>
    <row r="3924" spans="1:4" x14ac:dyDescent="0.35">
      <c r="A3924" t="s">
        <v>276</v>
      </c>
      <c r="B3924" t="s">
        <v>278</v>
      </c>
      <c r="C3924">
        <v>1982</v>
      </c>
      <c r="D3924">
        <v>603</v>
      </c>
    </row>
    <row r="3925" spans="1:4" x14ac:dyDescent="0.35">
      <c r="A3925" t="s">
        <v>276</v>
      </c>
      <c r="B3925" t="s">
        <v>278</v>
      </c>
      <c r="C3925">
        <v>1983</v>
      </c>
      <c r="D3925">
        <v>676</v>
      </c>
    </row>
    <row r="3926" spans="1:4" x14ac:dyDescent="0.35">
      <c r="A3926" t="s">
        <v>276</v>
      </c>
      <c r="B3926" t="s">
        <v>278</v>
      </c>
      <c r="C3926">
        <v>1984</v>
      </c>
      <c r="D3926">
        <v>665</v>
      </c>
    </row>
    <row r="3927" spans="1:4" x14ac:dyDescent="0.35">
      <c r="A3927" t="s">
        <v>276</v>
      </c>
      <c r="B3927" t="s">
        <v>278</v>
      </c>
      <c r="C3927">
        <v>1985</v>
      </c>
      <c r="D3927">
        <v>682</v>
      </c>
    </row>
    <row r="3928" spans="1:4" x14ac:dyDescent="0.35">
      <c r="A3928" t="s">
        <v>276</v>
      </c>
      <c r="B3928" t="s">
        <v>278</v>
      </c>
      <c r="C3928">
        <v>1986</v>
      </c>
      <c r="D3928">
        <v>721</v>
      </c>
    </row>
    <row r="3929" spans="1:4" x14ac:dyDescent="0.35">
      <c r="A3929" t="s">
        <v>276</v>
      </c>
      <c r="B3929" t="s">
        <v>278</v>
      </c>
      <c r="C3929">
        <v>1987</v>
      </c>
      <c r="D3929">
        <v>721</v>
      </c>
    </row>
    <row r="3930" spans="1:4" x14ac:dyDescent="0.35">
      <c r="A3930" t="s">
        <v>276</v>
      </c>
      <c r="B3930" t="s">
        <v>278</v>
      </c>
      <c r="C3930">
        <v>1988</v>
      </c>
      <c r="D3930">
        <v>706</v>
      </c>
    </row>
    <row r="3931" spans="1:4" x14ac:dyDescent="0.35">
      <c r="A3931" t="s">
        <v>276</v>
      </c>
      <c r="B3931" t="s">
        <v>278</v>
      </c>
      <c r="C3931">
        <v>1989</v>
      </c>
      <c r="D3931">
        <v>677</v>
      </c>
    </row>
    <row r="3932" spans="1:4" x14ac:dyDescent="0.35">
      <c r="A3932" t="s">
        <v>276</v>
      </c>
      <c r="B3932" t="s">
        <v>278</v>
      </c>
      <c r="C3932">
        <v>1990</v>
      </c>
      <c r="D3932">
        <v>731</v>
      </c>
    </row>
    <row r="3933" spans="1:4" x14ac:dyDescent="0.35">
      <c r="A3933" t="s">
        <v>276</v>
      </c>
      <c r="B3933" t="s">
        <v>278</v>
      </c>
      <c r="C3933">
        <v>1991</v>
      </c>
      <c r="D3933">
        <v>709</v>
      </c>
    </row>
    <row r="3934" spans="1:4" x14ac:dyDescent="0.35">
      <c r="A3934" t="s">
        <v>276</v>
      </c>
      <c r="B3934" t="s">
        <v>278</v>
      </c>
      <c r="C3934">
        <v>1992</v>
      </c>
      <c r="D3934">
        <v>808</v>
      </c>
    </row>
    <row r="3935" spans="1:4" x14ac:dyDescent="0.35">
      <c r="A3935" t="s">
        <v>276</v>
      </c>
      <c r="B3935" t="s">
        <v>278</v>
      </c>
      <c r="C3935">
        <v>1993</v>
      </c>
      <c r="D3935">
        <v>780</v>
      </c>
    </row>
    <row r="3936" spans="1:4" x14ac:dyDescent="0.35">
      <c r="A3936" t="s">
        <v>276</v>
      </c>
      <c r="B3936" t="s">
        <v>278</v>
      </c>
      <c r="C3936">
        <v>1994</v>
      </c>
      <c r="D3936">
        <v>778</v>
      </c>
    </row>
    <row r="3937" spans="1:4" x14ac:dyDescent="0.35">
      <c r="A3937" t="s">
        <v>276</v>
      </c>
      <c r="B3937" t="s">
        <v>278</v>
      </c>
      <c r="C3937">
        <v>1995</v>
      </c>
      <c r="D3937">
        <v>816</v>
      </c>
    </row>
    <row r="3938" spans="1:4" x14ac:dyDescent="0.35">
      <c r="A3938" t="s">
        <v>276</v>
      </c>
      <c r="B3938" t="s">
        <v>278</v>
      </c>
      <c r="C3938">
        <v>1996</v>
      </c>
      <c r="D3938">
        <v>800</v>
      </c>
    </row>
    <row r="3939" spans="1:4" x14ac:dyDescent="0.35">
      <c r="A3939" t="s">
        <v>276</v>
      </c>
      <c r="B3939" t="s">
        <v>278</v>
      </c>
      <c r="C3939">
        <v>1997</v>
      </c>
      <c r="D3939">
        <v>791</v>
      </c>
    </row>
    <row r="3940" spans="1:4" x14ac:dyDescent="0.35">
      <c r="A3940" t="s">
        <v>276</v>
      </c>
      <c r="B3940" t="s">
        <v>278</v>
      </c>
      <c r="C3940">
        <v>1998</v>
      </c>
      <c r="D3940">
        <v>810</v>
      </c>
    </row>
    <row r="3941" spans="1:4" x14ac:dyDescent="0.35">
      <c r="A3941" t="s">
        <v>276</v>
      </c>
      <c r="B3941" t="s">
        <v>278</v>
      </c>
      <c r="C3941">
        <v>1999</v>
      </c>
      <c r="D3941">
        <v>738</v>
      </c>
    </row>
    <row r="3942" spans="1:4" x14ac:dyDescent="0.35">
      <c r="A3942" t="s">
        <v>276</v>
      </c>
      <c r="B3942" t="s">
        <v>278</v>
      </c>
      <c r="C3942">
        <v>2000</v>
      </c>
      <c r="D3942">
        <v>737</v>
      </c>
    </row>
    <row r="3943" spans="1:4" x14ac:dyDescent="0.35">
      <c r="A3943" t="s">
        <v>276</v>
      </c>
      <c r="B3943" t="s">
        <v>278</v>
      </c>
      <c r="C3943">
        <v>2001</v>
      </c>
      <c r="D3943">
        <v>776</v>
      </c>
    </row>
    <row r="3944" spans="1:4" x14ac:dyDescent="0.35">
      <c r="A3944" t="s">
        <v>276</v>
      </c>
      <c r="B3944" t="s">
        <v>278</v>
      </c>
      <c r="C3944">
        <v>2002</v>
      </c>
      <c r="D3944">
        <v>742</v>
      </c>
    </row>
    <row r="3945" spans="1:4" x14ac:dyDescent="0.35">
      <c r="A3945" t="s">
        <v>276</v>
      </c>
      <c r="B3945" t="s">
        <v>278</v>
      </c>
      <c r="C3945">
        <v>2003</v>
      </c>
      <c r="D3945">
        <v>810</v>
      </c>
    </row>
    <row r="3946" spans="1:4" x14ac:dyDescent="0.35">
      <c r="A3946" t="s">
        <v>276</v>
      </c>
      <c r="B3946" t="s">
        <v>278</v>
      </c>
      <c r="C3946">
        <v>2004</v>
      </c>
      <c r="D3946">
        <v>757</v>
      </c>
    </row>
    <row r="3947" spans="1:4" x14ac:dyDescent="0.35">
      <c r="A3947" t="s">
        <v>276</v>
      </c>
      <c r="B3947" t="s">
        <v>278</v>
      </c>
      <c r="C3947">
        <v>2005</v>
      </c>
      <c r="D3947">
        <v>843</v>
      </c>
    </row>
    <row r="3948" spans="1:4" x14ac:dyDescent="0.35">
      <c r="A3948" t="s">
        <v>276</v>
      </c>
      <c r="B3948" t="s">
        <v>278</v>
      </c>
      <c r="C3948">
        <v>2006</v>
      </c>
      <c r="D3948">
        <v>858</v>
      </c>
    </row>
    <row r="3949" spans="1:4" x14ac:dyDescent="0.35">
      <c r="A3949" t="s">
        <v>276</v>
      </c>
      <c r="B3949" t="s">
        <v>278</v>
      </c>
      <c r="C3949">
        <v>2007</v>
      </c>
      <c r="D3949">
        <v>882</v>
      </c>
    </row>
    <row r="3950" spans="1:4" x14ac:dyDescent="0.35">
      <c r="A3950" t="s">
        <v>276</v>
      </c>
      <c r="B3950" t="s">
        <v>278</v>
      </c>
      <c r="C3950">
        <v>2008</v>
      </c>
      <c r="D3950">
        <v>953</v>
      </c>
    </row>
    <row r="3951" spans="1:4" x14ac:dyDescent="0.35">
      <c r="A3951" t="s">
        <v>276</v>
      </c>
      <c r="B3951" t="s">
        <v>278</v>
      </c>
      <c r="C3951">
        <v>2009</v>
      </c>
      <c r="D3951">
        <v>922</v>
      </c>
    </row>
    <row r="3952" spans="1:4" x14ac:dyDescent="0.35">
      <c r="A3952" t="s">
        <v>276</v>
      </c>
      <c r="B3952" t="s">
        <v>278</v>
      </c>
      <c r="C3952">
        <v>2010</v>
      </c>
      <c r="D3952">
        <v>919</v>
      </c>
    </row>
    <row r="3953" spans="1:4" x14ac:dyDescent="0.35">
      <c r="A3953" t="s">
        <v>276</v>
      </c>
      <c r="B3953" t="s">
        <v>278</v>
      </c>
      <c r="C3953">
        <v>2011</v>
      </c>
      <c r="D3953">
        <v>852</v>
      </c>
    </row>
    <row r="3954" spans="1:4" x14ac:dyDescent="0.35">
      <c r="A3954" t="s">
        <v>276</v>
      </c>
      <c r="B3954" t="s">
        <v>278</v>
      </c>
      <c r="C3954">
        <v>2012</v>
      </c>
      <c r="D3954">
        <v>866</v>
      </c>
    </row>
    <row r="3955" spans="1:4" x14ac:dyDescent="0.35">
      <c r="A3955" t="s">
        <v>276</v>
      </c>
      <c r="B3955" t="s">
        <v>278</v>
      </c>
      <c r="C3955">
        <v>2013</v>
      </c>
      <c r="D3955">
        <v>822</v>
      </c>
    </row>
    <row r="3956" spans="1:4" x14ac:dyDescent="0.35">
      <c r="A3956" t="s">
        <v>276</v>
      </c>
      <c r="B3956" t="s">
        <v>278</v>
      </c>
      <c r="C3956">
        <v>2014</v>
      </c>
      <c r="D3956">
        <v>863</v>
      </c>
    </row>
    <row r="3957" spans="1:4" x14ac:dyDescent="0.35">
      <c r="A3957" t="s">
        <v>276</v>
      </c>
      <c r="B3957" t="s">
        <v>278</v>
      </c>
      <c r="C3957">
        <v>2015</v>
      </c>
      <c r="D3957">
        <v>803</v>
      </c>
    </row>
    <row r="3958" spans="1:4" x14ac:dyDescent="0.35">
      <c r="A3958" t="s">
        <v>276</v>
      </c>
      <c r="B3958" t="s">
        <v>278</v>
      </c>
      <c r="C3958">
        <v>2016</v>
      </c>
      <c r="D3958">
        <v>804</v>
      </c>
    </row>
    <row r="3959" spans="1:4" x14ac:dyDescent="0.35">
      <c r="A3959" t="s">
        <v>276</v>
      </c>
      <c r="B3959" t="s">
        <v>278</v>
      </c>
      <c r="C3959">
        <v>2017</v>
      </c>
      <c r="D3959">
        <v>767</v>
      </c>
    </row>
    <row r="3960" spans="1:4" x14ac:dyDescent="0.35">
      <c r="A3960" t="s">
        <v>276</v>
      </c>
      <c r="B3960" t="s">
        <v>278</v>
      </c>
      <c r="C3960">
        <v>2018</v>
      </c>
      <c r="D3960">
        <v>753</v>
      </c>
    </row>
    <row r="3961" spans="1:4" x14ac:dyDescent="0.35">
      <c r="A3961" t="s">
        <v>276</v>
      </c>
      <c r="B3961" t="s">
        <v>278</v>
      </c>
      <c r="C3961">
        <v>2019</v>
      </c>
      <c r="D3961">
        <v>717</v>
      </c>
    </row>
    <row r="3962" spans="1:4" x14ac:dyDescent="0.35">
      <c r="A3962" t="s">
        <v>276</v>
      </c>
      <c r="B3962" t="s">
        <v>278</v>
      </c>
      <c r="C3962">
        <v>2020</v>
      </c>
      <c r="D3962">
        <v>672</v>
      </c>
    </row>
    <row r="3963" spans="1:4" x14ac:dyDescent="0.35">
      <c r="A3963" t="s">
        <v>279</v>
      </c>
      <c r="B3963" t="s">
        <v>280</v>
      </c>
      <c r="C3963">
        <v>1775</v>
      </c>
      <c r="D3963">
        <v>1308</v>
      </c>
    </row>
    <row r="3964" spans="1:4" x14ac:dyDescent="0.35">
      <c r="A3964" t="s">
        <v>279</v>
      </c>
      <c r="B3964" t="s">
        <v>280</v>
      </c>
      <c r="C3964">
        <v>1776</v>
      </c>
      <c r="D3964">
        <v>1177</v>
      </c>
    </row>
    <row r="3965" spans="1:4" x14ac:dyDescent="0.35">
      <c r="A3965" t="s">
        <v>279</v>
      </c>
      <c r="B3965" t="s">
        <v>280</v>
      </c>
      <c r="C3965">
        <v>1777</v>
      </c>
      <c r="D3965">
        <v>1175</v>
      </c>
    </row>
    <row r="3966" spans="1:4" x14ac:dyDescent="0.35">
      <c r="A3966" t="s">
        <v>279</v>
      </c>
      <c r="B3966" t="s">
        <v>280</v>
      </c>
      <c r="C3966">
        <v>1778</v>
      </c>
      <c r="D3966">
        <v>1327</v>
      </c>
    </row>
    <row r="3967" spans="1:4" x14ac:dyDescent="0.35">
      <c r="A3967" t="s">
        <v>279</v>
      </c>
      <c r="B3967" t="s">
        <v>280</v>
      </c>
      <c r="C3967">
        <v>1779</v>
      </c>
      <c r="D3967">
        <v>1268</v>
      </c>
    </row>
    <row r="3968" spans="1:4" x14ac:dyDescent="0.35">
      <c r="A3968" t="s">
        <v>279</v>
      </c>
      <c r="B3968" t="s">
        <v>280</v>
      </c>
      <c r="C3968">
        <v>1780</v>
      </c>
      <c r="D3968">
        <v>1266</v>
      </c>
    </row>
    <row r="3969" spans="1:4" x14ac:dyDescent="0.35">
      <c r="A3969" t="s">
        <v>279</v>
      </c>
      <c r="B3969" t="s">
        <v>280</v>
      </c>
      <c r="C3969">
        <v>1781</v>
      </c>
      <c r="D3969">
        <v>1230</v>
      </c>
    </row>
    <row r="3970" spans="1:4" x14ac:dyDescent="0.35">
      <c r="A3970" t="s">
        <v>279</v>
      </c>
      <c r="B3970" t="s">
        <v>280</v>
      </c>
      <c r="C3970">
        <v>1782</v>
      </c>
      <c r="D3970">
        <v>1176</v>
      </c>
    </row>
    <row r="3971" spans="1:4" x14ac:dyDescent="0.35">
      <c r="A3971" t="s">
        <v>279</v>
      </c>
      <c r="B3971" t="s">
        <v>280</v>
      </c>
      <c r="C3971">
        <v>1783</v>
      </c>
      <c r="D3971">
        <v>1102</v>
      </c>
    </row>
    <row r="3972" spans="1:4" x14ac:dyDescent="0.35">
      <c r="A3972" t="s">
        <v>279</v>
      </c>
      <c r="B3972" t="s">
        <v>280</v>
      </c>
      <c r="C3972">
        <v>1784</v>
      </c>
      <c r="D3972">
        <v>1193</v>
      </c>
    </row>
    <row r="3973" spans="1:4" x14ac:dyDescent="0.35">
      <c r="A3973" t="s">
        <v>279</v>
      </c>
      <c r="B3973" t="s">
        <v>280</v>
      </c>
      <c r="C3973">
        <v>1785</v>
      </c>
      <c r="D3973">
        <v>1169</v>
      </c>
    </row>
    <row r="3974" spans="1:4" x14ac:dyDescent="0.35">
      <c r="A3974" t="s">
        <v>279</v>
      </c>
      <c r="B3974" t="s">
        <v>280</v>
      </c>
      <c r="C3974">
        <v>1786</v>
      </c>
      <c r="D3974">
        <v>1297</v>
      </c>
    </row>
    <row r="3975" spans="1:4" x14ac:dyDescent="0.35">
      <c r="A3975" t="s">
        <v>279</v>
      </c>
      <c r="B3975" t="s">
        <v>280</v>
      </c>
      <c r="C3975">
        <v>1787</v>
      </c>
      <c r="D3975">
        <v>1201</v>
      </c>
    </row>
    <row r="3976" spans="1:4" x14ac:dyDescent="0.35">
      <c r="A3976" t="s">
        <v>279</v>
      </c>
      <c r="B3976" t="s">
        <v>280</v>
      </c>
      <c r="C3976">
        <v>1788</v>
      </c>
      <c r="D3976">
        <v>1164</v>
      </c>
    </row>
    <row r="3977" spans="1:4" x14ac:dyDescent="0.35">
      <c r="A3977" t="s">
        <v>279</v>
      </c>
      <c r="B3977" t="s">
        <v>280</v>
      </c>
      <c r="C3977">
        <v>1789</v>
      </c>
      <c r="D3977">
        <v>1221</v>
      </c>
    </row>
    <row r="3978" spans="1:4" x14ac:dyDescent="0.35">
      <c r="A3978" t="s">
        <v>279</v>
      </c>
      <c r="B3978" t="s">
        <v>280</v>
      </c>
      <c r="C3978">
        <v>1790</v>
      </c>
      <c r="D3978">
        <v>1136</v>
      </c>
    </row>
    <row r="3979" spans="1:4" x14ac:dyDescent="0.35">
      <c r="A3979" t="s">
        <v>279</v>
      </c>
      <c r="B3979" t="s">
        <v>280</v>
      </c>
      <c r="C3979">
        <v>1791</v>
      </c>
      <c r="D3979">
        <v>1338</v>
      </c>
    </row>
    <row r="3980" spans="1:4" x14ac:dyDescent="0.35">
      <c r="A3980" t="s">
        <v>279</v>
      </c>
      <c r="B3980" t="s">
        <v>280</v>
      </c>
      <c r="C3980">
        <v>1792</v>
      </c>
      <c r="D3980">
        <v>1444</v>
      </c>
    </row>
    <row r="3981" spans="1:4" x14ac:dyDescent="0.35">
      <c r="A3981" t="s">
        <v>279</v>
      </c>
      <c r="B3981" t="s">
        <v>280</v>
      </c>
      <c r="C3981">
        <v>1793</v>
      </c>
      <c r="D3981">
        <v>1310</v>
      </c>
    </row>
    <row r="3982" spans="1:4" x14ac:dyDescent="0.35">
      <c r="A3982" t="s">
        <v>279</v>
      </c>
      <c r="B3982" t="s">
        <v>280</v>
      </c>
      <c r="C3982">
        <v>1794</v>
      </c>
      <c r="D3982">
        <v>1272</v>
      </c>
    </row>
    <row r="3983" spans="1:4" x14ac:dyDescent="0.35">
      <c r="A3983" t="s">
        <v>279</v>
      </c>
      <c r="B3983" t="s">
        <v>280</v>
      </c>
      <c r="C3983">
        <v>1795</v>
      </c>
      <c r="D3983">
        <v>1266</v>
      </c>
    </row>
    <row r="3984" spans="1:4" x14ac:dyDescent="0.35">
      <c r="A3984" t="s">
        <v>279</v>
      </c>
      <c r="B3984" t="s">
        <v>280</v>
      </c>
      <c r="C3984">
        <v>1796</v>
      </c>
      <c r="D3984">
        <v>1455</v>
      </c>
    </row>
    <row r="3985" spans="1:4" x14ac:dyDescent="0.35">
      <c r="A3985" t="s">
        <v>279</v>
      </c>
      <c r="B3985" t="s">
        <v>280</v>
      </c>
      <c r="C3985">
        <v>1797</v>
      </c>
      <c r="D3985">
        <v>1409</v>
      </c>
    </row>
    <row r="3986" spans="1:4" x14ac:dyDescent="0.35">
      <c r="A3986" t="s">
        <v>279</v>
      </c>
      <c r="B3986" t="s">
        <v>280</v>
      </c>
      <c r="C3986">
        <v>1798</v>
      </c>
      <c r="D3986">
        <v>1265</v>
      </c>
    </row>
    <row r="3987" spans="1:4" x14ac:dyDescent="0.35">
      <c r="A3987" t="s">
        <v>279</v>
      </c>
      <c r="B3987" t="s">
        <v>280</v>
      </c>
      <c r="C3987">
        <v>1799</v>
      </c>
      <c r="D3987">
        <v>1159</v>
      </c>
    </row>
    <row r="3988" spans="1:4" x14ac:dyDescent="0.35">
      <c r="A3988" t="s">
        <v>279</v>
      </c>
      <c r="B3988" t="s">
        <v>280</v>
      </c>
      <c r="C3988">
        <v>1800</v>
      </c>
      <c r="D3988">
        <v>1150</v>
      </c>
    </row>
    <row r="3989" spans="1:4" x14ac:dyDescent="0.35">
      <c r="A3989" t="s">
        <v>279</v>
      </c>
      <c r="B3989" t="s">
        <v>280</v>
      </c>
      <c r="C3989">
        <v>1801</v>
      </c>
      <c r="D3989">
        <v>1258</v>
      </c>
    </row>
    <row r="3990" spans="1:4" x14ac:dyDescent="0.35">
      <c r="A3990" t="s">
        <v>279</v>
      </c>
      <c r="B3990" t="s">
        <v>280</v>
      </c>
      <c r="C3990">
        <v>1802</v>
      </c>
      <c r="D3990">
        <v>1244</v>
      </c>
    </row>
    <row r="3991" spans="1:4" x14ac:dyDescent="0.35">
      <c r="A3991" t="s">
        <v>279</v>
      </c>
      <c r="B3991" t="s">
        <v>280</v>
      </c>
      <c r="C3991">
        <v>1803</v>
      </c>
      <c r="D3991">
        <v>1187</v>
      </c>
    </row>
    <row r="3992" spans="1:4" x14ac:dyDescent="0.35">
      <c r="A3992" t="s">
        <v>279</v>
      </c>
      <c r="B3992" t="s">
        <v>280</v>
      </c>
      <c r="C3992">
        <v>1804</v>
      </c>
      <c r="D3992">
        <v>1250</v>
      </c>
    </row>
    <row r="3993" spans="1:4" x14ac:dyDescent="0.35">
      <c r="A3993" t="s">
        <v>279</v>
      </c>
      <c r="B3993" t="s">
        <v>280</v>
      </c>
      <c r="C3993">
        <v>1805</v>
      </c>
      <c r="D3993">
        <v>1230</v>
      </c>
    </row>
    <row r="3994" spans="1:4" x14ac:dyDescent="0.35">
      <c r="A3994" t="s">
        <v>279</v>
      </c>
      <c r="B3994" t="s">
        <v>280</v>
      </c>
      <c r="C3994">
        <v>1806</v>
      </c>
      <c r="D3994">
        <v>1180</v>
      </c>
    </row>
    <row r="3995" spans="1:4" x14ac:dyDescent="0.35">
      <c r="A3995" t="s">
        <v>279</v>
      </c>
      <c r="B3995" t="s">
        <v>280</v>
      </c>
      <c r="C3995">
        <v>1807</v>
      </c>
      <c r="D3995">
        <v>1216</v>
      </c>
    </row>
    <row r="3996" spans="1:4" x14ac:dyDescent="0.35">
      <c r="A3996" t="s">
        <v>279</v>
      </c>
      <c r="B3996" t="s">
        <v>280</v>
      </c>
      <c r="C3996">
        <v>1808</v>
      </c>
      <c r="D3996">
        <v>1145</v>
      </c>
    </row>
    <row r="3997" spans="1:4" x14ac:dyDescent="0.35">
      <c r="A3997" t="s">
        <v>279</v>
      </c>
      <c r="B3997" t="s">
        <v>280</v>
      </c>
      <c r="C3997">
        <v>1809</v>
      </c>
      <c r="D3997">
        <v>1065</v>
      </c>
    </row>
    <row r="3998" spans="1:4" x14ac:dyDescent="0.35">
      <c r="A3998" t="s">
        <v>279</v>
      </c>
      <c r="B3998" t="s">
        <v>280</v>
      </c>
      <c r="C3998">
        <v>1810</v>
      </c>
      <c r="D3998">
        <v>1314</v>
      </c>
    </row>
    <row r="3999" spans="1:4" x14ac:dyDescent="0.35">
      <c r="A3999" t="s">
        <v>279</v>
      </c>
      <c r="B3999" t="s">
        <v>280</v>
      </c>
      <c r="C3999">
        <v>1811</v>
      </c>
      <c r="D3999">
        <v>1482</v>
      </c>
    </row>
    <row r="4000" spans="1:4" x14ac:dyDescent="0.35">
      <c r="A4000" t="s">
        <v>279</v>
      </c>
      <c r="B4000" t="s">
        <v>280</v>
      </c>
      <c r="C4000">
        <v>1812</v>
      </c>
      <c r="D4000">
        <v>1287</v>
      </c>
    </row>
    <row r="4001" spans="1:4" x14ac:dyDescent="0.35">
      <c r="A4001" t="s">
        <v>279</v>
      </c>
      <c r="B4001" t="s">
        <v>280</v>
      </c>
      <c r="C4001">
        <v>1813</v>
      </c>
      <c r="D4001">
        <v>1152</v>
      </c>
    </row>
    <row r="4002" spans="1:4" x14ac:dyDescent="0.35">
      <c r="A4002" t="s">
        <v>279</v>
      </c>
      <c r="B4002" t="s">
        <v>280</v>
      </c>
      <c r="C4002">
        <v>1814</v>
      </c>
      <c r="D4002">
        <v>1350</v>
      </c>
    </row>
    <row r="4003" spans="1:4" x14ac:dyDescent="0.35">
      <c r="A4003" t="s">
        <v>279</v>
      </c>
      <c r="B4003" t="s">
        <v>280</v>
      </c>
      <c r="C4003">
        <v>1815</v>
      </c>
      <c r="D4003">
        <v>1436</v>
      </c>
    </row>
    <row r="4004" spans="1:4" x14ac:dyDescent="0.35">
      <c r="A4004" t="s">
        <v>279</v>
      </c>
      <c r="B4004" t="s">
        <v>280</v>
      </c>
      <c r="C4004">
        <v>1816</v>
      </c>
      <c r="D4004">
        <v>1433</v>
      </c>
    </row>
    <row r="4005" spans="1:4" x14ac:dyDescent="0.35">
      <c r="A4005" t="s">
        <v>279</v>
      </c>
      <c r="B4005" t="s">
        <v>280</v>
      </c>
      <c r="C4005">
        <v>1817</v>
      </c>
      <c r="D4005">
        <v>1256</v>
      </c>
    </row>
    <row r="4006" spans="1:4" x14ac:dyDescent="0.35">
      <c r="A4006" t="s">
        <v>279</v>
      </c>
      <c r="B4006" t="s">
        <v>280</v>
      </c>
      <c r="C4006">
        <v>1818</v>
      </c>
      <c r="D4006">
        <v>1275</v>
      </c>
    </row>
    <row r="4007" spans="1:4" x14ac:dyDescent="0.35">
      <c r="A4007" t="s">
        <v>279</v>
      </c>
      <c r="B4007" t="s">
        <v>280</v>
      </c>
      <c r="C4007">
        <v>1819</v>
      </c>
      <c r="D4007">
        <v>1310</v>
      </c>
    </row>
    <row r="4008" spans="1:4" x14ac:dyDescent="0.35">
      <c r="A4008" t="s">
        <v>279</v>
      </c>
      <c r="B4008" t="s">
        <v>280</v>
      </c>
      <c r="C4008">
        <v>1820</v>
      </c>
      <c r="D4008">
        <v>1251</v>
      </c>
    </row>
    <row r="4009" spans="1:4" x14ac:dyDescent="0.35">
      <c r="A4009" t="s">
        <v>279</v>
      </c>
      <c r="B4009" t="s">
        <v>280</v>
      </c>
      <c r="C4009">
        <v>1821</v>
      </c>
      <c r="D4009">
        <v>1420</v>
      </c>
    </row>
    <row r="4010" spans="1:4" x14ac:dyDescent="0.35">
      <c r="A4010" t="s">
        <v>279</v>
      </c>
      <c r="B4010" t="s">
        <v>280</v>
      </c>
      <c r="C4010">
        <v>1822</v>
      </c>
      <c r="D4010">
        <v>1456</v>
      </c>
    </row>
    <row r="4011" spans="1:4" x14ac:dyDescent="0.35">
      <c r="A4011" t="s">
        <v>279</v>
      </c>
      <c r="B4011" t="s">
        <v>280</v>
      </c>
      <c r="C4011">
        <v>1823</v>
      </c>
      <c r="D4011">
        <v>1422</v>
      </c>
    </row>
    <row r="4012" spans="1:4" x14ac:dyDescent="0.35">
      <c r="A4012" t="s">
        <v>279</v>
      </c>
      <c r="B4012" t="s">
        <v>280</v>
      </c>
      <c r="C4012">
        <v>1824</v>
      </c>
      <c r="D4012">
        <v>1441</v>
      </c>
    </row>
    <row r="4013" spans="1:4" x14ac:dyDescent="0.35">
      <c r="A4013" t="s">
        <v>279</v>
      </c>
      <c r="B4013" t="s">
        <v>280</v>
      </c>
      <c r="C4013">
        <v>1825</v>
      </c>
      <c r="D4013">
        <v>1409</v>
      </c>
    </row>
    <row r="4014" spans="1:4" x14ac:dyDescent="0.35">
      <c r="A4014" t="s">
        <v>279</v>
      </c>
      <c r="B4014" t="s">
        <v>280</v>
      </c>
      <c r="C4014">
        <v>1826</v>
      </c>
      <c r="D4014">
        <v>1400</v>
      </c>
    </row>
    <row r="4015" spans="1:4" x14ac:dyDescent="0.35">
      <c r="A4015" t="s">
        <v>279</v>
      </c>
      <c r="B4015" t="s">
        <v>280</v>
      </c>
      <c r="C4015">
        <v>1827</v>
      </c>
      <c r="D4015">
        <v>1250</v>
      </c>
    </row>
    <row r="4016" spans="1:4" x14ac:dyDescent="0.35">
      <c r="A4016" t="s">
        <v>279</v>
      </c>
      <c r="B4016" t="s">
        <v>280</v>
      </c>
      <c r="C4016">
        <v>1828</v>
      </c>
      <c r="D4016">
        <v>1469</v>
      </c>
    </row>
    <row r="4017" spans="1:4" x14ac:dyDescent="0.35">
      <c r="A4017" t="s">
        <v>279</v>
      </c>
      <c r="B4017" t="s">
        <v>280</v>
      </c>
      <c r="C4017">
        <v>1829</v>
      </c>
      <c r="D4017">
        <v>1590</v>
      </c>
    </row>
    <row r="4018" spans="1:4" x14ac:dyDescent="0.35">
      <c r="A4018" t="s">
        <v>279</v>
      </c>
      <c r="B4018" t="s">
        <v>280</v>
      </c>
      <c r="C4018">
        <v>1830</v>
      </c>
      <c r="D4018">
        <v>1540</v>
      </c>
    </row>
    <row r="4019" spans="1:4" x14ac:dyDescent="0.35">
      <c r="A4019" t="s">
        <v>279</v>
      </c>
      <c r="B4019" t="s">
        <v>280</v>
      </c>
      <c r="C4019">
        <v>1831</v>
      </c>
      <c r="D4019">
        <v>1332</v>
      </c>
    </row>
    <row r="4020" spans="1:4" x14ac:dyDescent="0.35">
      <c r="A4020" t="s">
        <v>279</v>
      </c>
      <c r="B4020" t="s">
        <v>280</v>
      </c>
      <c r="C4020">
        <v>1832</v>
      </c>
      <c r="D4020">
        <v>1433</v>
      </c>
    </row>
    <row r="4021" spans="1:4" x14ac:dyDescent="0.35">
      <c r="A4021" t="s">
        <v>279</v>
      </c>
      <c r="B4021" t="s">
        <v>280</v>
      </c>
      <c r="C4021">
        <v>1833</v>
      </c>
      <c r="D4021">
        <v>1600</v>
      </c>
    </row>
    <row r="4022" spans="1:4" x14ac:dyDescent="0.35">
      <c r="A4022" t="s">
        <v>279</v>
      </c>
      <c r="B4022" t="s">
        <v>280</v>
      </c>
      <c r="C4022">
        <v>1834</v>
      </c>
      <c r="D4022">
        <v>1585</v>
      </c>
    </row>
    <row r="4023" spans="1:4" x14ac:dyDescent="0.35">
      <c r="A4023" t="s">
        <v>279</v>
      </c>
      <c r="B4023" t="s">
        <v>280</v>
      </c>
      <c r="C4023">
        <v>1835</v>
      </c>
      <c r="D4023">
        <v>1414</v>
      </c>
    </row>
    <row r="4024" spans="1:4" x14ac:dyDescent="0.35">
      <c r="A4024" t="s">
        <v>279</v>
      </c>
      <c r="B4024" t="s">
        <v>280</v>
      </c>
      <c r="C4024">
        <v>1836</v>
      </c>
      <c r="D4024">
        <v>1327</v>
      </c>
    </row>
    <row r="4025" spans="1:4" x14ac:dyDescent="0.35">
      <c r="A4025" t="s">
        <v>279</v>
      </c>
      <c r="B4025" t="s">
        <v>280</v>
      </c>
      <c r="C4025">
        <v>1837</v>
      </c>
      <c r="D4025">
        <v>1370</v>
      </c>
    </row>
    <row r="4026" spans="1:4" x14ac:dyDescent="0.35">
      <c r="A4026" t="s">
        <v>279</v>
      </c>
      <c r="B4026" t="s">
        <v>280</v>
      </c>
      <c r="C4026">
        <v>1838</v>
      </c>
      <c r="D4026">
        <v>1243</v>
      </c>
    </row>
    <row r="4027" spans="1:4" x14ac:dyDescent="0.35">
      <c r="A4027" t="s">
        <v>279</v>
      </c>
      <c r="B4027" t="s">
        <v>280</v>
      </c>
      <c r="C4027">
        <v>1839</v>
      </c>
      <c r="D4027">
        <v>1299</v>
      </c>
    </row>
    <row r="4028" spans="1:4" x14ac:dyDescent="0.35">
      <c r="A4028" t="s">
        <v>279</v>
      </c>
      <c r="B4028" t="s">
        <v>280</v>
      </c>
      <c r="C4028">
        <v>1840</v>
      </c>
      <c r="D4028">
        <v>1407</v>
      </c>
    </row>
    <row r="4029" spans="1:4" x14ac:dyDescent="0.35">
      <c r="A4029" t="s">
        <v>279</v>
      </c>
      <c r="B4029" t="s">
        <v>280</v>
      </c>
      <c r="C4029">
        <v>1841</v>
      </c>
      <c r="D4029">
        <v>1329</v>
      </c>
    </row>
    <row r="4030" spans="1:4" x14ac:dyDescent="0.35">
      <c r="A4030" t="s">
        <v>279</v>
      </c>
      <c r="B4030" t="s">
        <v>280</v>
      </c>
      <c r="C4030">
        <v>1842</v>
      </c>
      <c r="D4030">
        <v>1332</v>
      </c>
    </row>
    <row r="4031" spans="1:4" x14ac:dyDescent="0.35">
      <c r="A4031" t="s">
        <v>279</v>
      </c>
      <c r="B4031" t="s">
        <v>280</v>
      </c>
      <c r="C4031">
        <v>1843</v>
      </c>
      <c r="D4031">
        <v>1341</v>
      </c>
    </row>
    <row r="4032" spans="1:4" x14ac:dyDescent="0.35">
      <c r="A4032" t="s">
        <v>279</v>
      </c>
      <c r="B4032" t="s">
        <v>280</v>
      </c>
      <c r="C4032">
        <v>1844</v>
      </c>
      <c r="D4032">
        <v>1439</v>
      </c>
    </row>
    <row r="4033" spans="1:4" x14ac:dyDescent="0.35">
      <c r="A4033" t="s">
        <v>279</v>
      </c>
      <c r="B4033" t="s">
        <v>280</v>
      </c>
      <c r="C4033">
        <v>1845</v>
      </c>
      <c r="D4033">
        <v>1425</v>
      </c>
    </row>
    <row r="4034" spans="1:4" x14ac:dyDescent="0.35">
      <c r="A4034" t="s">
        <v>279</v>
      </c>
      <c r="B4034" t="s">
        <v>280</v>
      </c>
      <c r="C4034">
        <v>1846</v>
      </c>
      <c r="D4034">
        <v>1348</v>
      </c>
    </row>
    <row r="4035" spans="1:4" x14ac:dyDescent="0.35">
      <c r="A4035" t="s">
        <v>279</v>
      </c>
      <c r="B4035" t="s">
        <v>280</v>
      </c>
      <c r="C4035">
        <v>1847</v>
      </c>
      <c r="D4035">
        <v>1371</v>
      </c>
    </row>
    <row r="4036" spans="1:4" x14ac:dyDescent="0.35">
      <c r="A4036" t="s">
        <v>279</v>
      </c>
      <c r="B4036" t="s">
        <v>280</v>
      </c>
      <c r="C4036">
        <v>1848</v>
      </c>
      <c r="D4036">
        <v>1448</v>
      </c>
    </row>
    <row r="4037" spans="1:4" x14ac:dyDescent="0.35">
      <c r="A4037" t="s">
        <v>279</v>
      </c>
      <c r="B4037" t="s">
        <v>280</v>
      </c>
      <c r="C4037">
        <v>1849</v>
      </c>
      <c r="D4037">
        <v>1618</v>
      </c>
    </row>
    <row r="4038" spans="1:4" x14ac:dyDescent="0.35">
      <c r="A4038" t="s">
        <v>279</v>
      </c>
      <c r="B4038" t="s">
        <v>280</v>
      </c>
      <c r="C4038">
        <v>1850</v>
      </c>
      <c r="D4038">
        <v>1535</v>
      </c>
    </row>
    <row r="4039" spans="1:4" x14ac:dyDescent="0.35">
      <c r="A4039" t="s">
        <v>279</v>
      </c>
      <c r="B4039" t="s">
        <v>280</v>
      </c>
      <c r="C4039">
        <v>1851</v>
      </c>
      <c r="D4039">
        <v>1446</v>
      </c>
    </row>
    <row r="4040" spans="1:4" x14ac:dyDescent="0.35">
      <c r="A4040" t="s">
        <v>279</v>
      </c>
      <c r="B4040" t="s">
        <v>280</v>
      </c>
      <c r="C4040">
        <v>1852</v>
      </c>
      <c r="D4040">
        <v>1446</v>
      </c>
    </row>
    <row r="4041" spans="1:4" x14ac:dyDescent="0.35">
      <c r="A4041" t="s">
        <v>279</v>
      </c>
      <c r="B4041" t="s">
        <v>280</v>
      </c>
      <c r="C4041">
        <v>1853</v>
      </c>
      <c r="D4041">
        <v>1581</v>
      </c>
    </row>
    <row r="4042" spans="1:4" x14ac:dyDescent="0.35">
      <c r="A4042" t="s">
        <v>279</v>
      </c>
      <c r="B4042" t="s">
        <v>280</v>
      </c>
      <c r="C4042">
        <v>1854</v>
      </c>
      <c r="D4042">
        <v>1652</v>
      </c>
    </row>
    <row r="4043" spans="1:4" x14ac:dyDescent="0.35">
      <c r="A4043" t="s">
        <v>279</v>
      </c>
      <c r="B4043" t="s">
        <v>280</v>
      </c>
      <c r="C4043">
        <v>1855</v>
      </c>
      <c r="D4043">
        <v>1663</v>
      </c>
    </row>
    <row r="4044" spans="1:4" x14ac:dyDescent="0.35">
      <c r="A4044" t="s">
        <v>279</v>
      </c>
      <c r="B4044" t="s">
        <v>280</v>
      </c>
      <c r="C4044">
        <v>1856</v>
      </c>
      <c r="D4044">
        <v>1734</v>
      </c>
    </row>
    <row r="4045" spans="1:4" x14ac:dyDescent="0.35">
      <c r="A4045" t="s">
        <v>279</v>
      </c>
      <c r="B4045" t="s">
        <v>280</v>
      </c>
      <c r="C4045">
        <v>1857</v>
      </c>
      <c r="D4045">
        <v>1822</v>
      </c>
    </row>
    <row r="4046" spans="1:4" x14ac:dyDescent="0.35">
      <c r="A4046" t="s">
        <v>279</v>
      </c>
      <c r="B4046" t="s">
        <v>280</v>
      </c>
      <c r="C4046">
        <v>1858</v>
      </c>
      <c r="D4046">
        <v>2024</v>
      </c>
    </row>
    <row r="4047" spans="1:4" x14ac:dyDescent="0.35">
      <c r="A4047" t="s">
        <v>279</v>
      </c>
      <c r="B4047" t="s">
        <v>280</v>
      </c>
      <c r="C4047">
        <v>1859</v>
      </c>
      <c r="D4047">
        <v>1908</v>
      </c>
    </row>
    <row r="4048" spans="1:4" x14ac:dyDescent="0.35">
      <c r="A4048" t="s">
        <v>279</v>
      </c>
      <c r="B4048" t="s">
        <v>280</v>
      </c>
      <c r="C4048">
        <v>1860</v>
      </c>
      <c r="D4048">
        <v>1906</v>
      </c>
    </row>
    <row r="4049" spans="1:6" x14ac:dyDescent="0.35">
      <c r="A4049" t="s">
        <v>279</v>
      </c>
      <c r="B4049" t="s">
        <v>280</v>
      </c>
      <c r="C4049">
        <v>1861</v>
      </c>
      <c r="E4049">
        <v>3562</v>
      </c>
      <c r="F4049">
        <v>127137</v>
      </c>
    </row>
    <row r="4050" spans="1:6" x14ac:dyDescent="0.35">
      <c r="A4050" t="s">
        <v>279</v>
      </c>
      <c r="B4050" t="s">
        <v>280</v>
      </c>
      <c r="C4050">
        <v>1862</v>
      </c>
      <c r="E4050">
        <v>3952</v>
      </c>
      <c r="F4050">
        <v>132061</v>
      </c>
    </row>
    <row r="4051" spans="1:6" x14ac:dyDescent="0.35">
      <c r="A4051" t="s">
        <v>279</v>
      </c>
      <c r="B4051" t="s">
        <v>280</v>
      </c>
      <c r="C4051">
        <v>1863</v>
      </c>
      <c r="E4051">
        <v>3844</v>
      </c>
      <c r="F4051">
        <v>135104</v>
      </c>
    </row>
    <row r="4052" spans="1:6" x14ac:dyDescent="0.35">
      <c r="A4052" t="s">
        <v>279</v>
      </c>
      <c r="B4052" t="s">
        <v>280</v>
      </c>
      <c r="C4052">
        <v>1864</v>
      </c>
      <c r="E4052">
        <v>3772</v>
      </c>
      <c r="F4052">
        <v>136790</v>
      </c>
    </row>
    <row r="4053" spans="1:6" x14ac:dyDescent="0.35">
      <c r="A4053" t="s">
        <v>279</v>
      </c>
      <c r="B4053" t="s">
        <v>280</v>
      </c>
      <c r="C4053">
        <v>1865</v>
      </c>
      <c r="E4053">
        <v>3668</v>
      </c>
      <c r="F4053">
        <v>134939</v>
      </c>
    </row>
    <row r="4054" spans="1:6" x14ac:dyDescent="0.35">
      <c r="A4054" t="s">
        <v>279</v>
      </c>
      <c r="B4054" t="s">
        <v>280</v>
      </c>
      <c r="C4054">
        <v>1866</v>
      </c>
      <c r="E4054">
        <v>3882</v>
      </c>
      <c r="F4054">
        <v>137741</v>
      </c>
    </row>
    <row r="4055" spans="1:6" x14ac:dyDescent="0.35">
      <c r="A4055" t="s">
        <v>279</v>
      </c>
      <c r="B4055" t="s">
        <v>280</v>
      </c>
      <c r="C4055">
        <v>1867</v>
      </c>
      <c r="E4055">
        <v>3612</v>
      </c>
      <c r="F4055">
        <v>129455</v>
      </c>
    </row>
    <row r="4056" spans="1:6" x14ac:dyDescent="0.35">
      <c r="A4056" t="s">
        <v>279</v>
      </c>
      <c r="B4056" t="s">
        <v>280</v>
      </c>
      <c r="C4056">
        <v>1868</v>
      </c>
      <c r="E4056">
        <v>3346</v>
      </c>
      <c r="F4056">
        <v>115437</v>
      </c>
    </row>
    <row r="4057" spans="1:6" x14ac:dyDescent="0.35">
      <c r="A4057" t="s">
        <v>279</v>
      </c>
      <c r="B4057" t="s">
        <v>280</v>
      </c>
      <c r="C4057">
        <v>1869</v>
      </c>
      <c r="E4057">
        <v>3480</v>
      </c>
      <c r="F4057">
        <v>118065</v>
      </c>
    </row>
    <row r="4058" spans="1:6" x14ac:dyDescent="0.35">
      <c r="A4058" t="s">
        <v>279</v>
      </c>
      <c r="B4058" t="s">
        <v>280</v>
      </c>
      <c r="C4058">
        <v>1870</v>
      </c>
      <c r="E4058">
        <v>3644</v>
      </c>
      <c r="F4058">
        <v>120122</v>
      </c>
    </row>
    <row r="4059" spans="1:6" x14ac:dyDescent="0.35">
      <c r="A4059" t="s">
        <v>279</v>
      </c>
      <c r="B4059" t="s">
        <v>280</v>
      </c>
      <c r="C4059">
        <v>1871</v>
      </c>
      <c r="E4059">
        <v>3784</v>
      </c>
      <c r="F4059">
        <v>127869</v>
      </c>
    </row>
    <row r="4060" spans="1:6" x14ac:dyDescent="0.35">
      <c r="A4060" t="s">
        <v>279</v>
      </c>
      <c r="B4060" t="s">
        <v>280</v>
      </c>
      <c r="C4060">
        <v>1872</v>
      </c>
      <c r="E4060">
        <v>3636</v>
      </c>
      <c r="F4060">
        <v>127420</v>
      </c>
    </row>
    <row r="4061" spans="1:6" x14ac:dyDescent="0.35">
      <c r="A4061" t="s">
        <v>279</v>
      </c>
      <c r="B4061" t="s">
        <v>280</v>
      </c>
      <c r="C4061">
        <v>1873</v>
      </c>
      <c r="E4061">
        <v>3862</v>
      </c>
      <c r="F4061">
        <v>132034</v>
      </c>
    </row>
    <row r="4062" spans="1:6" x14ac:dyDescent="0.35">
      <c r="A4062" t="s">
        <v>279</v>
      </c>
      <c r="B4062" t="s">
        <v>280</v>
      </c>
      <c r="C4062">
        <v>1874</v>
      </c>
      <c r="E4062">
        <v>3986</v>
      </c>
      <c r="F4062">
        <v>133776</v>
      </c>
    </row>
    <row r="4063" spans="1:6" x14ac:dyDescent="0.35">
      <c r="A4063" t="s">
        <v>279</v>
      </c>
      <c r="B4063" t="s">
        <v>280</v>
      </c>
      <c r="C4063">
        <v>1875</v>
      </c>
      <c r="E4063">
        <v>4208</v>
      </c>
      <c r="F4063">
        <v>136015</v>
      </c>
    </row>
    <row r="4064" spans="1:6" x14ac:dyDescent="0.35">
      <c r="A4064" t="s">
        <v>279</v>
      </c>
      <c r="B4064" t="s">
        <v>280</v>
      </c>
      <c r="C4064">
        <v>1876</v>
      </c>
      <c r="E4064">
        <v>4116</v>
      </c>
      <c r="F4064">
        <v>136072</v>
      </c>
    </row>
    <row r="4065" spans="1:6" x14ac:dyDescent="0.35">
      <c r="A4065" t="s">
        <v>279</v>
      </c>
      <c r="B4065" t="s">
        <v>280</v>
      </c>
      <c r="C4065">
        <v>1877</v>
      </c>
      <c r="E4065">
        <v>3980</v>
      </c>
      <c r="F4065">
        <v>138648</v>
      </c>
    </row>
    <row r="4066" spans="1:6" x14ac:dyDescent="0.35">
      <c r="A4066" t="s">
        <v>279</v>
      </c>
      <c r="B4066" t="s">
        <v>280</v>
      </c>
      <c r="C4066">
        <v>1878</v>
      </c>
      <c r="E4066">
        <v>3896</v>
      </c>
      <c r="F4066">
        <v>134419</v>
      </c>
    </row>
    <row r="4067" spans="1:6" x14ac:dyDescent="0.35">
      <c r="A4067" t="s">
        <v>279</v>
      </c>
      <c r="B4067" t="s">
        <v>280</v>
      </c>
      <c r="C4067">
        <v>1879</v>
      </c>
      <c r="D4067">
        <v>2031</v>
      </c>
      <c r="E4067">
        <v>4062</v>
      </c>
      <c r="F4067">
        <v>139116</v>
      </c>
    </row>
    <row r="4068" spans="1:6" x14ac:dyDescent="0.35">
      <c r="A4068" t="s">
        <v>279</v>
      </c>
      <c r="B4068" t="s">
        <v>280</v>
      </c>
      <c r="C4068">
        <v>1880</v>
      </c>
      <c r="D4068">
        <v>1826</v>
      </c>
      <c r="E4068">
        <v>3652</v>
      </c>
      <c r="F4068">
        <v>134576</v>
      </c>
    </row>
    <row r="4069" spans="1:6" x14ac:dyDescent="0.35">
      <c r="A4069" t="s">
        <v>279</v>
      </c>
      <c r="B4069" t="s">
        <v>280</v>
      </c>
      <c r="C4069">
        <v>1881</v>
      </c>
      <c r="D4069">
        <v>2000</v>
      </c>
      <c r="E4069">
        <v>4000</v>
      </c>
      <c r="F4069">
        <v>132585</v>
      </c>
    </row>
    <row r="4070" spans="1:6" x14ac:dyDescent="0.35">
      <c r="A4070" t="s">
        <v>279</v>
      </c>
      <c r="B4070" t="s">
        <v>280</v>
      </c>
      <c r="C4070">
        <v>1882</v>
      </c>
      <c r="D4070">
        <v>1890</v>
      </c>
      <c r="E4070">
        <v>3780</v>
      </c>
      <c r="F4070">
        <v>134202</v>
      </c>
    </row>
    <row r="4071" spans="1:6" x14ac:dyDescent="0.35">
      <c r="A4071" t="s">
        <v>279</v>
      </c>
      <c r="B4071" t="s">
        <v>280</v>
      </c>
      <c r="C4071">
        <v>1883</v>
      </c>
      <c r="D4071">
        <v>1931</v>
      </c>
      <c r="E4071">
        <v>3862</v>
      </c>
      <c r="F4071">
        <v>132649</v>
      </c>
    </row>
    <row r="4072" spans="1:6" x14ac:dyDescent="0.35">
      <c r="A4072" t="s">
        <v>279</v>
      </c>
      <c r="B4072" t="s">
        <v>280</v>
      </c>
      <c r="C4072">
        <v>1884</v>
      </c>
      <c r="D4072">
        <v>2038</v>
      </c>
      <c r="E4072">
        <v>4076</v>
      </c>
      <c r="F4072">
        <v>138408</v>
      </c>
    </row>
    <row r="4073" spans="1:6" x14ac:dyDescent="0.35">
      <c r="A4073" t="s">
        <v>279</v>
      </c>
      <c r="B4073" t="s">
        <v>280</v>
      </c>
      <c r="C4073">
        <v>1885</v>
      </c>
      <c r="D4073">
        <v>1940</v>
      </c>
      <c r="E4073">
        <v>3880</v>
      </c>
      <c r="F4073">
        <v>137364</v>
      </c>
    </row>
    <row r="4074" spans="1:6" x14ac:dyDescent="0.35">
      <c r="A4074" t="s">
        <v>279</v>
      </c>
      <c r="B4074" t="s">
        <v>280</v>
      </c>
      <c r="C4074">
        <v>1886</v>
      </c>
      <c r="D4074">
        <v>1893</v>
      </c>
      <c r="E4074">
        <v>3786</v>
      </c>
      <c r="F4074">
        <v>139973</v>
      </c>
    </row>
    <row r="4075" spans="1:6" x14ac:dyDescent="0.35">
      <c r="A4075" t="s">
        <v>279</v>
      </c>
      <c r="B4075" t="s">
        <v>280</v>
      </c>
      <c r="C4075">
        <v>1887</v>
      </c>
      <c r="D4075">
        <v>2076</v>
      </c>
      <c r="E4075">
        <v>4152</v>
      </c>
      <c r="F4075">
        <v>139800</v>
      </c>
    </row>
    <row r="4076" spans="1:6" x14ac:dyDescent="0.35">
      <c r="A4076" t="s">
        <v>279</v>
      </c>
      <c r="B4076" t="s">
        <v>280</v>
      </c>
      <c r="C4076">
        <v>1888</v>
      </c>
      <c r="D4076">
        <v>1860</v>
      </c>
      <c r="E4076">
        <v>3720</v>
      </c>
      <c r="F4076">
        <v>136430</v>
      </c>
    </row>
    <row r="4077" spans="1:6" x14ac:dyDescent="0.35">
      <c r="A4077" t="s">
        <v>279</v>
      </c>
      <c r="B4077" t="s">
        <v>280</v>
      </c>
      <c r="C4077">
        <v>1889</v>
      </c>
      <c r="D4077">
        <v>1873</v>
      </c>
      <c r="E4077">
        <v>3746</v>
      </c>
      <c r="F4077">
        <v>131774</v>
      </c>
    </row>
    <row r="4078" spans="1:6" x14ac:dyDescent="0.35">
      <c r="A4078" t="s">
        <v>279</v>
      </c>
      <c r="B4078" t="s">
        <v>280</v>
      </c>
      <c r="C4078">
        <v>1890</v>
      </c>
      <c r="D4078">
        <v>1854</v>
      </c>
      <c r="E4078">
        <v>3708</v>
      </c>
      <c r="F4078">
        <v>133365</v>
      </c>
    </row>
    <row r="4079" spans="1:6" x14ac:dyDescent="0.35">
      <c r="A4079" t="s">
        <v>279</v>
      </c>
      <c r="B4079" t="s">
        <v>280</v>
      </c>
      <c r="C4079">
        <v>1891</v>
      </c>
      <c r="D4079">
        <v>1876</v>
      </c>
      <c r="E4079">
        <v>3752</v>
      </c>
      <c r="F4079">
        <v>135265</v>
      </c>
    </row>
    <row r="4080" spans="1:6" x14ac:dyDescent="0.35">
      <c r="A4080" t="s">
        <v>279</v>
      </c>
      <c r="B4080" t="s">
        <v>280</v>
      </c>
      <c r="C4080">
        <v>1892</v>
      </c>
      <c r="D4080">
        <v>1824</v>
      </c>
      <c r="E4080">
        <v>3648</v>
      </c>
      <c r="F4080">
        <v>129271</v>
      </c>
    </row>
    <row r="4081" spans="1:6" x14ac:dyDescent="0.35">
      <c r="A4081" t="s">
        <v>279</v>
      </c>
      <c r="B4081" t="s">
        <v>280</v>
      </c>
      <c r="C4081">
        <v>1893</v>
      </c>
      <c r="D4081">
        <v>1842</v>
      </c>
      <c r="E4081">
        <v>3684</v>
      </c>
      <c r="F4081">
        <v>131442</v>
      </c>
    </row>
    <row r="4082" spans="1:6" x14ac:dyDescent="0.35">
      <c r="A4082" t="s">
        <v>279</v>
      </c>
      <c r="B4082" t="s">
        <v>280</v>
      </c>
      <c r="C4082">
        <v>1894</v>
      </c>
      <c r="D4082">
        <v>1898</v>
      </c>
      <c r="E4082">
        <v>3796</v>
      </c>
      <c r="F4082">
        <v>130998</v>
      </c>
    </row>
    <row r="4083" spans="1:6" x14ac:dyDescent="0.35">
      <c r="A4083" t="s">
        <v>279</v>
      </c>
      <c r="B4083" t="s">
        <v>280</v>
      </c>
      <c r="C4083">
        <v>1895</v>
      </c>
      <c r="D4083">
        <v>2021</v>
      </c>
      <c r="E4083">
        <v>4042</v>
      </c>
      <c r="F4083">
        <v>133996</v>
      </c>
    </row>
    <row r="4084" spans="1:6" x14ac:dyDescent="0.35">
      <c r="A4084" t="s">
        <v>279</v>
      </c>
      <c r="B4084" t="s">
        <v>280</v>
      </c>
      <c r="C4084">
        <v>1896</v>
      </c>
      <c r="D4084">
        <v>1851</v>
      </c>
      <c r="E4084">
        <v>3702</v>
      </c>
      <c r="F4084">
        <v>134086</v>
      </c>
    </row>
    <row r="4085" spans="1:6" x14ac:dyDescent="0.35">
      <c r="A4085" t="s">
        <v>279</v>
      </c>
      <c r="B4085" t="s">
        <v>280</v>
      </c>
      <c r="C4085">
        <v>1897</v>
      </c>
      <c r="D4085">
        <v>1959</v>
      </c>
      <c r="E4085">
        <v>3918</v>
      </c>
      <c r="F4085">
        <v>132726</v>
      </c>
    </row>
    <row r="4086" spans="1:6" x14ac:dyDescent="0.35">
      <c r="A4086" t="s">
        <v>279</v>
      </c>
      <c r="B4086" t="s">
        <v>280</v>
      </c>
      <c r="C4086">
        <v>1898</v>
      </c>
      <c r="D4086">
        <v>2083</v>
      </c>
      <c r="E4086">
        <v>4166</v>
      </c>
      <c r="F4086">
        <v>135978</v>
      </c>
    </row>
    <row r="4087" spans="1:6" x14ac:dyDescent="0.35">
      <c r="A4087" t="s">
        <v>279</v>
      </c>
      <c r="B4087" t="s">
        <v>280</v>
      </c>
      <c r="C4087">
        <v>1899</v>
      </c>
      <c r="D4087">
        <v>2034</v>
      </c>
      <c r="E4087">
        <v>4068</v>
      </c>
      <c r="F4087">
        <v>133269</v>
      </c>
    </row>
    <row r="4088" spans="1:6" x14ac:dyDescent="0.35">
      <c r="A4088" t="s">
        <v>279</v>
      </c>
      <c r="B4088" t="s">
        <v>280</v>
      </c>
      <c r="C4088">
        <v>1900</v>
      </c>
      <c r="D4088">
        <v>2043</v>
      </c>
      <c r="E4088">
        <v>4086</v>
      </c>
      <c r="F4088">
        <v>137532</v>
      </c>
    </row>
    <row r="4089" spans="1:6" x14ac:dyDescent="0.35">
      <c r="A4089" t="s">
        <v>279</v>
      </c>
      <c r="B4089" t="s">
        <v>280</v>
      </c>
      <c r="C4089">
        <v>1901</v>
      </c>
      <c r="D4089">
        <v>2196</v>
      </c>
      <c r="E4089">
        <v>4392</v>
      </c>
      <c r="F4089">
        <v>138545</v>
      </c>
    </row>
    <row r="4090" spans="1:6" x14ac:dyDescent="0.35">
      <c r="A4090" t="s">
        <v>279</v>
      </c>
      <c r="B4090" t="s">
        <v>280</v>
      </c>
      <c r="C4090">
        <v>1902</v>
      </c>
      <c r="D4090">
        <v>2047</v>
      </c>
      <c r="E4090">
        <v>4094</v>
      </c>
      <c r="F4090">
        <v>136708</v>
      </c>
    </row>
    <row r="4091" spans="1:6" x14ac:dyDescent="0.35">
      <c r="A4091" t="s">
        <v>279</v>
      </c>
      <c r="B4091" t="s">
        <v>280</v>
      </c>
      <c r="C4091">
        <v>1903</v>
      </c>
      <c r="D4091">
        <v>1943</v>
      </c>
      <c r="E4091">
        <v>3886</v>
      </c>
      <c r="F4091">
        <v>133400</v>
      </c>
    </row>
    <row r="4092" spans="1:6" x14ac:dyDescent="0.35">
      <c r="A4092" t="s">
        <v>279</v>
      </c>
      <c r="B4092" t="s">
        <v>280</v>
      </c>
      <c r="C4092">
        <v>1904</v>
      </c>
      <c r="D4092">
        <v>2074</v>
      </c>
      <c r="E4092">
        <v>4148</v>
      </c>
      <c r="F4092">
        <v>134285</v>
      </c>
    </row>
    <row r="4093" spans="1:6" x14ac:dyDescent="0.35">
      <c r="A4093" t="s">
        <v>279</v>
      </c>
      <c r="B4093" t="s">
        <v>280</v>
      </c>
      <c r="C4093">
        <v>1905</v>
      </c>
      <c r="D4093">
        <v>1995</v>
      </c>
      <c r="E4093">
        <v>3990</v>
      </c>
      <c r="F4093">
        <v>134778</v>
      </c>
    </row>
    <row r="4094" spans="1:6" x14ac:dyDescent="0.35">
      <c r="A4094" t="s">
        <v>279</v>
      </c>
      <c r="B4094" t="s">
        <v>280</v>
      </c>
      <c r="C4094">
        <v>1906</v>
      </c>
      <c r="D4094">
        <v>1993</v>
      </c>
      <c r="E4094">
        <v>3986</v>
      </c>
      <c r="F4094">
        <v>136005</v>
      </c>
    </row>
    <row r="4095" spans="1:6" x14ac:dyDescent="0.35">
      <c r="A4095" t="s">
        <v>279</v>
      </c>
      <c r="B4095" t="s">
        <v>280</v>
      </c>
      <c r="C4095">
        <v>1907</v>
      </c>
      <c r="D4095">
        <v>2122</v>
      </c>
      <c r="E4095">
        <v>4244</v>
      </c>
      <c r="F4095">
        <v>136023</v>
      </c>
    </row>
    <row r="4096" spans="1:6" x14ac:dyDescent="0.35">
      <c r="A4096" t="s">
        <v>279</v>
      </c>
      <c r="B4096" t="s">
        <v>280</v>
      </c>
      <c r="C4096">
        <v>1908</v>
      </c>
      <c r="D4096">
        <v>2101</v>
      </c>
      <c r="E4096">
        <v>4202</v>
      </c>
      <c r="F4096">
        <v>138032</v>
      </c>
    </row>
    <row r="4097" spans="1:6" x14ac:dyDescent="0.35">
      <c r="A4097" t="s">
        <v>279</v>
      </c>
      <c r="B4097" t="s">
        <v>280</v>
      </c>
      <c r="C4097">
        <v>1909</v>
      </c>
      <c r="D4097">
        <v>2072</v>
      </c>
      <c r="E4097">
        <v>4144</v>
      </c>
      <c r="F4097">
        <v>138780</v>
      </c>
    </row>
    <row r="4098" spans="1:6" x14ac:dyDescent="0.35">
      <c r="A4098" t="s">
        <v>279</v>
      </c>
      <c r="B4098" t="s">
        <v>280</v>
      </c>
      <c r="C4098">
        <v>1910</v>
      </c>
      <c r="D4098">
        <v>1965</v>
      </c>
      <c r="E4098">
        <v>3930</v>
      </c>
      <c r="F4098">
        <v>134962</v>
      </c>
    </row>
    <row r="4099" spans="1:6" x14ac:dyDescent="0.35">
      <c r="A4099" t="s">
        <v>279</v>
      </c>
      <c r="B4099" t="s">
        <v>280</v>
      </c>
      <c r="C4099">
        <v>1911</v>
      </c>
      <c r="E4099">
        <v>3874</v>
      </c>
      <c r="F4099">
        <v>132410</v>
      </c>
    </row>
    <row r="4100" spans="1:6" x14ac:dyDescent="0.35">
      <c r="A4100" t="s">
        <v>279</v>
      </c>
      <c r="B4100" t="s">
        <v>280</v>
      </c>
      <c r="C4100">
        <v>1912</v>
      </c>
      <c r="E4100">
        <v>3878</v>
      </c>
      <c r="F4100">
        <v>132231</v>
      </c>
    </row>
    <row r="4101" spans="1:6" x14ac:dyDescent="0.35">
      <c r="A4101" t="s">
        <v>279</v>
      </c>
      <c r="B4101" t="s">
        <v>280</v>
      </c>
      <c r="C4101">
        <v>1913</v>
      </c>
      <c r="E4101">
        <v>3828</v>
      </c>
      <c r="F4101">
        <v>129520</v>
      </c>
    </row>
    <row r="4102" spans="1:6" x14ac:dyDescent="0.35">
      <c r="A4102" t="s">
        <v>279</v>
      </c>
      <c r="B4102" t="s">
        <v>280</v>
      </c>
      <c r="C4102">
        <v>1914</v>
      </c>
      <c r="E4102">
        <v>3892</v>
      </c>
      <c r="F4102">
        <v>128679</v>
      </c>
    </row>
    <row r="4103" spans="1:6" x14ac:dyDescent="0.35">
      <c r="A4103" t="s">
        <v>279</v>
      </c>
      <c r="B4103" t="s">
        <v>280</v>
      </c>
      <c r="C4103">
        <v>1915</v>
      </c>
      <c r="E4103">
        <v>3852</v>
      </c>
      <c r="F4103">
        <v>122165</v>
      </c>
    </row>
    <row r="4104" spans="1:6" x14ac:dyDescent="0.35">
      <c r="A4104" t="s">
        <v>279</v>
      </c>
      <c r="B4104" t="s">
        <v>280</v>
      </c>
      <c r="C4104">
        <v>1916</v>
      </c>
      <c r="E4104">
        <v>3744</v>
      </c>
      <c r="F4104">
        <v>120980</v>
      </c>
    </row>
    <row r="4105" spans="1:6" x14ac:dyDescent="0.35">
      <c r="A4105" t="s">
        <v>279</v>
      </c>
      <c r="B4105" t="s">
        <v>280</v>
      </c>
      <c r="C4105">
        <v>1917</v>
      </c>
      <c r="E4105">
        <v>3670</v>
      </c>
      <c r="F4105">
        <v>119936</v>
      </c>
    </row>
    <row r="4106" spans="1:6" x14ac:dyDescent="0.35">
      <c r="A4106" t="s">
        <v>279</v>
      </c>
      <c r="B4106" t="s">
        <v>280</v>
      </c>
      <c r="C4106">
        <v>1918</v>
      </c>
      <c r="E4106">
        <v>3248</v>
      </c>
      <c r="F4106">
        <v>117542</v>
      </c>
    </row>
    <row r="4107" spans="1:6" x14ac:dyDescent="0.35">
      <c r="A4107" t="s">
        <v>279</v>
      </c>
      <c r="B4107" t="s">
        <v>280</v>
      </c>
      <c r="C4107">
        <v>1919</v>
      </c>
      <c r="E4107">
        <v>3186</v>
      </c>
      <c r="F4107">
        <v>114611</v>
      </c>
    </row>
    <row r="4108" spans="1:6" x14ac:dyDescent="0.35">
      <c r="A4108" t="s">
        <v>279</v>
      </c>
      <c r="B4108" t="s">
        <v>280</v>
      </c>
      <c r="C4108">
        <v>1920</v>
      </c>
      <c r="E4108">
        <v>4298</v>
      </c>
      <c r="F4108">
        <v>137621</v>
      </c>
    </row>
    <row r="4109" spans="1:6" x14ac:dyDescent="0.35">
      <c r="A4109" t="s">
        <v>279</v>
      </c>
      <c r="B4109" t="s">
        <v>280</v>
      </c>
      <c r="C4109">
        <v>1921</v>
      </c>
      <c r="E4109">
        <v>3734</v>
      </c>
      <c r="F4109">
        <v>127158</v>
      </c>
    </row>
    <row r="4110" spans="1:6" x14ac:dyDescent="0.35">
      <c r="A4110" t="s">
        <v>279</v>
      </c>
      <c r="B4110" t="s">
        <v>280</v>
      </c>
      <c r="C4110">
        <v>1922</v>
      </c>
      <c r="E4110">
        <v>3494</v>
      </c>
      <c r="F4110">
        <v>116309</v>
      </c>
    </row>
    <row r="4111" spans="1:6" x14ac:dyDescent="0.35">
      <c r="A4111" t="s">
        <v>279</v>
      </c>
      <c r="B4111" t="s">
        <v>280</v>
      </c>
      <c r="C4111">
        <v>1923</v>
      </c>
      <c r="E4111">
        <v>3394</v>
      </c>
      <c r="F4111">
        <v>112908</v>
      </c>
    </row>
    <row r="4112" spans="1:6" x14ac:dyDescent="0.35">
      <c r="A4112" t="s">
        <v>279</v>
      </c>
      <c r="B4112" t="s">
        <v>280</v>
      </c>
      <c r="C4112">
        <v>1924</v>
      </c>
      <c r="E4112">
        <v>3210</v>
      </c>
      <c r="F4112">
        <v>108570</v>
      </c>
    </row>
    <row r="4113" spans="1:6" x14ac:dyDescent="0.35">
      <c r="A4113" t="s">
        <v>279</v>
      </c>
      <c r="B4113" t="s">
        <v>280</v>
      </c>
      <c r="C4113">
        <v>1925</v>
      </c>
      <c r="E4113">
        <v>2928</v>
      </c>
      <c r="F4113">
        <v>105933</v>
      </c>
    </row>
    <row r="4114" spans="1:6" x14ac:dyDescent="0.35">
      <c r="A4114" t="s">
        <v>279</v>
      </c>
      <c r="B4114" t="s">
        <v>280</v>
      </c>
      <c r="C4114">
        <v>1926</v>
      </c>
      <c r="E4114">
        <v>3108</v>
      </c>
      <c r="F4114">
        <v>101496</v>
      </c>
    </row>
    <row r="4115" spans="1:6" x14ac:dyDescent="0.35">
      <c r="A4115" t="s">
        <v>279</v>
      </c>
      <c r="B4115" t="s">
        <v>280</v>
      </c>
      <c r="C4115">
        <v>1927</v>
      </c>
      <c r="E4115">
        <v>2816</v>
      </c>
      <c r="F4115">
        <v>97685</v>
      </c>
    </row>
    <row r="4116" spans="1:6" x14ac:dyDescent="0.35">
      <c r="A4116" t="s">
        <v>279</v>
      </c>
      <c r="B4116" t="s">
        <v>280</v>
      </c>
      <c r="C4116">
        <v>1928</v>
      </c>
      <c r="E4116">
        <v>2828</v>
      </c>
      <c r="F4116">
        <v>97657</v>
      </c>
    </row>
    <row r="4117" spans="1:6" x14ac:dyDescent="0.35">
      <c r="A4117" t="s">
        <v>279</v>
      </c>
      <c r="B4117" t="s">
        <v>280</v>
      </c>
      <c r="C4117">
        <v>1929</v>
      </c>
      <c r="E4117">
        <v>2856</v>
      </c>
      <c r="F4117">
        <v>92491</v>
      </c>
    </row>
    <row r="4118" spans="1:6" x14ac:dyDescent="0.35">
      <c r="A4118" t="s">
        <v>279</v>
      </c>
      <c r="B4118" t="s">
        <v>280</v>
      </c>
      <c r="C4118">
        <v>1930</v>
      </c>
      <c r="E4118">
        <v>2760</v>
      </c>
      <c r="F4118">
        <v>94009</v>
      </c>
    </row>
    <row r="4119" spans="1:6" x14ac:dyDescent="0.35">
      <c r="A4119" t="s">
        <v>279</v>
      </c>
      <c r="B4119" t="s">
        <v>280</v>
      </c>
      <c r="C4119">
        <v>1931</v>
      </c>
      <c r="E4119">
        <v>2530</v>
      </c>
      <c r="F4119">
        <v>91132</v>
      </c>
    </row>
    <row r="4120" spans="1:6" x14ac:dyDescent="0.35">
      <c r="A4120" t="s">
        <v>279</v>
      </c>
      <c r="B4120" t="s">
        <v>280</v>
      </c>
      <c r="C4120">
        <v>1932</v>
      </c>
      <c r="E4120">
        <v>2556</v>
      </c>
      <c r="F4120">
        <v>89694</v>
      </c>
    </row>
    <row r="4121" spans="1:6" x14ac:dyDescent="0.35">
      <c r="A4121" t="s">
        <v>279</v>
      </c>
      <c r="B4121" t="s">
        <v>280</v>
      </c>
      <c r="C4121">
        <v>1933</v>
      </c>
      <c r="E4121">
        <v>2326</v>
      </c>
      <c r="F4121">
        <v>84984</v>
      </c>
    </row>
    <row r="4122" spans="1:6" x14ac:dyDescent="0.35">
      <c r="A4122" t="s">
        <v>279</v>
      </c>
      <c r="B4122" t="s">
        <v>280</v>
      </c>
      <c r="C4122">
        <v>1934</v>
      </c>
      <c r="E4122">
        <v>2310</v>
      </c>
      <c r="F4122">
        <v>85126</v>
      </c>
    </row>
    <row r="4123" spans="1:6" x14ac:dyDescent="0.35">
      <c r="A4123" t="s">
        <v>279</v>
      </c>
      <c r="B4123" t="s">
        <v>280</v>
      </c>
      <c r="C4123">
        <v>1935</v>
      </c>
      <c r="E4123">
        <v>2352</v>
      </c>
      <c r="F4123">
        <v>85897</v>
      </c>
    </row>
    <row r="4124" spans="1:6" x14ac:dyDescent="0.35">
      <c r="A4124" t="s">
        <v>279</v>
      </c>
      <c r="B4124" t="s">
        <v>280</v>
      </c>
      <c r="C4124">
        <v>1936</v>
      </c>
      <c r="E4124">
        <v>2354</v>
      </c>
      <c r="F4124">
        <v>89071</v>
      </c>
    </row>
    <row r="4125" spans="1:6" x14ac:dyDescent="0.35">
      <c r="A4125" t="s">
        <v>279</v>
      </c>
      <c r="B4125" t="s">
        <v>280</v>
      </c>
      <c r="C4125">
        <v>1937</v>
      </c>
      <c r="E4125">
        <v>2544</v>
      </c>
      <c r="F4125">
        <v>90475</v>
      </c>
    </row>
    <row r="4126" spans="1:6" x14ac:dyDescent="0.35">
      <c r="A4126" t="s">
        <v>279</v>
      </c>
      <c r="B4126" t="s">
        <v>280</v>
      </c>
      <c r="C4126">
        <v>1938</v>
      </c>
      <c r="E4126">
        <v>2526</v>
      </c>
      <c r="F4126">
        <v>94062</v>
      </c>
    </row>
    <row r="4127" spans="1:6" x14ac:dyDescent="0.35">
      <c r="A4127" t="s">
        <v>279</v>
      </c>
      <c r="B4127" t="s">
        <v>280</v>
      </c>
      <c r="C4127">
        <v>1939</v>
      </c>
      <c r="E4127">
        <v>2690</v>
      </c>
      <c r="F4127">
        <v>97384</v>
      </c>
    </row>
    <row r="4128" spans="1:6" x14ac:dyDescent="0.35">
      <c r="A4128" t="s">
        <v>279</v>
      </c>
      <c r="B4128" t="s">
        <v>280</v>
      </c>
      <c r="C4128">
        <v>1940</v>
      </c>
      <c r="E4128">
        <v>2570</v>
      </c>
      <c r="F4128">
        <v>96015</v>
      </c>
    </row>
    <row r="4129" spans="1:6" x14ac:dyDescent="0.35">
      <c r="A4129" t="s">
        <v>279</v>
      </c>
      <c r="B4129" t="s">
        <v>280</v>
      </c>
      <c r="C4129">
        <v>1941</v>
      </c>
      <c r="E4129">
        <v>2602</v>
      </c>
      <c r="F4129">
        <v>99594</v>
      </c>
    </row>
    <row r="4130" spans="1:6" x14ac:dyDescent="0.35">
      <c r="A4130" t="s">
        <v>279</v>
      </c>
      <c r="B4130" t="s">
        <v>280</v>
      </c>
      <c r="C4130">
        <v>1942</v>
      </c>
      <c r="E4130">
        <v>3032</v>
      </c>
      <c r="F4130">
        <v>113503</v>
      </c>
    </row>
    <row r="4131" spans="1:6" x14ac:dyDescent="0.35">
      <c r="A4131" t="s">
        <v>279</v>
      </c>
      <c r="B4131" t="s">
        <v>280</v>
      </c>
      <c r="C4131">
        <v>1943</v>
      </c>
      <c r="E4131">
        <v>3252</v>
      </c>
      <c r="F4131">
        <v>124893</v>
      </c>
    </row>
    <row r="4132" spans="1:6" x14ac:dyDescent="0.35">
      <c r="A4132" t="s">
        <v>279</v>
      </c>
      <c r="B4132" t="s">
        <v>280</v>
      </c>
      <c r="C4132">
        <v>1944</v>
      </c>
      <c r="E4132">
        <v>3482</v>
      </c>
      <c r="F4132">
        <v>134630</v>
      </c>
    </row>
    <row r="4133" spans="1:6" x14ac:dyDescent="0.35">
      <c r="A4133" t="s">
        <v>279</v>
      </c>
      <c r="B4133" t="s">
        <v>280</v>
      </c>
      <c r="C4133">
        <v>1945</v>
      </c>
      <c r="E4133">
        <v>3436</v>
      </c>
      <c r="F4133">
        <v>135200</v>
      </c>
    </row>
    <row r="4134" spans="1:6" x14ac:dyDescent="0.35">
      <c r="A4134" t="s">
        <v>279</v>
      </c>
      <c r="B4134" t="s">
        <v>280</v>
      </c>
      <c r="C4134">
        <v>1946</v>
      </c>
      <c r="E4134">
        <v>3360</v>
      </c>
      <c r="F4134">
        <v>132115</v>
      </c>
    </row>
    <row r="4135" spans="1:6" x14ac:dyDescent="0.35">
      <c r="A4135" t="s">
        <v>279</v>
      </c>
      <c r="B4135" t="s">
        <v>280</v>
      </c>
      <c r="C4135">
        <v>1947</v>
      </c>
      <c r="E4135">
        <v>3322</v>
      </c>
      <c r="F4135">
        <v>128204</v>
      </c>
    </row>
    <row r="4136" spans="1:6" x14ac:dyDescent="0.35">
      <c r="A4136" t="s">
        <v>279</v>
      </c>
      <c r="B4136" t="s">
        <v>280</v>
      </c>
      <c r="C4136">
        <v>1948</v>
      </c>
      <c r="E4136">
        <v>3214</v>
      </c>
      <c r="F4136">
        <v>125915</v>
      </c>
    </row>
    <row r="4137" spans="1:6" x14ac:dyDescent="0.35">
      <c r="A4137" t="s">
        <v>279</v>
      </c>
      <c r="B4137" t="s">
        <v>280</v>
      </c>
      <c r="C4137">
        <v>1949</v>
      </c>
      <c r="E4137">
        <v>2702</v>
      </c>
      <c r="F4137">
        <v>121035</v>
      </c>
    </row>
    <row r="4138" spans="1:6" x14ac:dyDescent="0.35">
      <c r="A4138" t="s">
        <v>279</v>
      </c>
      <c r="B4138" t="s">
        <v>280</v>
      </c>
      <c r="C4138">
        <v>1950</v>
      </c>
      <c r="E4138">
        <v>2720</v>
      </c>
      <c r="F4138">
        <v>115004</v>
      </c>
    </row>
    <row r="4139" spans="1:6" x14ac:dyDescent="0.35">
      <c r="A4139" t="s">
        <v>279</v>
      </c>
      <c r="B4139" t="s">
        <v>280</v>
      </c>
      <c r="C4139">
        <v>1951</v>
      </c>
      <c r="E4139">
        <v>2554</v>
      </c>
      <c r="F4139">
        <v>109750</v>
      </c>
    </row>
    <row r="4140" spans="1:6" x14ac:dyDescent="0.35">
      <c r="A4140" t="s">
        <v>279</v>
      </c>
      <c r="B4140" t="s">
        <v>280</v>
      </c>
      <c r="C4140">
        <v>1952</v>
      </c>
      <c r="E4140">
        <v>2500</v>
      </c>
      <c r="F4140">
        <v>109717</v>
      </c>
    </row>
    <row r="4141" spans="1:6" x14ac:dyDescent="0.35">
      <c r="A4141" t="s">
        <v>279</v>
      </c>
      <c r="B4141" t="s">
        <v>280</v>
      </c>
      <c r="C4141">
        <v>1953</v>
      </c>
      <c r="E4141">
        <v>2630</v>
      </c>
      <c r="F4141">
        <v>109467</v>
      </c>
    </row>
    <row r="4142" spans="1:6" x14ac:dyDescent="0.35">
      <c r="A4142" t="s">
        <v>279</v>
      </c>
      <c r="B4142" t="s">
        <v>280</v>
      </c>
      <c r="C4142">
        <v>1954</v>
      </c>
      <c r="E4142">
        <v>2406</v>
      </c>
      <c r="F4142">
        <v>104486</v>
      </c>
    </row>
    <row r="4143" spans="1:6" x14ac:dyDescent="0.35">
      <c r="A4143" t="s">
        <v>279</v>
      </c>
      <c r="B4143" t="s">
        <v>280</v>
      </c>
      <c r="C4143">
        <v>1955</v>
      </c>
      <c r="D4143">
        <v>1194</v>
      </c>
      <c r="E4143">
        <v>2388</v>
      </c>
      <c r="F4143">
        <v>106703</v>
      </c>
    </row>
    <row r="4144" spans="1:6" x14ac:dyDescent="0.35">
      <c r="A4144" t="s">
        <v>279</v>
      </c>
      <c r="B4144" t="s">
        <v>280</v>
      </c>
      <c r="C4144">
        <v>1956</v>
      </c>
      <c r="D4144">
        <v>1190</v>
      </c>
      <c r="E4144">
        <v>2380</v>
      </c>
      <c r="F4144">
        <v>107360</v>
      </c>
    </row>
    <row r="4145" spans="1:6" x14ac:dyDescent="0.35">
      <c r="A4145" t="s">
        <v>279</v>
      </c>
      <c r="B4145" t="s">
        <v>280</v>
      </c>
      <c r="C4145">
        <v>1957</v>
      </c>
      <c r="D4145">
        <v>1107</v>
      </c>
      <c r="E4145">
        <v>2214</v>
      </c>
      <c r="F4145">
        <v>106627</v>
      </c>
    </row>
    <row r="4146" spans="1:6" x14ac:dyDescent="0.35">
      <c r="A4146" t="s">
        <v>279</v>
      </c>
      <c r="B4146" t="s">
        <v>280</v>
      </c>
      <c r="C4146">
        <v>1958</v>
      </c>
      <c r="D4146">
        <v>1133</v>
      </c>
      <c r="E4146">
        <v>2266</v>
      </c>
      <c r="F4146">
        <v>104882</v>
      </c>
    </row>
    <row r="4147" spans="1:6" x14ac:dyDescent="0.35">
      <c r="A4147" t="s">
        <v>279</v>
      </c>
      <c r="B4147" t="s">
        <v>280</v>
      </c>
      <c r="C4147">
        <v>1959</v>
      </c>
      <c r="D4147">
        <v>1057</v>
      </c>
      <c r="E4147">
        <v>2114</v>
      </c>
      <c r="F4147">
        <v>104169</v>
      </c>
    </row>
    <row r="4148" spans="1:6" x14ac:dyDescent="0.35">
      <c r="A4148" t="s">
        <v>279</v>
      </c>
      <c r="B4148" t="s">
        <v>280</v>
      </c>
      <c r="C4148">
        <v>1960</v>
      </c>
      <c r="D4148">
        <v>1104</v>
      </c>
      <c r="E4148">
        <v>2207</v>
      </c>
      <c r="F4148">
        <v>101418</v>
      </c>
    </row>
    <row r="4149" spans="1:6" x14ac:dyDescent="0.35">
      <c r="A4149" t="s">
        <v>279</v>
      </c>
      <c r="B4149" t="s">
        <v>280</v>
      </c>
      <c r="C4149">
        <v>1961</v>
      </c>
      <c r="D4149">
        <v>1137</v>
      </c>
      <c r="E4149">
        <v>2273</v>
      </c>
      <c r="F4149">
        <v>103538</v>
      </c>
    </row>
    <row r="4150" spans="1:6" x14ac:dyDescent="0.35">
      <c r="A4150" t="s">
        <v>279</v>
      </c>
      <c r="B4150" t="s">
        <v>280</v>
      </c>
      <c r="C4150">
        <v>1962</v>
      </c>
      <c r="D4150">
        <v>1122</v>
      </c>
      <c r="E4150">
        <v>2244</v>
      </c>
      <c r="F4150">
        <v>106360</v>
      </c>
    </row>
    <row r="4151" spans="1:6" x14ac:dyDescent="0.35">
      <c r="A4151" t="s">
        <v>279</v>
      </c>
      <c r="B4151" t="s">
        <v>280</v>
      </c>
      <c r="C4151">
        <v>1963</v>
      </c>
      <c r="D4151">
        <v>1174</v>
      </c>
      <c r="E4151">
        <v>2348</v>
      </c>
      <c r="F4151">
        <v>111898</v>
      </c>
    </row>
    <row r="4152" spans="1:6" x14ac:dyDescent="0.35">
      <c r="A4152" t="s">
        <v>279</v>
      </c>
      <c r="B4152" t="s">
        <v>280</v>
      </c>
      <c r="C4152">
        <v>1964</v>
      </c>
      <c r="D4152">
        <v>1204</v>
      </c>
      <c r="E4152">
        <v>2408</v>
      </c>
      <c r="F4152">
        <v>121623</v>
      </c>
    </row>
    <row r="4153" spans="1:6" x14ac:dyDescent="0.35">
      <c r="A4153" t="s">
        <v>279</v>
      </c>
      <c r="B4153" t="s">
        <v>280</v>
      </c>
      <c r="C4153">
        <v>1965</v>
      </c>
      <c r="D4153">
        <v>1235</v>
      </c>
      <c r="E4153">
        <v>2470</v>
      </c>
      <c r="F4153">
        <v>121557</v>
      </c>
    </row>
    <row r="4154" spans="1:6" x14ac:dyDescent="0.35">
      <c r="A4154" t="s">
        <v>279</v>
      </c>
      <c r="B4154" t="s">
        <v>280</v>
      </c>
      <c r="C4154">
        <v>1966</v>
      </c>
      <c r="D4154">
        <v>1147</v>
      </c>
      <c r="E4154">
        <v>2294</v>
      </c>
      <c r="F4154">
        <v>122264</v>
      </c>
    </row>
    <row r="4155" spans="1:6" x14ac:dyDescent="0.35">
      <c r="A4155" t="s">
        <v>279</v>
      </c>
      <c r="B4155" t="s">
        <v>280</v>
      </c>
      <c r="C4155">
        <v>1967</v>
      </c>
      <c r="D4155">
        <v>1096</v>
      </c>
      <c r="E4155">
        <v>2192</v>
      </c>
      <c r="F4155">
        <v>120290</v>
      </c>
    </row>
    <row r="4156" spans="1:6" x14ac:dyDescent="0.35">
      <c r="A4156" t="s">
        <v>279</v>
      </c>
      <c r="B4156" t="s">
        <v>280</v>
      </c>
      <c r="C4156">
        <v>1968</v>
      </c>
      <c r="E4156">
        <v>2008</v>
      </c>
      <c r="F4156">
        <v>112070</v>
      </c>
    </row>
    <row r="4157" spans="1:6" x14ac:dyDescent="0.35">
      <c r="A4157" t="s">
        <v>279</v>
      </c>
      <c r="B4157" t="s">
        <v>280</v>
      </c>
      <c r="C4157">
        <v>1969</v>
      </c>
      <c r="E4157">
        <v>1802</v>
      </c>
      <c r="F4157">
        <v>106655</v>
      </c>
    </row>
    <row r="4158" spans="1:6" x14ac:dyDescent="0.35">
      <c r="A4158" t="s">
        <v>279</v>
      </c>
      <c r="B4158" t="s">
        <v>280</v>
      </c>
      <c r="C4158">
        <v>1970</v>
      </c>
      <c r="E4158">
        <v>1886</v>
      </c>
      <c r="F4158">
        <v>109172</v>
      </c>
    </row>
    <row r="4159" spans="1:6" x14ac:dyDescent="0.35">
      <c r="A4159" t="s">
        <v>279</v>
      </c>
      <c r="B4159" t="s">
        <v>280</v>
      </c>
      <c r="C4159">
        <v>1971</v>
      </c>
      <c r="E4159">
        <v>1998</v>
      </c>
      <c r="F4159">
        <v>113373</v>
      </c>
    </row>
    <row r="4160" spans="1:6" x14ac:dyDescent="0.35">
      <c r="A4160" t="s">
        <v>279</v>
      </c>
      <c r="B4160" t="s">
        <v>280</v>
      </c>
      <c r="C4160">
        <v>1972</v>
      </c>
      <c r="E4160">
        <v>2048</v>
      </c>
      <c r="F4160">
        <v>110950</v>
      </c>
    </row>
    <row r="4161" spans="1:6" x14ac:dyDescent="0.35">
      <c r="A4161" t="s">
        <v>279</v>
      </c>
      <c r="B4161" t="s">
        <v>280</v>
      </c>
      <c r="C4161">
        <v>1973</v>
      </c>
      <c r="E4161">
        <v>1837</v>
      </c>
      <c r="F4161">
        <v>108580</v>
      </c>
    </row>
    <row r="4162" spans="1:6" x14ac:dyDescent="0.35">
      <c r="A4162" t="s">
        <v>279</v>
      </c>
      <c r="B4162" t="s">
        <v>280</v>
      </c>
      <c r="C4162">
        <v>1974</v>
      </c>
      <c r="E4162">
        <v>1816</v>
      </c>
      <c r="F4162">
        <v>108752</v>
      </c>
    </row>
    <row r="4163" spans="1:6" x14ac:dyDescent="0.35">
      <c r="A4163" t="s">
        <v>279</v>
      </c>
      <c r="B4163" t="s">
        <v>280</v>
      </c>
      <c r="C4163">
        <v>1975</v>
      </c>
      <c r="E4163">
        <v>1738</v>
      </c>
      <c r="F4163">
        <v>102473</v>
      </c>
    </row>
    <row r="4164" spans="1:6" x14ac:dyDescent="0.35">
      <c r="A4164" t="s">
        <v>279</v>
      </c>
      <c r="B4164" t="s">
        <v>280</v>
      </c>
      <c r="C4164">
        <v>1976</v>
      </c>
      <c r="E4164">
        <v>1640</v>
      </c>
      <c r="F4164">
        <v>97219</v>
      </c>
    </row>
    <row r="4165" spans="1:6" x14ac:dyDescent="0.35">
      <c r="A4165" t="s">
        <v>279</v>
      </c>
      <c r="B4165" t="s">
        <v>280</v>
      </c>
      <c r="C4165">
        <v>1977</v>
      </c>
      <c r="E4165">
        <v>1582</v>
      </c>
      <c r="F4165">
        <v>94943</v>
      </c>
    </row>
    <row r="4166" spans="1:6" x14ac:dyDescent="0.35">
      <c r="A4166" t="s">
        <v>279</v>
      </c>
      <c r="B4166" t="s">
        <v>280</v>
      </c>
      <c r="C4166">
        <v>1978</v>
      </c>
      <c r="E4166">
        <v>1672</v>
      </c>
      <c r="F4166">
        <v>91998</v>
      </c>
    </row>
    <row r="4167" spans="1:6" x14ac:dyDescent="0.35">
      <c r="A4167" t="s">
        <v>279</v>
      </c>
      <c r="B4167" t="s">
        <v>280</v>
      </c>
      <c r="C4167">
        <v>1979</v>
      </c>
      <c r="E4167">
        <v>1872</v>
      </c>
      <c r="F4167">
        <v>94783</v>
      </c>
    </row>
    <row r="4168" spans="1:6" x14ac:dyDescent="0.35">
      <c r="A4168" t="s">
        <v>279</v>
      </c>
      <c r="B4168" t="s">
        <v>280</v>
      </c>
      <c r="C4168">
        <v>1980</v>
      </c>
      <c r="E4168">
        <v>1760</v>
      </c>
      <c r="F4168">
        <v>95710</v>
      </c>
    </row>
    <row r="4169" spans="1:6" x14ac:dyDescent="0.35">
      <c r="A4169" t="s">
        <v>279</v>
      </c>
      <c r="B4169" t="s">
        <v>280</v>
      </c>
      <c r="C4169">
        <v>1981</v>
      </c>
      <c r="E4169">
        <v>1738</v>
      </c>
      <c r="F4169">
        <v>92680</v>
      </c>
    </row>
    <row r="4170" spans="1:6" x14ac:dyDescent="0.35">
      <c r="A4170" t="s">
        <v>279</v>
      </c>
      <c r="B4170" t="s">
        <v>280</v>
      </c>
      <c r="C4170">
        <v>1982</v>
      </c>
      <c r="E4170">
        <v>1712</v>
      </c>
      <c r="F4170">
        <v>91377</v>
      </c>
    </row>
    <row r="4171" spans="1:6" x14ac:dyDescent="0.35">
      <c r="A4171" t="s">
        <v>279</v>
      </c>
      <c r="B4171" t="s">
        <v>280</v>
      </c>
      <c r="C4171">
        <v>1983</v>
      </c>
      <c r="E4171">
        <v>1786</v>
      </c>
      <c r="F4171">
        <v>90306</v>
      </c>
    </row>
    <row r="4172" spans="1:6" x14ac:dyDescent="0.35">
      <c r="A4172" t="s">
        <v>279</v>
      </c>
      <c r="B4172" t="s">
        <v>280</v>
      </c>
      <c r="C4172">
        <v>1984</v>
      </c>
      <c r="E4172">
        <v>1918</v>
      </c>
      <c r="F4172">
        <v>92313</v>
      </c>
    </row>
    <row r="4173" spans="1:6" x14ac:dyDescent="0.35">
      <c r="A4173" t="s">
        <v>279</v>
      </c>
      <c r="B4173" t="s">
        <v>280</v>
      </c>
      <c r="C4173">
        <v>1985</v>
      </c>
      <c r="E4173">
        <v>1948</v>
      </c>
      <c r="F4173">
        <v>96879</v>
      </c>
    </row>
    <row r="4174" spans="1:6" x14ac:dyDescent="0.35">
      <c r="A4174" t="s">
        <v>279</v>
      </c>
      <c r="B4174" t="s">
        <v>280</v>
      </c>
      <c r="C4174">
        <v>1986</v>
      </c>
      <c r="E4174">
        <v>2153</v>
      </c>
      <c r="F4174">
        <v>100170</v>
      </c>
    </row>
    <row r="4175" spans="1:6" x14ac:dyDescent="0.35">
      <c r="A4175" t="s">
        <v>279</v>
      </c>
      <c r="B4175" t="s">
        <v>280</v>
      </c>
      <c r="C4175">
        <v>1987</v>
      </c>
      <c r="E4175">
        <v>2042</v>
      </c>
      <c r="F4175">
        <v>103009</v>
      </c>
    </row>
    <row r="4176" spans="1:6" x14ac:dyDescent="0.35">
      <c r="A4176" t="s">
        <v>279</v>
      </c>
      <c r="B4176" t="s">
        <v>280</v>
      </c>
      <c r="C4176">
        <v>1988</v>
      </c>
      <c r="E4176">
        <v>2474</v>
      </c>
      <c r="F4176">
        <v>109974</v>
      </c>
    </row>
    <row r="4177" spans="1:6" x14ac:dyDescent="0.35">
      <c r="A4177" t="s">
        <v>279</v>
      </c>
      <c r="B4177" t="s">
        <v>280</v>
      </c>
      <c r="C4177">
        <v>1989</v>
      </c>
      <c r="E4177">
        <v>2444</v>
      </c>
      <c r="F4177">
        <v>113901</v>
      </c>
    </row>
    <row r="4178" spans="1:6" x14ac:dyDescent="0.35">
      <c r="A4178" t="s">
        <v>279</v>
      </c>
      <c r="B4178" t="s">
        <v>280</v>
      </c>
      <c r="C4178">
        <v>1990</v>
      </c>
      <c r="E4178">
        <v>2712</v>
      </c>
      <c r="F4178">
        <v>121569</v>
      </c>
    </row>
    <row r="4179" spans="1:6" x14ac:dyDescent="0.35">
      <c r="A4179" t="s">
        <v>279</v>
      </c>
      <c r="B4179" t="s">
        <v>280</v>
      </c>
      <c r="C4179">
        <v>1991</v>
      </c>
      <c r="E4179">
        <v>2928</v>
      </c>
      <c r="F4179">
        <v>121137</v>
      </c>
    </row>
    <row r="4180" spans="1:6" x14ac:dyDescent="0.35">
      <c r="A4180" t="s">
        <v>279</v>
      </c>
      <c r="B4180" t="s">
        <v>280</v>
      </c>
      <c r="C4180">
        <v>1992</v>
      </c>
      <c r="E4180">
        <v>3078</v>
      </c>
      <c r="F4180">
        <v>119974</v>
      </c>
    </row>
    <row r="4181" spans="1:6" x14ac:dyDescent="0.35">
      <c r="A4181" t="s">
        <v>279</v>
      </c>
      <c r="B4181" t="s">
        <v>280</v>
      </c>
      <c r="C4181">
        <v>1993</v>
      </c>
      <c r="E4181">
        <v>3272</v>
      </c>
      <c r="F4181">
        <v>114928</v>
      </c>
    </row>
    <row r="4182" spans="1:6" x14ac:dyDescent="0.35">
      <c r="A4182" t="s">
        <v>279</v>
      </c>
      <c r="B4182" t="s">
        <v>280</v>
      </c>
      <c r="C4182">
        <v>1994</v>
      </c>
      <c r="E4182">
        <v>3025</v>
      </c>
      <c r="F4182">
        <v>109481</v>
      </c>
    </row>
    <row r="4183" spans="1:6" x14ac:dyDescent="0.35">
      <c r="A4183" t="s">
        <v>279</v>
      </c>
      <c r="B4183" t="s">
        <v>280</v>
      </c>
      <c r="C4183">
        <v>1995</v>
      </c>
      <c r="E4183">
        <v>2952</v>
      </c>
      <c r="F4183">
        <v>100703</v>
      </c>
    </row>
    <row r="4184" spans="1:6" x14ac:dyDescent="0.35">
      <c r="A4184" t="s">
        <v>279</v>
      </c>
      <c r="B4184" t="s">
        <v>280</v>
      </c>
      <c r="C4184">
        <v>1996</v>
      </c>
      <c r="E4184">
        <v>2760</v>
      </c>
      <c r="F4184">
        <v>92756</v>
      </c>
    </row>
    <row r="4185" spans="1:6" x14ac:dyDescent="0.35">
      <c r="A4185" t="s">
        <v>279</v>
      </c>
      <c r="B4185" t="s">
        <v>280</v>
      </c>
      <c r="C4185">
        <v>1997</v>
      </c>
      <c r="E4185">
        <v>2902</v>
      </c>
      <c r="F4185">
        <v>87857</v>
      </c>
    </row>
    <row r="4186" spans="1:6" x14ac:dyDescent="0.35">
      <c r="A4186" t="s">
        <v>279</v>
      </c>
      <c r="B4186" t="s">
        <v>280</v>
      </c>
      <c r="C4186">
        <v>1998</v>
      </c>
      <c r="E4186">
        <v>2844</v>
      </c>
      <c r="F4186">
        <v>86444</v>
      </c>
    </row>
    <row r="4187" spans="1:6" x14ac:dyDescent="0.35">
      <c r="A4187" t="s">
        <v>279</v>
      </c>
      <c r="B4187" t="s">
        <v>280</v>
      </c>
      <c r="C4187">
        <v>1999</v>
      </c>
      <c r="E4187">
        <v>2888</v>
      </c>
      <c r="F4187">
        <v>85531</v>
      </c>
    </row>
    <row r="4188" spans="1:6" x14ac:dyDescent="0.35">
      <c r="A4188" t="s">
        <v>279</v>
      </c>
      <c r="B4188" t="s">
        <v>280</v>
      </c>
      <c r="C4188">
        <v>2000</v>
      </c>
      <c r="E4188">
        <v>2878</v>
      </c>
      <c r="F4188">
        <v>87828</v>
      </c>
    </row>
    <row r="4189" spans="1:6" x14ac:dyDescent="0.35">
      <c r="A4189" t="s">
        <v>279</v>
      </c>
      <c r="B4189" t="s">
        <v>280</v>
      </c>
      <c r="C4189">
        <v>2001</v>
      </c>
      <c r="E4189">
        <v>2916</v>
      </c>
      <c r="F4189">
        <v>88797</v>
      </c>
    </row>
    <row r="4190" spans="1:6" x14ac:dyDescent="0.35">
      <c r="A4190" t="s">
        <v>279</v>
      </c>
      <c r="B4190" t="s">
        <v>280</v>
      </c>
      <c r="C4190">
        <v>2002</v>
      </c>
      <c r="E4190">
        <v>2966</v>
      </c>
      <c r="F4190">
        <v>93108</v>
      </c>
    </row>
    <row r="4191" spans="1:6" x14ac:dyDescent="0.35">
      <c r="A4191" t="s">
        <v>279</v>
      </c>
      <c r="B4191" t="s">
        <v>280</v>
      </c>
      <c r="C4191">
        <v>2003</v>
      </c>
      <c r="E4191">
        <v>3236</v>
      </c>
      <c r="F4191">
        <v>96200</v>
      </c>
    </row>
    <row r="4192" spans="1:6" x14ac:dyDescent="0.35">
      <c r="A4192" t="s">
        <v>279</v>
      </c>
      <c r="B4192" t="s">
        <v>280</v>
      </c>
      <c r="C4192">
        <v>2004</v>
      </c>
      <c r="E4192">
        <v>2760</v>
      </c>
      <c r="F4192">
        <v>98414</v>
      </c>
    </row>
    <row r="4193" spans="1:6" x14ac:dyDescent="0.35">
      <c r="A4193" t="s">
        <v>279</v>
      </c>
      <c r="B4193" t="s">
        <v>280</v>
      </c>
      <c r="C4193">
        <v>2005</v>
      </c>
      <c r="E4193">
        <v>2738</v>
      </c>
      <c r="F4193">
        <v>98839</v>
      </c>
    </row>
    <row r="4194" spans="1:6" x14ac:dyDescent="0.35">
      <c r="A4194" t="s">
        <v>279</v>
      </c>
      <c r="B4194" t="s">
        <v>280</v>
      </c>
      <c r="C4194">
        <v>2006</v>
      </c>
      <c r="E4194">
        <v>2956</v>
      </c>
      <c r="F4194">
        <v>103225</v>
      </c>
    </row>
    <row r="4195" spans="1:6" x14ac:dyDescent="0.35">
      <c r="A4195" t="s">
        <v>279</v>
      </c>
      <c r="B4195" t="s">
        <v>280</v>
      </c>
      <c r="C4195">
        <v>2007</v>
      </c>
      <c r="E4195">
        <v>2988</v>
      </c>
      <c r="F4195">
        <v>104696</v>
      </c>
    </row>
    <row r="4196" spans="1:6" x14ac:dyDescent="0.35">
      <c r="A4196" t="s">
        <v>279</v>
      </c>
      <c r="B4196" t="s">
        <v>280</v>
      </c>
      <c r="C4196">
        <v>2008</v>
      </c>
      <c r="E4196">
        <v>3082</v>
      </c>
      <c r="F4196">
        <v>106552</v>
      </c>
    </row>
    <row r="4197" spans="1:6" x14ac:dyDescent="0.35">
      <c r="A4197" t="s">
        <v>279</v>
      </c>
      <c r="B4197" t="s">
        <v>280</v>
      </c>
      <c r="C4197">
        <v>2009</v>
      </c>
      <c r="E4197">
        <v>3198</v>
      </c>
      <c r="F4197">
        <v>108970</v>
      </c>
    </row>
    <row r="4198" spans="1:6" x14ac:dyDescent="0.35">
      <c r="A4198" t="s">
        <v>279</v>
      </c>
      <c r="B4198" t="s">
        <v>280</v>
      </c>
      <c r="C4198">
        <v>2010</v>
      </c>
      <c r="E4198">
        <v>3236</v>
      </c>
      <c r="F4198">
        <v>112741</v>
      </c>
    </row>
    <row r="4199" spans="1:6" x14ac:dyDescent="0.35">
      <c r="A4199" t="s">
        <v>279</v>
      </c>
      <c r="B4199" t="s">
        <v>280</v>
      </c>
      <c r="C4199">
        <v>2011</v>
      </c>
      <c r="D4199">
        <v>1548</v>
      </c>
      <c r="E4199">
        <v>3096</v>
      </c>
      <c r="F4199">
        <v>109015</v>
      </c>
    </row>
    <row r="4200" spans="1:6" x14ac:dyDescent="0.35">
      <c r="A4200" t="s">
        <v>279</v>
      </c>
      <c r="B4200" t="s">
        <v>280</v>
      </c>
      <c r="C4200">
        <v>2012</v>
      </c>
      <c r="D4200">
        <v>1535</v>
      </c>
      <c r="E4200">
        <v>3070</v>
      </c>
      <c r="F4200">
        <v>110527</v>
      </c>
    </row>
    <row r="4201" spans="1:6" x14ac:dyDescent="0.35">
      <c r="A4201" t="s">
        <v>279</v>
      </c>
      <c r="B4201" t="s">
        <v>280</v>
      </c>
      <c r="C4201">
        <v>2013</v>
      </c>
      <c r="D4201">
        <v>1578</v>
      </c>
      <c r="E4201">
        <v>3156</v>
      </c>
      <c r="F4201">
        <v>110800</v>
      </c>
    </row>
    <row r="4202" spans="1:6" x14ac:dyDescent="0.35">
      <c r="A4202" t="s">
        <v>279</v>
      </c>
      <c r="B4202" t="s">
        <v>280</v>
      </c>
      <c r="C4202">
        <v>2014</v>
      </c>
      <c r="D4202">
        <v>1668</v>
      </c>
      <c r="E4202">
        <v>3336</v>
      </c>
      <c r="F4202">
        <v>111946</v>
      </c>
    </row>
    <row r="4203" spans="1:6" x14ac:dyDescent="0.35">
      <c r="A4203" t="s">
        <v>279</v>
      </c>
      <c r="B4203" t="s">
        <v>280</v>
      </c>
      <c r="C4203">
        <v>2015</v>
      </c>
      <c r="D4203">
        <v>1628</v>
      </c>
      <c r="E4203">
        <v>3256</v>
      </c>
      <c r="F4203">
        <v>111975</v>
      </c>
    </row>
    <row r="4204" spans="1:6" x14ac:dyDescent="0.35">
      <c r="A4204" t="s">
        <v>279</v>
      </c>
      <c r="B4204" t="s">
        <v>280</v>
      </c>
      <c r="C4204">
        <v>2016</v>
      </c>
      <c r="D4204">
        <v>1643</v>
      </c>
      <c r="E4204">
        <v>3286</v>
      </c>
      <c r="F4204">
        <v>114487</v>
      </c>
    </row>
    <row r="4205" spans="1:6" x14ac:dyDescent="0.35">
      <c r="A4205" t="s">
        <v>279</v>
      </c>
      <c r="B4205" t="s">
        <v>280</v>
      </c>
      <c r="C4205">
        <v>2017</v>
      </c>
      <c r="D4205">
        <v>1621</v>
      </c>
      <c r="E4205">
        <v>3242</v>
      </c>
      <c r="F4205">
        <v>112507</v>
      </c>
    </row>
    <row r="4206" spans="1:6" x14ac:dyDescent="0.35">
      <c r="A4206" t="s">
        <v>279</v>
      </c>
      <c r="B4206" t="s">
        <v>280</v>
      </c>
      <c r="C4206">
        <v>2018</v>
      </c>
      <c r="D4206">
        <v>1510</v>
      </c>
      <c r="E4206">
        <v>3020</v>
      </c>
      <c r="F4206">
        <v>113200</v>
      </c>
    </row>
    <row r="4207" spans="1:6" x14ac:dyDescent="0.35">
      <c r="A4207" t="s">
        <v>279</v>
      </c>
      <c r="B4207" t="s">
        <v>280</v>
      </c>
      <c r="C4207">
        <v>2019</v>
      </c>
      <c r="D4207">
        <v>1465</v>
      </c>
      <c r="E4207">
        <v>2930</v>
      </c>
      <c r="F4207">
        <v>111909</v>
      </c>
    </row>
    <row r="4208" spans="1:6" x14ac:dyDescent="0.35">
      <c r="A4208" t="s">
        <v>279</v>
      </c>
      <c r="B4208" t="s">
        <v>280</v>
      </c>
      <c r="C4208">
        <v>2020</v>
      </c>
      <c r="D4208">
        <v>1526</v>
      </c>
      <c r="E4208">
        <v>3052</v>
      </c>
      <c r="F4208">
        <v>110332</v>
      </c>
    </row>
    <row r="4209" spans="1:6" x14ac:dyDescent="0.35">
      <c r="A4209" t="s">
        <v>279</v>
      </c>
      <c r="B4209" t="s">
        <v>280</v>
      </c>
      <c r="C4209">
        <v>1861</v>
      </c>
      <c r="E4209">
        <v>3229</v>
      </c>
      <c r="F4209">
        <v>123355</v>
      </c>
    </row>
    <row r="4210" spans="1:6" x14ac:dyDescent="0.35">
      <c r="A4210" t="s">
        <v>279</v>
      </c>
      <c r="B4210" t="s">
        <v>280</v>
      </c>
      <c r="C4210">
        <v>1862</v>
      </c>
      <c r="E4210">
        <v>3558</v>
      </c>
      <c r="F4210">
        <v>127970</v>
      </c>
    </row>
    <row r="4211" spans="1:6" x14ac:dyDescent="0.35">
      <c r="A4211" t="s">
        <v>279</v>
      </c>
      <c r="B4211" t="s">
        <v>280</v>
      </c>
      <c r="C4211">
        <v>1863</v>
      </c>
      <c r="E4211">
        <v>3499</v>
      </c>
      <c r="F4211">
        <v>130715</v>
      </c>
    </row>
    <row r="4212" spans="1:6" x14ac:dyDescent="0.35">
      <c r="A4212" t="s">
        <v>279</v>
      </c>
      <c r="B4212" t="s">
        <v>280</v>
      </c>
      <c r="C4212">
        <v>1864</v>
      </c>
      <c r="E4212">
        <v>3440</v>
      </c>
      <c r="F4212">
        <v>132503</v>
      </c>
    </row>
    <row r="4213" spans="1:6" x14ac:dyDescent="0.35">
      <c r="A4213" t="s">
        <v>279</v>
      </c>
      <c r="B4213" t="s">
        <v>280</v>
      </c>
      <c r="C4213">
        <v>1865</v>
      </c>
      <c r="E4213">
        <v>3332</v>
      </c>
      <c r="F4213">
        <v>130800</v>
      </c>
    </row>
    <row r="4214" spans="1:6" x14ac:dyDescent="0.35">
      <c r="A4214" t="s">
        <v>279</v>
      </c>
      <c r="B4214" t="s">
        <v>280</v>
      </c>
      <c r="C4214">
        <v>1866</v>
      </c>
      <c r="E4214">
        <v>3537</v>
      </c>
      <c r="F4214">
        <v>133379</v>
      </c>
    </row>
    <row r="4215" spans="1:6" x14ac:dyDescent="0.35">
      <c r="A4215" t="s">
        <v>279</v>
      </c>
      <c r="B4215" t="s">
        <v>280</v>
      </c>
      <c r="C4215">
        <v>1867</v>
      </c>
      <c r="E4215">
        <v>3259</v>
      </c>
      <c r="F4215">
        <v>125516</v>
      </c>
    </row>
    <row r="4216" spans="1:6" x14ac:dyDescent="0.35">
      <c r="A4216" t="s">
        <v>279</v>
      </c>
      <c r="B4216" t="s">
        <v>280</v>
      </c>
      <c r="C4216">
        <v>1868</v>
      </c>
      <c r="E4216">
        <v>3009</v>
      </c>
      <c r="F4216">
        <v>111889</v>
      </c>
    </row>
    <row r="4217" spans="1:6" x14ac:dyDescent="0.35">
      <c r="A4217" t="s">
        <v>279</v>
      </c>
      <c r="B4217" t="s">
        <v>280</v>
      </c>
      <c r="C4217">
        <v>1869</v>
      </c>
      <c r="E4217">
        <v>3160</v>
      </c>
      <c r="F4217">
        <v>114457</v>
      </c>
    </row>
    <row r="4218" spans="1:6" x14ac:dyDescent="0.35">
      <c r="A4218" t="s">
        <v>279</v>
      </c>
      <c r="B4218" t="s">
        <v>280</v>
      </c>
      <c r="C4218">
        <v>1870</v>
      </c>
      <c r="E4218">
        <v>3292</v>
      </c>
      <c r="F4218">
        <v>116476</v>
      </c>
    </row>
    <row r="4219" spans="1:6" x14ac:dyDescent="0.35">
      <c r="A4219" t="s">
        <v>279</v>
      </c>
      <c r="B4219" t="s">
        <v>280</v>
      </c>
      <c r="C4219">
        <v>1871</v>
      </c>
      <c r="E4219">
        <v>3414</v>
      </c>
      <c r="F4219">
        <v>123873</v>
      </c>
    </row>
    <row r="4220" spans="1:6" x14ac:dyDescent="0.35">
      <c r="A4220" t="s">
        <v>279</v>
      </c>
      <c r="B4220" t="s">
        <v>280</v>
      </c>
      <c r="C4220">
        <v>1872</v>
      </c>
      <c r="E4220">
        <v>3301</v>
      </c>
      <c r="F4220">
        <v>123616</v>
      </c>
    </row>
    <row r="4221" spans="1:6" x14ac:dyDescent="0.35">
      <c r="A4221" t="s">
        <v>279</v>
      </c>
      <c r="B4221" t="s">
        <v>280</v>
      </c>
      <c r="C4221">
        <v>1873</v>
      </c>
      <c r="E4221">
        <v>3510</v>
      </c>
      <c r="F4221">
        <v>128106</v>
      </c>
    </row>
    <row r="4222" spans="1:6" x14ac:dyDescent="0.35">
      <c r="A4222" t="s">
        <v>279</v>
      </c>
      <c r="B4222" t="s">
        <v>280</v>
      </c>
      <c r="C4222">
        <v>1874</v>
      </c>
      <c r="E4222">
        <v>3577</v>
      </c>
      <c r="F4222">
        <v>129608</v>
      </c>
    </row>
    <row r="4223" spans="1:6" x14ac:dyDescent="0.35">
      <c r="A4223" t="s">
        <v>279</v>
      </c>
      <c r="B4223" t="s">
        <v>280</v>
      </c>
      <c r="C4223">
        <v>1875</v>
      </c>
      <c r="E4223">
        <v>3803</v>
      </c>
      <c r="F4223">
        <v>132075</v>
      </c>
    </row>
    <row r="4224" spans="1:6" x14ac:dyDescent="0.35">
      <c r="A4224" t="s">
        <v>279</v>
      </c>
      <c r="B4224" t="s">
        <v>280</v>
      </c>
      <c r="C4224">
        <v>1876</v>
      </c>
      <c r="E4224">
        <v>3744</v>
      </c>
      <c r="F4224">
        <v>132109</v>
      </c>
    </row>
    <row r="4225" spans="1:6" x14ac:dyDescent="0.35">
      <c r="A4225" t="s">
        <v>279</v>
      </c>
      <c r="B4225" t="s">
        <v>280</v>
      </c>
      <c r="C4225">
        <v>1877</v>
      </c>
      <c r="E4225">
        <v>3633</v>
      </c>
      <c r="F4225">
        <v>134807</v>
      </c>
    </row>
    <row r="4226" spans="1:6" x14ac:dyDescent="0.35">
      <c r="A4226" t="s">
        <v>279</v>
      </c>
      <c r="B4226" t="s">
        <v>280</v>
      </c>
      <c r="C4226">
        <v>1878</v>
      </c>
      <c r="E4226">
        <v>3535</v>
      </c>
      <c r="F4226">
        <v>130875</v>
      </c>
    </row>
    <row r="4227" spans="1:6" x14ac:dyDescent="0.35">
      <c r="A4227" t="s">
        <v>279</v>
      </c>
      <c r="B4227" t="s">
        <v>280</v>
      </c>
      <c r="C4227">
        <v>1879</v>
      </c>
      <c r="E4227">
        <v>3654</v>
      </c>
      <c r="F4227">
        <v>135341</v>
      </c>
    </row>
    <row r="4228" spans="1:6" x14ac:dyDescent="0.35">
      <c r="A4228" t="s">
        <v>279</v>
      </c>
      <c r="B4228" t="s">
        <v>280</v>
      </c>
      <c r="C4228">
        <v>1880</v>
      </c>
      <c r="E4228">
        <v>3317</v>
      </c>
      <c r="F4228">
        <v>130878</v>
      </c>
    </row>
    <row r="4229" spans="1:6" x14ac:dyDescent="0.35">
      <c r="A4229" t="s">
        <v>279</v>
      </c>
      <c r="B4229" t="s">
        <v>280</v>
      </c>
      <c r="C4229">
        <v>1881</v>
      </c>
      <c r="E4229">
        <v>3642</v>
      </c>
      <c r="F4229">
        <v>129077</v>
      </c>
    </row>
    <row r="4230" spans="1:6" x14ac:dyDescent="0.35">
      <c r="A4230" t="s">
        <v>279</v>
      </c>
      <c r="B4230" t="s">
        <v>280</v>
      </c>
      <c r="C4230">
        <v>1882</v>
      </c>
      <c r="E4230">
        <v>3427</v>
      </c>
      <c r="F4230">
        <v>130804</v>
      </c>
    </row>
    <row r="4231" spans="1:6" x14ac:dyDescent="0.35">
      <c r="A4231" t="s">
        <v>279</v>
      </c>
      <c r="B4231" t="s">
        <v>280</v>
      </c>
      <c r="C4231">
        <v>1883</v>
      </c>
      <c r="E4231">
        <v>3493</v>
      </c>
      <c r="F4231">
        <v>129312</v>
      </c>
    </row>
    <row r="4232" spans="1:6" x14ac:dyDescent="0.35">
      <c r="A4232" t="s">
        <v>279</v>
      </c>
      <c r="B4232" t="s">
        <v>280</v>
      </c>
      <c r="C4232">
        <v>1884</v>
      </c>
      <c r="E4232">
        <v>3727</v>
      </c>
      <c r="F4232">
        <v>134947</v>
      </c>
    </row>
    <row r="4233" spans="1:6" x14ac:dyDescent="0.35">
      <c r="A4233" t="s">
        <v>279</v>
      </c>
      <c r="B4233" t="s">
        <v>280</v>
      </c>
      <c r="C4233">
        <v>1885</v>
      </c>
      <c r="E4233">
        <v>3541</v>
      </c>
      <c r="F4233">
        <v>133711</v>
      </c>
    </row>
    <row r="4234" spans="1:6" x14ac:dyDescent="0.35">
      <c r="A4234" t="s">
        <v>279</v>
      </c>
      <c r="B4234" t="s">
        <v>280</v>
      </c>
      <c r="C4234">
        <v>1886</v>
      </c>
      <c r="E4234">
        <v>3460</v>
      </c>
      <c r="F4234">
        <v>136366</v>
      </c>
    </row>
    <row r="4235" spans="1:6" x14ac:dyDescent="0.35">
      <c r="A4235" t="s">
        <v>279</v>
      </c>
      <c r="B4235" t="s">
        <v>280</v>
      </c>
      <c r="C4235">
        <v>1887</v>
      </c>
      <c r="E4235">
        <v>3787</v>
      </c>
      <c r="F4235">
        <v>136320</v>
      </c>
    </row>
    <row r="4236" spans="1:6" x14ac:dyDescent="0.35">
      <c r="A4236" t="s">
        <v>279</v>
      </c>
      <c r="B4236" t="s">
        <v>280</v>
      </c>
      <c r="C4236">
        <v>1888</v>
      </c>
      <c r="E4236">
        <v>3406</v>
      </c>
      <c r="F4236">
        <v>132994</v>
      </c>
    </row>
    <row r="4237" spans="1:6" x14ac:dyDescent="0.35">
      <c r="A4237" t="s">
        <v>279</v>
      </c>
      <c r="B4237" t="s">
        <v>280</v>
      </c>
      <c r="C4237">
        <v>1889</v>
      </c>
      <c r="E4237">
        <v>3417</v>
      </c>
      <c r="F4237">
        <v>128592</v>
      </c>
    </row>
    <row r="4238" spans="1:6" x14ac:dyDescent="0.35">
      <c r="A4238" t="s">
        <v>279</v>
      </c>
      <c r="B4238" t="s">
        <v>280</v>
      </c>
      <c r="C4238">
        <v>1890</v>
      </c>
      <c r="E4238">
        <v>3395</v>
      </c>
      <c r="F4238">
        <v>130131</v>
      </c>
    </row>
    <row r="4239" spans="1:6" x14ac:dyDescent="0.35">
      <c r="A4239" t="s">
        <v>279</v>
      </c>
      <c r="B4239" t="s">
        <v>280</v>
      </c>
      <c r="C4239">
        <v>1891</v>
      </c>
      <c r="E4239">
        <v>3417</v>
      </c>
      <c r="F4239">
        <v>132061</v>
      </c>
    </row>
    <row r="4240" spans="1:6" x14ac:dyDescent="0.35">
      <c r="A4240" t="s">
        <v>279</v>
      </c>
      <c r="B4240" t="s">
        <v>280</v>
      </c>
      <c r="C4240">
        <v>1892</v>
      </c>
      <c r="E4240">
        <v>3348</v>
      </c>
      <c r="F4240">
        <v>126217</v>
      </c>
    </row>
    <row r="4241" spans="1:6" x14ac:dyDescent="0.35">
      <c r="A4241" t="s">
        <v>279</v>
      </c>
      <c r="B4241" t="s">
        <v>280</v>
      </c>
      <c r="C4241">
        <v>1893</v>
      </c>
      <c r="E4241">
        <v>3377</v>
      </c>
      <c r="F4241">
        <v>128318</v>
      </c>
    </row>
    <row r="4242" spans="1:6" x14ac:dyDescent="0.35">
      <c r="A4242" t="s">
        <v>279</v>
      </c>
      <c r="B4242" t="s">
        <v>280</v>
      </c>
      <c r="C4242">
        <v>1894</v>
      </c>
      <c r="E4242">
        <v>3487</v>
      </c>
      <c r="F4242">
        <v>127858</v>
      </c>
    </row>
    <row r="4243" spans="1:6" x14ac:dyDescent="0.35">
      <c r="A4243" t="s">
        <v>279</v>
      </c>
      <c r="B4243" t="s">
        <v>280</v>
      </c>
      <c r="C4243">
        <v>1895</v>
      </c>
      <c r="E4243">
        <v>3702</v>
      </c>
      <c r="F4243">
        <v>130816</v>
      </c>
    </row>
    <row r="4244" spans="1:6" x14ac:dyDescent="0.35">
      <c r="A4244" t="s">
        <v>279</v>
      </c>
      <c r="B4244" t="s">
        <v>280</v>
      </c>
      <c r="C4244">
        <v>1896</v>
      </c>
      <c r="E4244">
        <v>3389</v>
      </c>
      <c r="F4244">
        <v>130882</v>
      </c>
    </row>
    <row r="4245" spans="1:6" x14ac:dyDescent="0.35">
      <c r="A4245" t="s">
        <v>279</v>
      </c>
      <c r="B4245" t="s">
        <v>280</v>
      </c>
      <c r="C4245">
        <v>1897</v>
      </c>
      <c r="E4245">
        <v>3585</v>
      </c>
      <c r="F4245">
        <v>129364</v>
      </c>
    </row>
    <row r="4246" spans="1:6" x14ac:dyDescent="0.35">
      <c r="A4246" t="s">
        <v>279</v>
      </c>
      <c r="B4246" t="s">
        <v>280</v>
      </c>
      <c r="C4246">
        <v>1898</v>
      </c>
      <c r="E4246">
        <v>3805</v>
      </c>
      <c r="F4246">
        <v>132655</v>
      </c>
    </row>
    <row r="4247" spans="1:6" x14ac:dyDescent="0.35">
      <c r="A4247" t="s">
        <v>279</v>
      </c>
      <c r="B4247" t="s">
        <v>280</v>
      </c>
      <c r="C4247">
        <v>1899</v>
      </c>
      <c r="E4247">
        <v>3769</v>
      </c>
      <c r="F4247">
        <v>130032</v>
      </c>
    </row>
    <row r="4248" spans="1:6" x14ac:dyDescent="0.35">
      <c r="A4248" t="s">
        <v>279</v>
      </c>
      <c r="B4248" t="s">
        <v>280</v>
      </c>
      <c r="C4248">
        <v>1900</v>
      </c>
      <c r="E4248">
        <v>3737</v>
      </c>
      <c r="F4248">
        <v>134311</v>
      </c>
    </row>
    <row r="4249" spans="1:6" x14ac:dyDescent="0.35">
      <c r="A4249" t="s">
        <v>279</v>
      </c>
      <c r="B4249" t="s">
        <v>280</v>
      </c>
      <c r="C4249">
        <v>1901</v>
      </c>
      <c r="E4249">
        <v>4075</v>
      </c>
      <c r="F4249">
        <v>135243</v>
      </c>
    </row>
    <row r="4250" spans="1:6" x14ac:dyDescent="0.35">
      <c r="A4250" t="s">
        <v>279</v>
      </c>
      <c r="B4250" t="s">
        <v>280</v>
      </c>
      <c r="C4250">
        <v>1902</v>
      </c>
      <c r="E4250">
        <v>3756</v>
      </c>
      <c r="F4250">
        <v>133544</v>
      </c>
    </row>
    <row r="4251" spans="1:6" x14ac:dyDescent="0.35">
      <c r="A4251" t="s">
        <v>279</v>
      </c>
      <c r="B4251" t="s">
        <v>280</v>
      </c>
      <c r="C4251">
        <v>1903</v>
      </c>
      <c r="E4251">
        <v>3572</v>
      </c>
      <c r="F4251">
        <v>130280</v>
      </c>
    </row>
    <row r="4252" spans="1:6" x14ac:dyDescent="0.35">
      <c r="A4252" t="s">
        <v>279</v>
      </c>
      <c r="B4252" t="s">
        <v>280</v>
      </c>
      <c r="C4252">
        <v>1904</v>
      </c>
      <c r="E4252">
        <v>3789</v>
      </c>
      <c r="F4252">
        <v>131116</v>
      </c>
    </row>
    <row r="4253" spans="1:6" x14ac:dyDescent="0.35">
      <c r="A4253" t="s">
        <v>279</v>
      </c>
      <c r="B4253" t="s">
        <v>280</v>
      </c>
      <c r="C4253">
        <v>1905</v>
      </c>
      <c r="E4253">
        <v>3661</v>
      </c>
      <c r="F4253">
        <v>131698</v>
      </c>
    </row>
    <row r="4254" spans="1:6" x14ac:dyDescent="0.35">
      <c r="A4254" t="s">
        <v>279</v>
      </c>
      <c r="B4254" t="s">
        <v>280</v>
      </c>
      <c r="C4254">
        <v>1906</v>
      </c>
      <c r="E4254">
        <v>3645</v>
      </c>
      <c r="F4254">
        <v>132910</v>
      </c>
    </row>
    <row r="4255" spans="1:6" x14ac:dyDescent="0.35">
      <c r="A4255" t="s">
        <v>279</v>
      </c>
      <c r="B4255" t="s">
        <v>280</v>
      </c>
      <c r="C4255">
        <v>1907</v>
      </c>
      <c r="E4255">
        <v>3874</v>
      </c>
      <c r="F4255">
        <v>132863</v>
      </c>
    </row>
    <row r="4256" spans="1:6" x14ac:dyDescent="0.35">
      <c r="A4256" t="s">
        <v>279</v>
      </c>
      <c r="B4256" t="s">
        <v>280</v>
      </c>
      <c r="C4256">
        <v>1908</v>
      </c>
      <c r="E4256">
        <v>3890</v>
      </c>
      <c r="F4256">
        <v>134921</v>
      </c>
    </row>
    <row r="4257" spans="1:6" x14ac:dyDescent="0.35">
      <c r="A4257" t="s">
        <v>279</v>
      </c>
      <c r="B4257" t="s">
        <v>280</v>
      </c>
      <c r="C4257">
        <v>1909</v>
      </c>
      <c r="E4257">
        <v>3823</v>
      </c>
      <c r="F4257">
        <v>135627</v>
      </c>
    </row>
    <row r="4258" spans="1:6" x14ac:dyDescent="0.35">
      <c r="A4258" t="s">
        <v>279</v>
      </c>
      <c r="B4258" t="s">
        <v>280</v>
      </c>
      <c r="C4258">
        <v>1910</v>
      </c>
      <c r="E4258">
        <v>3618</v>
      </c>
      <c r="F4258">
        <v>131930</v>
      </c>
    </row>
    <row r="4259" spans="1:6" x14ac:dyDescent="0.35">
      <c r="A4259" t="s">
        <v>279</v>
      </c>
      <c r="B4259" t="s">
        <v>280</v>
      </c>
      <c r="C4259">
        <v>1911</v>
      </c>
      <c r="E4259">
        <v>3585</v>
      </c>
      <c r="F4259">
        <v>129345</v>
      </c>
    </row>
    <row r="4260" spans="1:6" x14ac:dyDescent="0.35">
      <c r="A4260" t="s">
        <v>279</v>
      </c>
      <c r="B4260" t="s">
        <v>280</v>
      </c>
      <c r="C4260">
        <v>1912</v>
      </c>
      <c r="E4260">
        <v>3577</v>
      </c>
      <c r="F4260">
        <v>129218</v>
      </c>
    </row>
    <row r="4261" spans="1:6" x14ac:dyDescent="0.35">
      <c r="A4261" t="s">
        <v>279</v>
      </c>
      <c r="B4261" t="s">
        <v>280</v>
      </c>
      <c r="C4261">
        <v>1913</v>
      </c>
      <c r="E4261">
        <v>3507</v>
      </c>
      <c r="F4261">
        <v>126634</v>
      </c>
    </row>
    <row r="4262" spans="1:6" x14ac:dyDescent="0.35">
      <c r="A4262" t="s">
        <v>279</v>
      </c>
      <c r="B4262" t="s">
        <v>280</v>
      </c>
      <c r="C4262">
        <v>1914</v>
      </c>
      <c r="E4262">
        <v>3607</v>
      </c>
      <c r="F4262">
        <v>125774</v>
      </c>
    </row>
    <row r="4263" spans="1:6" x14ac:dyDescent="0.35">
      <c r="A4263" t="s">
        <v>279</v>
      </c>
      <c r="B4263" t="s">
        <v>280</v>
      </c>
      <c r="C4263">
        <v>1915</v>
      </c>
      <c r="E4263">
        <v>3573</v>
      </c>
      <c r="F4263">
        <v>119369</v>
      </c>
    </row>
    <row r="4264" spans="1:6" x14ac:dyDescent="0.35">
      <c r="A4264" t="s">
        <v>279</v>
      </c>
      <c r="B4264" t="s">
        <v>280</v>
      </c>
      <c r="C4264">
        <v>1916</v>
      </c>
      <c r="E4264">
        <v>3436</v>
      </c>
      <c r="F4264">
        <v>118206</v>
      </c>
    </row>
    <row r="4265" spans="1:6" x14ac:dyDescent="0.35">
      <c r="A4265" t="s">
        <v>279</v>
      </c>
      <c r="B4265" t="s">
        <v>280</v>
      </c>
      <c r="C4265">
        <v>1917</v>
      </c>
      <c r="E4265">
        <v>3368</v>
      </c>
      <c r="F4265">
        <v>117432</v>
      </c>
    </row>
    <row r="4266" spans="1:6" x14ac:dyDescent="0.35">
      <c r="A4266" t="s">
        <v>279</v>
      </c>
      <c r="B4266" t="s">
        <v>280</v>
      </c>
      <c r="C4266">
        <v>1918</v>
      </c>
      <c r="E4266">
        <v>2992</v>
      </c>
      <c r="F4266">
        <v>114927</v>
      </c>
    </row>
    <row r="4267" spans="1:6" x14ac:dyDescent="0.35">
      <c r="A4267" t="s">
        <v>279</v>
      </c>
      <c r="B4267" t="s">
        <v>280</v>
      </c>
      <c r="C4267">
        <v>1919</v>
      </c>
      <c r="E4267">
        <v>2885</v>
      </c>
      <c r="F4267">
        <v>112253</v>
      </c>
    </row>
    <row r="4268" spans="1:6" x14ac:dyDescent="0.35">
      <c r="A4268" t="s">
        <v>279</v>
      </c>
      <c r="B4268" t="s">
        <v>280</v>
      </c>
      <c r="C4268">
        <v>1920</v>
      </c>
      <c r="E4268">
        <v>3989</v>
      </c>
      <c r="F4268">
        <v>134711</v>
      </c>
    </row>
    <row r="4269" spans="1:6" x14ac:dyDescent="0.35">
      <c r="A4269" t="s">
        <v>279</v>
      </c>
      <c r="B4269" t="s">
        <v>280</v>
      </c>
      <c r="C4269">
        <v>1921</v>
      </c>
      <c r="E4269">
        <v>3475</v>
      </c>
      <c r="F4269">
        <v>124214</v>
      </c>
    </row>
    <row r="4270" spans="1:6" x14ac:dyDescent="0.35">
      <c r="A4270" t="s">
        <v>279</v>
      </c>
      <c r="B4270" t="s">
        <v>280</v>
      </c>
      <c r="C4270">
        <v>1922</v>
      </c>
      <c r="E4270">
        <v>3268</v>
      </c>
      <c r="F4270">
        <v>113629</v>
      </c>
    </row>
    <row r="4271" spans="1:6" x14ac:dyDescent="0.35">
      <c r="A4271" t="s">
        <v>279</v>
      </c>
      <c r="B4271" t="s">
        <v>280</v>
      </c>
      <c r="C4271">
        <v>1923</v>
      </c>
      <c r="E4271">
        <v>3127</v>
      </c>
      <c r="F4271">
        <v>110269</v>
      </c>
    </row>
    <row r="4272" spans="1:6" x14ac:dyDescent="0.35">
      <c r="A4272" t="s">
        <v>279</v>
      </c>
      <c r="B4272" t="s">
        <v>280</v>
      </c>
      <c r="C4272">
        <v>1924</v>
      </c>
      <c r="E4272">
        <v>2965</v>
      </c>
      <c r="F4272">
        <v>106056</v>
      </c>
    </row>
    <row r="4273" spans="1:6" x14ac:dyDescent="0.35">
      <c r="A4273" t="s">
        <v>279</v>
      </c>
      <c r="B4273" t="s">
        <v>280</v>
      </c>
      <c r="C4273">
        <v>1925</v>
      </c>
      <c r="E4273">
        <v>2706</v>
      </c>
      <c r="F4273">
        <v>103547</v>
      </c>
    </row>
    <row r="4274" spans="1:6" x14ac:dyDescent="0.35">
      <c r="A4274" t="s">
        <v>279</v>
      </c>
      <c r="B4274" t="s">
        <v>280</v>
      </c>
      <c r="C4274">
        <v>1926</v>
      </c>
      <c r="E4274">
        <v>2847</v>
      </c>
      <c r="F4274">
        <v>99103</v>
      </c>
    </row>
    <row r="4275" spans="1:6" x14ac:dyDescent="0.35">
      <c r="A4275" t="s">
        <v>279</v>
      </c>
      <c r="B4275" t="s">
        <v>280</v>
      </c>
      <c r="C4275">
        <v>1927</v>
      </c>
      <c r="E4275">
        <v>2605</v>
      </c>
      <c r="F4275">
        <v>95347</v>
      </c>
    </row>
    <row r="4276" spans="1:6" x14ac:dyDescent="0.35">
      <c r="A4276" t="s">
        <v>279</v>
      </c>
      <c r="B4276" t="s">
        <v>280</v>
      </c>
      <c r="C4276">
        <v>1928</v>
      </c>
      <c r="E4276">
        <v>2606</v>
      </c>
      <c r="F4276">
        <v>95233</v>
      </c>
    </row>
    <row r="4277" spans="1:6" x14ac:dyDescent="0.35">
      <c r="A4277" t="s">
        <v>279</v>
      </c>
      <c r="B4277" t="s">
        <v>280</v>
      </c>
      <c r="C4277">
        <v>1929</v>
      </c>
      <c r="E4277">
        <v>2617</v>
      </c>
      <c r="F4277">
        <v>90205</v>
      </c>
    </row>
    <row r="4278" spans="1:6" x14ac:dyDescent="0.35">
      <c r="A4278" t="s">
        <v>279</v>
      </c>
      <c r="B4278" t="s">
        <v>280</v>
      </c>
      <c r="C4278">
        <v>1930</v>
      </c>
      <c r="E4278">
        <v>2534</v>
      </c>
      <c r="F4278">
        <v>91635</v>
      </c>
    </row>
    <row r="4279" spans="1:6" x14ac:dyDescent="0.35">
      <c r="A4279" t="s">
        <v>279</v>
      </c>
      <c r="B4279" t="s">
        <v>280</v>
      </c>
      <c r="C4279">
        <v>1931</v>
      </c>
      <c r="E4279">
        <v>2343</v>
      </c>
      <c r="F4279">
        <v>88689</v>
      </c>
    </row>
    <row r="4280" spans="1:6" x14ac:dyDescent="0.35">
      <c r="A4280" t="s">
        <v>279</v>
      </c>
      <c r="B4280" t="s">
        <v>280</v>
      </c>
      <c r="C4280">
        <v>1932</v>
      </c>
      <c r="E4280">
        <v>2321</v>
      </c>
      <c r="F4280">
        <v>87434</v>
      </c>
    </row>
    <row r="4281" spans="1:6" x14ac:dyDescent="0.35">
      <c r="A4281" t="s">
        <v>279</v>
      </c>
      <c r="B4281" t="s">
        <v>280</v>
      </c>
      <c r="C4281">
        <v>1933</v>
      </c>
      <c r="E4281">
        <v>2150</v>
      </c>
      <c r="F4281">
        <v>82838</v>
      </c>
    </row>
    <row r="4282" spans="1:6" x14ac:dyDescent="0.35">
      <c r="A4282" t="s">
        <v>279</v>
      </c>
      <c r="B4282" t="s">
        <v>280</v>
      </c>
      <c r="C4282">
        <v>1934</v>
      </c>
      <c r="E4282">
        <v>2109</v>
      </c>
      <c r="F4282">
        <v>82973</v>
      </c>
    </row>
    <row r="4283" spans="1:6" x14ac:dyDescent="0.35">
      <c r="A4283" t="s">
        <v>279</v>
      </c>
      <c r="B4283" t="s">
        <v>280</v>
      </c>
      <c r="C4283">
        <v>1935</v>
      </c>
      <c r="E4283">
        <v>2154</v>
      </c>
      <c r="F4283">
        <v>83728</v>
      </c>
    </row>
    <row r="4284" spans="1:6" x14ac:dyDescent="0.35">
      <c r="A4284" t="s">
        <v>279</v>
      </c>
      <c r="B4284" t="s">
        <v>280</v>
      </c>
      <c r="C4284">
        <v>1936</v>
      </c>
      <c r="E4284">
        <v>2158</v>
      </c>
      <c r="F4284">
        <v>86751</v>
      </c>
    </row>
    <row r="4285" spans="1:6" x14ac:dyDescent="0.35">
      <c r="A4285" t="s">
        <v>279</v>
      </c>
      <c r="B4285" t="s">
        <v>280</v>
      </c>
      <c r="C4285">
        <v>1937</v>
      </c>
      <c r="E4285">
        <v>2335</v>
      </c>
      <c r="F4285">
        <v>88013</v>
      </c>
    </row>
    <row r="4286" spans="1:6" x14ac:dyDescent="0.35">
      <c r="A4286" t="s">
        <v>279</v>
      </c>
      <c r="B4286" t="s">
        <v>280</v>
      </c>
      <c r="C4286">
        <v>1938</v>
      </c>
      <c r="E4286">
        <v>2337</v>
      </c>
      <c r="F4286">
        <v>91583</v>
      </c>
    </row>
    <row r="4287" spans="1:6" x14ac:dyDescent="0.35">
      <c r="A4287" t="s">
        <v>279</v>
      </c>
      <c r="B4287" t="s">
        <v>280</v>
      </c>
      <c r="C4287">
        <v>1939</v>
      </c>
      <c r="E4287">
        <v>2491</v>
      </c>
      <c r="F4287">
        <v>94863</v>
      </c>
    </row>
    <row r="4288" spans="1:6" x14ac:dyDescent="0.35">
      <c r="A4288" t="s">
        <v>279</v>
      </c>
      <c r="B4288" t="s">
        <v>280</v>
      </c>
      <c r="C4288">
        <v>1940</v>
      </c>
      <c r="E4288">
        <v>2405</v>
      </c>
      <c r="F4288">
        <v>93361</v>
      </c>
    </row>
    <row r="4289" spans="1:6" x14ac:dyDescent="0.35">
      <c r="A4289" t="s">
        <v>279</v>
      </c>
      <c r="B4289" t="s">
        <v>280</v>
      </c>
      <c r="C4289">
        <v>1941</v>
      </c>
      <c r="E4289">
        <v>2421</v>
      </c>
      <c r="F4289">
        <v>97268</v>
      </c>
    </row>
    <row r="4290" spans="1:6" x14ac:dyDescent="0.35">
      <c r="A4290" t="s">
        <v>279</v>
      </c>
      <c r="B4290" t="s">
        <v>280</v>
      </c>
      <c r="C4290">
        <v>1942</v>
      </c>
      <c r="E4290">
        <v>2850</v>
      </c>
      <c r="F4290">
        <v>111082</v>
      </c>
    </row>
    <row r="4291" spans="1:6" x14ac:dyDescent="0.35">
      <c r="A4291" t="s">
        <v>279</v>
      </c>
      <c r="B4291" t="s">
        <v>280</v>
      </c>
      <c r="C4291">
        <v>1943</v>
      </c>
      <c r="E4291">
        <v>3055</v>
      </c>
      <c r="F4291">
        <v>122296</v>
      </c>
    </row>
    <row r="4292" spans="1:6" x14ac:dyDescent="0.35">
      <c r="A4292" t="s">
        <v>279</v>
      </c>
      <c r="B4292" t="s">
        <v>280</v>
      </c>
      <c r="C4292">
        <v>1944</v>
      </c>
      <c r="E4292">
        <v>3275</v>
      </c>
      <c r="F4292">
        <v>131653</v>
      </c>
    </row>
    <row r="4293" spans="1:6" x14ac:dyDescent="0.35">
      <c r="A4293" t="s">
        <v>279</v>
      </c>
      <c r="B4293" t="s">
        <v>280</v>
      </c>
      <c r="C4293">
        <v>1945</v>
      </c>
      <c r="E4293">
        <v>3230</v>
      </c>
      <c r="F4293">
        <v>132082</v>
      </c>
    </row>
    <row r="4294" spans="1:6" x14ac:dyDescent="0.35">
      <c r="A4294" t="s">
        <v>279</v>
      </c>
      <c r="B4294" t="s">
        <v>280</v>
      </c>
      <c r="C4294">
        <v>1946</v>
      </c>
      <c r="E4294">
        <v>3163</v>
      </c>
      <c r="F4294">
        <v>129382</v>
      </c>
    </row>
    <row r="4295" spans="1:6" x14ac:dyDescent="0.35">
      <c r="A4295" t="s">
        <v>279</v>
      </c>
      <c r="B4295" t="s">
        <v>280</v>
      </c>
      <c r="C4295">
        <v>1947</v>
      </c>
      <c r="E4295">
        <v>3126</v>
      </c>
      <c r="F4295">
        <v>125615</v>
      </c>
    </row>
    <row r="4296" spans="1:6" x14ac:dyDescent="0.35">
      <c r="A4296" t="s">
        <v>279</v>
      </c>
      <c r="B4296" t="s">
        <v>280</v>
      </c>
      <c r="C4296">
        <v>1948</v>
      </c>
      <c r="E4296">
        <v>3059</v>
      </c>
      <c r="F4296">
        <v>123563</v>
      </c>
    </row>
    <row r="4297" spans="1:6" x14ac:dyDescent="0.35">
      <c r="A4297" t="s">
        <v>279</v>
      </c>
      <c r="B4297" t="s">
        <v>280</v>
      </c>
      <c r="C4297">
        <v>1949</v>
      </c>
      <c r="E4297">
        <v>2537</v>
      </c>
      <c r="F4297">
        <v>118712</v>
      </c>
    </row>
    <row r="4298" spans="1:6" x14ac:dyDescent="0.35">
      <c r="A4298" t="s">
        <v>279</v>
      </c>
      <c r="B4298" t="s">
        <v>280</v>
      </c>
      <c r="C4298">
        <v>1950</v>
      </c>
      <c r="E4298">
        <v>2569</v>
      </c>
      <c r="F4298">
        <v>112816</v>
      </c>
    </row>
    <row r="4299" spans="1:6" x14ac:dyDescent="0.35">
      <c r="A4299" t="s">
        <v>279</v>
      </c>
      <c r="B4299" t="s">
        <v>280</v>
      </c>
      <c r="C4299">
        <v>1951</v>
      </c>
      <c r="E4299">
        <v>2445</v>
      </c>
      <c r="F4299">
        <v>107698</v>
      </c>
    </row>
    <row r="4300" spans="1:6" x14ac:dyDescent="0.35">
      <c r="A4300" t="s">
        <v>279</v>
      </c>
      <c r="B4300" t="s">
        <v>280</v>
      </c>
      <c r="C4300">
        <v>1952</v>
      </c>
      <c r="E4300">
        <v>2403</v>
      </c>
      <c r="F4300">
        <v>107765</v>
      </c>
    </row>
    <row r="4301" spans="1:6" x14ac:dyDescent="0.35">
      <c r="A4301" t="s">
        <v>279</v>
      </c>
      <c r="B4301" t="s">
        <v>280</v>
      </c>
      <c r="C4301">
        <v>1953</v>
      </c>
      <c r="E4301">
        <v>2506</v>
      </c>
      <c r="F4301">
        <v>107586</v>
      </c>
    </row>
    <row r="4302" spans="1:6" x14ac:dyDescent="0.35">
      <c r="A4302" t="s">
        <v>279</v>
      </c>
      <c r="B4302" t="s">
        <v>280</v>
      </c>
      <c r="C4302">
        <v>1954</v>
      </c>
      <c r="E4302">
        <v>2312</v>
      </c>
      <c r="F4302">
        <v>102770</v>
      </c>
    </row>
    <row r="4303" spans="1:6" x14ac:dyDescent="0.35">
      <c r="A4303" t="s">
        <v>279</v>
      </c>
      <c r="B4303" t="s">
        <v>280</v>
      </c>
      <c r="C4303">
        <v>1955</v>
      </c>
      <c r="E4303">
        <v>2283</v>
      </c>
      <c r="F4303">
        <v>104990</v>
      </c>
    </row>
    <row r="4304" spans="1:6" x14ac:dyDescent="0.35">
      <c r="A4304" t="s">
        <v>279</v>
      </c>
      <c r="B4304" t="s">
        <v>280</v>
      </c>
      <c r="C4304">
        <v>1956</v>
      </c>
      <c r="E4304">
        <v>2276</v>
      </c>
      <c r="F4304">
        <v>105631</v>
      </c>
    </row>
    <row r="4305" spans="1:6" x14ac:dyDescent="0.35">
      <c r="A4305" t="s">
        <v>279</v>
      </c>
      <c r="B4305" t="s">
        <v>280</v>
      </c>
      <c r="C4305">
        <v>1957</v>
      </c>
      <c r="E4305">
        <v>2112</v>
      </c>
      <c r="F4305">
        <v>105029</v>
      </c>
    </row>
    <row r="4306" spans="1:6" x14ac:dyDescent="0.35">
      <c r="A4306" t="s">
        <v>279</v>
      </c>
      <c r="B4306" t="s">
        <v>280</v>
      </c>
      <c r="C4306">
        <v>1958</v>
      </c>
      <c r="E4306">
        <v>2169</v>
      </c>
      <c r="F4306">
        <v>103306</v>
      </c>
    </row>
    <row r="4307" spans="1:6" x14ac:dyDescent="0.35">
      <c r="A4307" t="s">
        <v>279</v>
      </c>
      <c r="B4307" t="s">
        <v>280</v>
      </c>
      <c r="C4307">
        <v>1959</v>
      </c>
      <c r="E4307">
        <v>2040</v>
      </c>
      <c r="F4307">
        <v>102672</v>
      </c>
    </row>
    <row r="4308" spans="1:6" x14ac:dyDescent="0.35">
      <c r="A4308" t="s">
        <v>279</v>
      </c>
      <c r="B4308" t="s">
        <v>280</v>
      </c>
      <c r="C4308">
        <v>1960</v>
      </c>
      <c r="E4308">
        <v>2126</v>
      </c>
      <c r="F4308">
        <v>100082</v>
      </c>
    </row>
    <row r="4309" spans="1:6" x14ac:dyDescent="0.35">
      <c r="A4309" t="s">
        <v>279</v>
      </c>
      <c r="B4309" t="s">
        <v>280</v>
      </c>
      <c r="C4309">
        <v>1961</v>
      </c>
      <c r="E4309">
        <v>2192</v>
      </c>
      <c r="F4309">
        <v>102281</v>
      </c>
    </row>
    <row r="4310" spans="1:6" x14ac:dyDescent="0.35">
      <c r="A4310" t="s">
        <v>279</v>
      </c>
      <c r="B4310" t="s">
        <v>280</v>
      </c>
      <c r="C4310">
        <v>1962</v>
      </c>
      <c r="E4310">
        <v>2161</v>
      </c>
      <c r="F4310">
        <v>105095</v>
      </c>
    </row>
    <row r="4311" spans="1:6" x14ac:dyDescent="0.35">
      <c r="A4311" t="s">
        <v>279</v>
      </c>
      <c r="B4311" t="s">
        <v>280</v>
      </c>
      <c r="C4311">
        <v>1963</v>
      </c>
      <c r="E4311">
        <v>2281</v>
      </c>
      <c r="F4311">
        <v>110601</v>
      </c>
    </row>
    <row r="4312" spans="1:6" x14ac:dyDescent="0.35">
      <c r="A4312" t="s">
        <v>279</v>
      </c>
      <c r="B4312" t="s">
        <v>280</v>
      </c>
      <c r="C4312">
        <v>1964</v>
      </c>
      <c r="E4312">
        <v>2324</v>
      </c>
      <c r="F4312">
        <v>120318</v>
      </c>
    </row>
    <row r="4313" spans="1:6" x14ac:dyDescent="0.35">
      <c r="A4313" t="s">
        <v>279</v>
      </c>
      <c r="B4313" t="s">
        <v>280</v>
      </c>
      <c r="C4313">
        <v>1965</v>
      </c>
      <c r="E4313">
        <v>2389</v>
      </c>
      <c r="F4313">
        <v>120370</v>
      </c>
    </row>
    <row r="4314" spans="1:6" x14ac:dyDescent="0.35">
      <c r="A4314" t="s">
        <v>279</v>
      </c>
      <c r="B4314" t="s">
        <v>280</v>
      </c>
      <c r="C4314">
        <v>1966</v>
      </c>
      <c r="E4314">
        <v>2229</v>
      </c>
      <c r="F4314">
        <v>121094</v>
      </c>
    </row>
    <row r="4315" spans="1:6" x14ac:dyDescent="0.35">
      <c r="A4315" t="s">
        <v>279</v>
      </c>
      <c r="B4315" t="s">
        <v>280</v>
      </c>
      <c r="C4315">
        <v>1967</v>
      </c>
      <c r="E4315">
        <v>2098</v>
      </c>
      <c r="F4315">
        <v>119228</v>
      </c>
    </row>
    <row r="4316" spans="1:6" x14ac:dyDescent="0.35">
      <c r="A4316" t="s">
        <v>279</v>
      </c>
      <c r="B4316" t="s">
        <v>280</v>
      </c>
      <c r="C4316">
        <v>1968</v>
      </c>
      <c r="E4316">
        <v>1945</v>
      </c>
      <c r="F4316">
        <v>111107</v>
      </c>
    </row>
    <row r="4317" spans="1:6" x14ac:dyDescent="0.35">
      <c r="A4317" t="s">
        <v>279</v>
      </c>
      <c r="B4317" t="s">
        <v>280</v>
      </c>
      <c r="C4317">
        <v>1969</v>
      </c>
      <c r="E4317">
        <v>1747</v>
      </c>
      <c r="F4317">
        <v>105841</v>
      </c>
    </row>
    <row r="4318" spans="1:6" x14ac:dyDescent="0.35">
      <c r="A4318" t="s">
        <v>279</v>
      </c>
      <c r="B4318" t="s">
        <v>280</v>
      </c>
      <c r="C4318">
        <v>1970</v>
      </c>
      <c r="E4318">
        <v>1827</v>
      </c>
      <c r="F4318">
        <v>108304</v>
      </c>
    </row>
    <row r="4319" spans="1:6" x14ac:dyDescent="0.35">
      <c r="A4319" t="s">
        <v>279</v>
      </c>
      <c r="B4319" t="s">
        <v>280</v>
      </c>
      <c r="C4319">
        <v>1971</v>
      </c>
      <c r="E4319">
        <v>1923</v>
      </c>
      <c r="F4319">
        <v>112546</v>
      </c>
    </row>
    <row r="4320" spans="1:6" x14ac:dyDescent="0.35">
      <c r="A4320" t="s">
        <v>279</v>
      </c>
      <c r="B4320" t="s">
        <v>280</v>
      </c>
      <c r="C4320">
        <v>1972</v>
      </c>
      <c r="E4320">
        <v>1988</v>
      </c>
      <c r="F4320">
        <v>110246</v>
      </c>
    </row>
    <row r="4321" spans="1:6" x14ac:dyDescent="0.35">
      <c r="A4321" t="s">
        <v>279</v>
      </c>
      <c r="B4321" t="s">
        <v>280</v>
      </c>
      <c r="C4321">
        <v>1973</v>
      </c>
      <c r="E4321">
        <v>1784</v>
      </c>
      <c r="F4321">
        <v>107846</v>
      </c>
    </row>
    <row r="4322" spans="1:6" x14ac:dyDescent="0.35">
      <c r="A4322" t="s">
        <v>279</v>
      </c>
      <c r="B4322" t="s">
        <v>280</v>
      </c>
      <c r="C4322">
        <v>1974</v>
      </c>
      <c r="E4322">
        <v>1785</v>
      </c>
      <c r="F4322">
        <v>108051</v>
      </c>
    </row>
    <row r="4323" spans="1:6" x14ac:dyDescent="0.35">
      <c r="A4323" t="s">
        <v>279</v>
      </c>
      <c r="B4323" t="s">
        <v>280</v>
      </c>
      <c r="C4323">
        <v>1975</v>
      </c>
      <c r="E4323">
        <v>1705</v>
      </c>
      <c r="F4323">
        <v>101904</v>
      </c>
    </row>
    <row r="4324" spans="1:6" x14ac:dyDescent="0.35">
      <c r="A4324" t="s">
        <v>279</v>
      </c>
      <c r="B4324" t="s">
        <v>280</v>
      </c>
      <c r="C4324">
        <v>1976</v>
      </c>
      <c r="E4324">
        <v>1601</v>
      </c>
      <c r="F4324">
        <v>96716</v>
      </c>
    </row>
    <row r="4325" spans="1:6" x14ac:dyDescent="0.35">
      <c r="A4325" t="s">
        <v>279</v>
      </c>
      <c r="B4325" t="s">
        <v>280</v>
      </c>
      <c r="C4325">
        <v>1977</v>
      </c>
      <c r="E4325">
        <v>1552</v>
      </c>
      <c r="F4325">
        <v>94484</v>
      </c>
    </row>
    <row r="4326" spans="1:6" x14ac:dyDescent="0.35">
      <c r="A4326" t="s">
        <v>279</v>
      </c>
      <c r="B4326" t="s">
        <v>280</v>
      </c>
      <c r="C4326">
        <v>1978</v>
      </c>
      <c r="E4326">
        <v>1643</v>
      </c>
      <c r="F4326">
        <v>91572</v>
      </c>
    </row>
    <row r="4327" spans="1:6" x14ac:dyDescent="0.35">
      <c r="A4327" t="s">
        <v>279</v>
      </c>
      <c r="B4327" t="s">
        <v>280</v>
      </c>
      <c r="C4327">
        <v>1979</v>
      </c>
      <c r="E4327">
        <v>1839</v>
      </c>
      <c r="F4327">
        <v>94372</v>
      </c>
    </row>
    <row r="4328" spans="1:6" x14ac:dyDescent="0.35">
      <c r="A4328" t="s">
        <v>279</v>
      </c>
      <c r="B4328" t="s">
        <v>280</v>
      </c>
      <c r="C4328">
        <v>1980</v>
      </c>
      <c r="E4328">
        <v>1730</v>
      </c>
      <c r="F4328">
        <v>95306</v>
      </c>
    </row>
    <row r="4329" spans="1:6" x14ac:dyDescent="0.35">
      <c r="A4329" t="s">
        <v>279</v>
      </c>
      <c r="B4329" t="s">
        <v>280</v>
      </c>
      <c r="C4329">
        <v>1981</v>
      </c>
      <c r="E4329">
        <v>1707</v>
      </c>
      <c r="F4329">
        <v>92331</v>
      </c>
    </row>
    <row r="4330" spans="1:6" x14ac:dyDescent="0.35">
      <c r="A4330" t="s">
        <v>279</v>
      </c>
      <c r="B4330" t="s">
        <v>280</v>
      </c>
      <c r="C4330">
        <v>1982</v>
      </c>
      <c r="E4330">
        <v>1699</v>
      </c>
      <c r="F4330">
        <v>91016</v>
      </c>
    </row>
    <row r="4331" spans="1:6" x14ac:dyDescent="0.35">
      <c r="A4331" t="s">
        <v>279</v>
      </c>
      <c r="B4331" t="s">
        <v>280</v>
      </c>
      <c r="C4331">
        <v>1983</v>
      </c>
      <c r="E4331">
        <v>1772</v>
      </c>
      <c r="F4331">
        <v>89981</v>
      </c>
    </row>
    <row r="4332" spans="1:6" x14ac:dyDescent="0.35">
      <c r="A4332" t="s">
        <v>279</v>
      </c>
      <c r="B4332" t="s">
        <v>280</v>
      </c>
      <c r="C4332">
        <v>1984</v>
      </c>
      <c r="E4332">
        <v>1900</v>
      </c>
      <c r="F4332">
        <v>91950</v>
      </c>
    </row>
    <row r="4333" spans="1:6" x14ac:dyDescent="0.35">
      <c r="A4333" t="s">
        <v>279</v>
      </c>
      <c r="B4333" t="s">
        <v>280</v>
      </c>
      <c r="C4333">
        <v>1985</v>
      </c>
      <c r="E4333">
        <v>1921</v>
      </c>
      <c r="F4333">
        <v>96520</v>
      </c>
    </row>
    <row r="4334" spans="1:6" x14ac:dyDescent="0.35">
      <c r="A4334" t="s">
        <v>279</v>
      </c>
      <c r="B4334" t="s">
        <v>280</v>
      </c>
      <c r="C4334">
        <v>1986</v>
      </c>
      <c r="E4334">
        <v>2120</v>
      </c>
      <c r="F4334">
        <v>99780</v>
      </c>
    </row>
    <row r="4335" spans="1:6" x14ac:dyDescent="0.35">
      <c r="A4335" t="s">
        <v>279</v>
      </c>
      <c r="B4335" t="s">
        <v>280</v>
      </c>
      <c r="C4335">
        <v>1987</v>
      </c>
      <c r="E4335">
        <v>2019</v>
      </c>
      <c r="F4335">
        <v>102623</v>
      </c>
    </row>
    <row r="4336" spans="1:6" x14ac:dyDescent="0.35">
      <c r="A4336" t="s">
        <v>279</v>
      </c>
      <c r="B4336" t="s">
        <v>280</v>
      </c>
      <c r="C4336">
        <v>1988</v>
      </c>
      <c r="E4336">
        <v>2448</v>
      </c>
      <c r="F4336">
        <v>109579</v>
      </c>
    </row>
    <row r="4337" spans="1:6" x14ac:dyDescent="0.35">
      <c r="A4337" t="s">
        <v>279</v>
      </c>
      <c r="B4337" t="s">
        <v>280</v>
      </c>
      <c r="C4337">
        <v>1989</v>
      </c>
      <c r="E4337">
        <v>2422</v>
      </c>
      <c r="F4337">
        <v>113500</v>
      </c>
    </row>
    <row r="4338" spans="1:6" x14ac:dyDescent="0.35">
      <c r="A4338" t="s">
        <v>279</v>
      </c>
      <c r="B4338" t="s">
        <v>280</v>
      </c>
      <c r="C4338">
        <v>1990</v>
      </c>
      <c r="E4338">
        <v>2684</v>
      </c>
      <c r="F4338">
        <v>121154</v>
      </c>
    </row>
    <row r="4339" spans="1:6" x14ac:dyDescent="0.35">
      <c r="A4339" t="s">
        <v>279</v>
      </c>
      <c r="B4339" t="s">
        <v>280</v>
      </c>
      <c r="C4339">
        <v>1991</v>
      </c>
      <c r="E4339">
        <v>2892</v>
      </c>
      <c r="F4339">
        <v>120713</v>
      </c>
    </row>
    <row r="4340" spans="1:6" x14ac:dyDescent="0.35">
      <c r="A4340" t="s">
        <v>279</v>
      </c>
      <c r="B4340" t="s">
        <v>280</v>
      </c>
      <c r="C4340">
        <v>1992</v>
      </c>
      <c r="E4340">
        <v>3060</v>
      </c>
      <c r="F4340">
        <v>119598</v>
      </c>
    </row>
    <row r="4341" spans="1:6" x14ac:dyDescent="0.35">
      <c r="A4341" t="s">
        <v>279</v>
      </c>
      <c r="B4341" t="s">
        <v>280</v>
      </c>
      <c r="C4341">
        <v>1993</v>
      </c>
      <c r="E4341">
        <v>3236</v>
      </c>
      <c r="F4341">
        <v>114566</v>
      </c>
    </row>
    <row r="4342" spans="1:6" x14ac:dyDescent="0.35">
      <c r="A4342" t="s">
        <v>279</v>
      </c>
      <c r="B4342" t="s">
        <v>280</v>
      </c>
      <c r="C4342">
        <v>1994</v>
      </c>
      <c r="E4342">
        <v>3004</v>
      </c>
      <c r="F4342">
        <v>109154</v>
      </c>
    </row>
    <row r="4343" spans="1:6" x14ac:dyDescent="0.35">
      <c r="A4343" t="s">
        <v>279</v>
      </c>
      <c r="B4343" t="s">
        <v>280</v>
      </c>
      <c r="C4343">
        <v>1995</v>
      </c>
      <c r="E4343">
        <v>2922</v>
      </c>
      <c r="F4343">
        <v>100383</v>
      </c>
    </row>
    <row r="4344" spans="1:6" x14ac:dyDescent="0.35">
      <c r="A4344" t="s">
        <v>279</v>
      </c>
      <c r="B4344" t="s">
        <v>280</v>
      </c>
      <c r="C4344">
        <v>1996</v>
      </c>
      <c r="E4344">
        <v>2740</v>
      </c>
      <c r="F4344">
        <v>92452</v>
      </c>
    </row>
    <row r="4345" spans="1:6" x14ac:dyDescent="0.35">
      <c r="A4345" t="s">
        <v>279</v>
      </c>
      <c r="B4345" t="s">
        <v>280</v>
      </c>
      <c r="C4345">
        <v>1997</v>
      </c>
      <c r="E4345">
        <v>2882</v>
      </c>
      <c r="F4345">
        <v>87563</v>
      </c>
    </row>
    <row r="4346" spans="1:6" x14ac:dyDescent="0.35">
      <c r="A4346" t="s">
        <v>279</v>
      </c>
      <c r="B4346" t="s">
        <v>280</v>
      </c>
      <c r="C4346">
        <v>1998</v>
      </c>
      <c r="E4346">
        <v>2820</v>
      </c>
      <c r="F4346">
        <v>86150</v>
      </c>
    </row>
    <row r="4347" spans="1:6" x14ac:dyDescent="0.35">
      <c r="A4347" t="s">
        <v>279</v>
      </c>
      <c r="B4347" t="s">
        <v>280</v>
      </c>
      <c r="C4347">
        <v>1999</v>
      </c>
      <c r="E4347">
        <v>2876</v>
      </c>
      <c r="F4347">
        <v>85228</v>
      </c>
    </row>
    <row r="4348" spans="1:6" x14ac:dyDescent="0.35">
      <c r="A4348" t="s">
        <v>279</v>
      </c>
      <c r="B4348" t="s">
        <v>280</v>
      </c>
      <c r="C4348">
        <v>2000</v>
      </c>
      <c r="E4348">
        <v>2867</v>
      </c>
      <c r="F4348">
        <v>87511</v>
      </c>
    </row>
    <row r="4349" spans="1:6" x14ac:dyDescent="0.35">
      <c r="A4349" t="s">
        <v>279</v>
      </c>
      <c r="B4349" t="s">
        <v>280</v>
      </c>
      <c r="C4349">
        <v>2001</v>
      </c>
      <c r="E4349">
        <v>2915</v>
      </c>
      <c r="F4349">
        <v>88473</v>
      </c>
    </row>
    <row r="4350" spans="1:6" x14ac:dyDescent="0.35">
      <c r="A4350" t="s">
        <v>279</v>
      </c>
      <c r="B4350" t="s">
        <v>280</v>
      </c>
      <c r="C4350">
        <v>2002</v>
      </c>
      <c r="E4350">
        <v>2961</v>
      </c>
      <c r="F4350">
        <v>92787</v>
      </c>
    </row>
    <row r="4351" spans="1:6" x14ac:dyDescent="0.35">
      <c r="A4351" t="s">
        <v>279</v>
      </c>
      <c r="B4351" t="s">
        <v>280</v>
      </c>
      <c r="C4351">
        <v>2003</v>
      </c>
      <c r="E4351">
        <v>3228</v>
      </c>
      <c r="F4351">
        <v>95871</v>
      </c>
    </row>
    <row r="4352" spans="1:6" x14ac:dyDescent="0.35">
      <c r="A4352" t="s">
        <v>279</v>
      </c>
      <c r="B4352" t="s">
        <v>280</v>
      </c>
      <c r="C4352">
        <v>2004</v>
      </c>
      <c r="E4352">
        <v>2749</v>
      </c>
      <c r="F4352">
        <v>98120</v>
      </c>
    </row>
    <row r="4353" spans="1:6" x14ac:dyDescent="0.35">
      <c r="A4353" t="s">
        <v>279</v>
      </c>
      <c r="B4353" t="s">
        <v>280</v>
      </c>
      <c r="C4353">
        <v>2005</v>
      </c>
      <c r="E4353">
        <v>2729</v>
      </c>
      <c r="F4353">
        <v>98547</v>
      </c>
    </row>
    <row r="4354" spans="1:6" x14ac:dyDescent="0.35">
      <c r="A4354" t="s">
        <v>279</v>
      </c>
      <c r="B4354" t="s">
        <v>280</v>
      </c>
      <c r="C4354">
        <v>2006</v>
      </c>
      <c r="E4354">
        <v>2940</v>
      </c>
      <c r="F4354">
        <v>102922</v>
      </c>
    </row>
    <row r="4355" spans="1:6" x14ac:dyDescent="0.35">
      <c r="A4355" t="s">
        <v>279</v>
      </c>
      <c r="B4355" t="s">
        <v>280</v>
      </c>
      <c r="C4355">
        <v>2007</v>
      </c>
      <c r="E4355">
        <v>2973</v>
      </c>
      <c r="F4355">
        <v>104385</v>
      </c>
    </row>
    <row r="4356" spans="1:6" x14ac:dyDescent="0.35">
      <c r="A4356" t="s">
        <v>279</v>
      </c>
      <c r="B4356" t="s">
        <v>280</v>
      </c>
      <c r="C4356">
        <v>2008</v>
      </c>
      <c r="E4356">
        <v>3062</v>
      </c>
      <c r="F4356">
        <v>106176</v>
      </c>
    </row>
    <row r="4357" spans="1:6" x14ac:dyDescent="0.35">
      <c r="A4357" t="s">
        <v>279</v>
      </c>
      <c r="B4357" t="s">
        <v>280</v>
      </c>
      <c r="C4357">
        <v>2009</v>
      </c>
      <c r="E4357">
        <v>3172</v>
      </c>
      <c r="F4357">
        <v>108546</v>
      </c>
    </row>
    <row r="4358" spans="1:6" x14ac:dyDescent="0.35">
      <c r="A4358" t="s">
        <v>279</v>
      </c>
      <c r="B4358" t="s">
        <v>280</v>
      </c>
      <c r="C4358">
        <v>2010</v>
      </c>
      <c r="E4358">
        <v>3213</v>
      </c>
      <c r="F4358">
        <v>112339</v>
      </c>
    </row>
    <row r="4359" spans="1:6" x14ac:dyDescent="0.35">
      <c r="A4359" t="s">
        <v>279</v>
      </c>
      <c r="B4359" t="s">
        <v>280</v>
      </c>
      <c r="C4359">
        <v>2011</v>
      </c>
      <c r="E4359">
        <v>3071</v>
      </c>
      <c r="F4359">
        <v>108611</v>
      </c>
    </row>
    <row r="4360" spans="1:6" x14ac:dyDescent="0.35">
      <c r="A4360" t="s">
        <v>279</v>
      </c>
      <c r="B4360" t="s">
        <v>280</v>
      </c>
      <c r="C4360">
        <v>2012</v>
      </c>
      <c r="E4360">
        <v>3042</v>
      </c>
      <c r="F4360">
        <v>110103</v>
      </c>
    </row>
    <row r="4361" spans="1:6" x14ac:dyDescent="0.35">
      <c r="A4361" t="s">
        <v>279</v>
      </c>
      <c r="B4361" t="s">
        <v>280</v>
      </c>
      <c r="C4361">
        <v>2013</v>
      </c>
      <c r="E4361">
        <v>3130</v>
      </c>
      <c r="F4361">
        <v>110389</v>
      </c>
    </row>
    <row r="4362" spans="1:6" x14ac:dyDescent="0.35">
      <c r="A4362" t="s">
        <v>279</v>
      </c>
      <c r="B4362" t="s">
        <v>280</v>
      </c>
      <c r="C4362">
        <v>2014</v>
      </c>
      <c r="E4362">
        <v>3311</v>
      </c>
      <c r="F4362">
        <v>111516</v>
      </c>
    </row>
    <row r="4363" spans="1:6" x14ac:dyDescent="0.35">
      <c r="A4363" t="s">
        <v>279</v>
      </c>
      <c r="B4363" t="s">
        <v>280</v>
      </c>
      <c r="C4363">
        <v>2015</v>
      </c>
      <c r="E4363">
        <v>3229</v>
      </c>
      <c r="F4363">
        <v>111573</v>
      </c>
    </row>
    <row r="4364" spans="1:6" x14ac:dyDescent="0.35">
      <c r="A4364" t="s">
        <v>279</v>
      </c>
      <c r="B4364" t="s">
        <v>280</v>
      </c>
      <c r="C4364">
        <v>2016</v>
      </c>
      <c r="E4364">
        <v>3263</v>
      </c>
      <c r="F4364">
        <v>114097</v>
      </c>
    </row>
    <row r="4365" spans="1:6" x14ac:dyDescent="0.35">
      <c r="A4365" t="s">
        <v>279</v>
      </c>
      <c r="B4365" t="s">
        <v>280</v>
      </c>
      <c r="C4365">
        <v>2017</v>
      </c>
      <c r="E4365">
        <v>3222</v>
      </c>
      <c r="F4365">
        <v>112128</v>
      </c>
    </row>
    <row r="4366" spans="1:6" x14ac:dyDescent="0.35">
      <c r="A4366" t="s">
        <v>279</v>
      </c>
      <c r="B4366" t="s">
        <v>280</v>
      </c>
      <c r="C4366">
        <v>2018</v>
      </c>
      <c r="E4366">
        <v>2997</v>
      </c>
      <c r="F4366">
        <v>112781</v>
      </c>
    </row>
    <row r="4367" spans="1:6" x14ac:dyDescent="0.35">
      <c r="A4367" t="s">
        <v>279</v>
      </c>
      <c r="B4367" t="s">
        <v>280</v>
      </c>
      <c r="C4367">
        <v>2019</v>
      </c>
      <c r="E4367">
        <v>2918</v>
      </c>
      <c r="F4367">
        <v>111554</v>
      </c>
    </row>
    <row r="4368" spans="1:6" x14ac:dyDescent="0.35">
      <c r="A4368" t="s">
        <v>279</v>
      </c>
      <c r="B4368" t="s">
        <v>280</v>
      </c>
      <c r="C4368">
        <v>2020</v>
      </c>
      <c r="E4368">
        <v>3028</v>
      </c>
      <c r="F4368">
        <v>110003</v>
      </c>
    </row>
    <row r="4369" spans="1:6" x14ac:dyDescent="0.35">
      <c r="A4369" t="s">
        <v>281</v>
      </c>
      <c r="B4369" t="s">
        <v>282</v>
      </c>
      <c r="C4369">
        <v>1981</v>
      </c>
      <c r="E4369">
        <v>719</v>
      </c>
      <c r="F4369">
        <v>53199</v>
      </c>
    </row>
    <row r="4370" spans="1:6" x14ac:dyDescent="0.35">
      <c r="A4370" t="s">
        <v>281</v>
      </c>
      <c r="B4370" t="s">
        <v>282</v>
      </c>
      <c r="C4370">
        <v>1982</v>
      </c>
      <c r="F4370">
        <v>52166</v>
      </c>
    </row>
    <row r="4371" spans="1:6" x14ac:dyDescent="0.35">
      <c r="A4371" t="s">
        <v>281</v>
      </c>
      <c r="B4371" t="s">
        <v>282</v>
      </c>
      <c r="C4371">
        <v>1983</v>
      </c>
      <c r="E4371">
        <v>816</v>
      </c>
      <c r="F4371">
        <v>52571</v>
      </c>
    </row>
    <row r="4372" spans="1:6" x14ac:dyDescent="0.35">
      <c r="A4372" t="s">
        <v>281</v>
      </c>
      <c r="B4372" t="s">
        <v>282</v>
      </c>
      <c r="C4372">
        <v>1984</v>
      </c>
      <c r="F4372">
        <v>52486</v>
      </c>
    </row>
    <row r="4373" spans="1:6" x14ac:dyDescent="0.35">
      <c r="A4373" t="s">
        <v>281</v>
      </c>
      <c r="B4373" t="s">
        <v>282</v>
      </c>
      <c r="C4373">
        <v>1985</v>
      </c>
      <c r="F4373">
        <v>52922</v>
      </c>
    </row>
    <row r="4374" spans="1:6" x14ac:dyDescent="0.35">
      <c r="A4374" t="s">
        <v>281</v>
      </c>
      <c r="B4374" t="s">
        <v>282</v>
      </c>
      <c r="C4374">
        <v>1986</v>
      </c>
      <c r="F4374">
        <v>53329</v>
      </c>
    </row>
    <row r="4375" spans="1:6" x14ac:dyDescent="0.35">
      <c r="A4375" t="s">
        <v>281</v>
      </c>
      <c r="B4375" t="s">
        <v>282</v>
      </c>
      <c r="C4375">
        <v>1987</v>
      </c>
      <c r="F4375">
        <v>52560</v>
      </c>
    </row>
    <row r="4376" spans="1:6" x14ac:dyDescent="0.35">
      <c r="A4376" t="s">
        <v>281</v>
      </c>
      <c r="B4376" t="s">
        <v>282</v>
      </c>
      <c r="C4376">
        <v>1988</v>
      </c>
      <c r="F4376">
        <v>54614</v>
      </c>
    </row>
    <row r="4377" spans="1:6" x14ac:dyDescent="0.35">
      <c r="A4377" t="s">
        <v>281</v>
      </c>
      <c r="C4377">
        <v>1989</v>
      </c>
    </row>
    <row r="4378" spans="1:6" x14ac:dyDescent="0.35">
      <c r="A4378" t="s">
        <v>281</v>
      </c>
      <c r="C4378">
        <v>1990</v>
      </c>
    </row>
    <row r="4379" spans="1:6" x14ac:dyDescent="0.35">
      <c r="A4379" t="s">
        <v>281</v>
      </c>
      <c r="C4379">
        <v>1991</v>
      </c>
    </row>
    <row r="4380" spans="1:6" x14ac:dyDescent="0.35">
      <c r="A4380" t="s">
        <v>281</v>
      </c>
      <c r="C4380">
        <v>1992</v>
      </c>
    </row>
    <row r="4381" spans="1:6" x14ac:dyDescent="0.35">
      <c r="A4381" t="s">
        <v>281</v>
      </c>
      <c r="B4381" t="s">
        <v>282</v>
      </c>
      <c r="C4381">
        <v>1993</v>
      </c>
      <c r="E4381">
        <v>1133</v>
      </c>
      <c r="F4381">
        <v>54810</v>
      </c>
    </row>
    <row r="4382" spans="1:6" x14ac:dyDescent="0.35">
      <c r="A4382" t="s">
        <v>281</v>
      </c>
      <c r="C4382">
        <v>1994</v>
      </c>
    </row>
    <row r="4383" spans="1:6" x14ac:dyDescent="0.35">
      <c r="A4383" t="s">
        <v>281</v>
      </c>
      <c r="C4383">
        <v>1995</v>
      </c>
    </row>
    <row r="4384" spans="1:6" x14ac:dyDescent="0.35">
      <c r="A4384" t="s">
        <v>281</v>
      </c>
      <c r="B4384" t="s">
        <v>282</v>
      </c>
      <c r="C4384">
        <v>1996</v>
      </c>
      <c r="E4384">
        <v>995</v>
      </c>
      <c r="F4384">
        <v>57588</v>
      </c>
    </row>
    <row r="4385" spans="1:6" x14ac:dyDescent="0.35">
      <c r="A4385" t="s">
        <v>281</v>
      </c>
      <c r="B4385" t="s">
        <v>282</v>
      </c>
      <c r="C4385">
        <v>1997</v>
      </c>
      <c r="E4385">
        <v>1001</v>
      </c>
      <c r="F4385">
        <v>53819</v>
      </c>
    </row>
    <row r="4386" spans="1:6" x14ac:dyDescent="0.35">
      <c r="A4386" t="s">
        <v>281</v>
      </c>
      <c r="C4386">
        <v>1998</v>
      </c>
    </row>
    <row r="4387" spans="1:6" x14ac:dyDescent="0.35">
      <c r="A4387" t="s">
        <v>281</v>
      </c>
      <c r="B4387" t="s">
        <v>282</v>
      </c>
      <c r="C4387">
        <v>1999</v>
      </c>
      <c r="E4387">
        <v>921</v>
      </c>
      <c r="F4387">
        <v>52826</v>
      </c>
    </row>
    <row r="4388" spans="1:6" x14ac:dyDescent="0.35">
      <c r="A4388" t="s">
        <v>281</v>
      </c>
      <c r="B4388" t="s">
        <v>282</v>
      </c>
      <c r="C4388">
        <v>2000</v>
      </c>
      <c r="E4388">
        <v>841</v>
      </c>
      <c r="F4388">
        <v>52254</v>
      </c>
    </row>
    <row r="4389" spans="1:6" x14ac:dyDescent="0.35">
      <c r="A4389" t="s">
        <v>281</v>
      </c>
      <c r="B4389" t="s">
        <v>282</v>
      </c>
      <c r="C4389">
        <v>2001</v>
      </c>
      <c r="E4389">
        <v>1000</v>
      </c>
      <c r="F4389">
        <v>50898</v>
      </c>
    </row>
    <row r="4390" spans="1:6" x14ac:dyDescent="0.35">
      <c r="A4390" t="s">
        <v>281</v>
      </c>
      <c r="B4390" t="s">
        <v>282</v>
      </c>
      <c r="C4390">
        <v>2002</v>
      </c>
      <c r="E4390">
        <v>963</v>
      </c>
      <c r="F4390">
        <v>50796</v>
      </c>
    </row>
    <row r="4391" spans="1:6" x14ac:dyDescent="0.35">
      <c r="A4391" t="s">
        <v>281</v>
      </c>
      <c r="B4391" t="s">
        <v>282</v>
      </c>
      <c r="C4391">
        <v>2003</v>
      </c>
      <c r="E4391">
        <v>974</v>
      </c>
      <c r="F4391">
        <v>49480</v>
      </c>
    </row>
    <row r="4392" spans="1:6" x14ac:dyDescent="0.35">
      <c r="A4392" t="s">
        <v>281</v>
      </c>
      <c r="B4392" t="s">
        <v>282</v>
      </c>
      <c r="C4392">
        <v>2004</v>
      </c>
      <c r="E4392">
        <v>1055</v>
      </c>
      <c r="F4392">
        <v>48871</v>
      </c>
    </row>
    <row r="4393" spans="1:6" x14ac:dyDescent="0.35">
      <c r="A4393" t="s">
        <v>281</v>
      </c>
      <c r="B4393" t="s">
        <v>282</v>
      </c>
      <c r="C4393">
        <v>2005</v>
      </c>
      <c r="E4393">
        <v>969</v>
      </c>
      <c r="F4393">
        <v>46026</v>
      </c>
    </row>
    <row r="4394" spans="1:6" x14ac:dyDescent="0.35">
      <c r="A4394" t="s">
        <v>281</v>
      </c>
      <c r="B4394" t="s">
        <v>282</v>
      </c>
      <c r="C4394">
        <v>2006</v>
      </c>
      <c r="E4394">
        <v>988</v>
      </c>
      <c r="F4394">
        <v>46768</v>
      </c>
    </row>
    <row r="4395" spans="1:6" x14ac:dyDescent="0.35">
      <c r="A4395" t="s">
        <v>281</v>
      </c>
      <c r="B4395" t="s">
        <v>282</v>
      </c>
      <c r="C4395">
        <v>2007</v>
      </c>
      <c r="E4395">
        <v>1034</v>
      </c>
      <c r="F4395">
        <v>46026</v>
      </c>
    </row>
    <row r="4396" spans="1:6" x14ac:dyDescent="0.35">
      <c r="A4396" t="s">
        <v>281</v>
      </c>
      <c r="B4396" t="s">
        <v>282</v>
      </c>
      <c r="C4396">
        <v>2008</v>
      </c>
      <c r="E4396">
        <v>1009</v>
      </c>
      <c r="F4396">
        <v>46025</v>
      </c>
    </row>
    <row r="4397" spans="1:6" x14ac:dyDescent="0.35">
      <c r="A4397" t="s">
        <v>281</v>
      </c>
      <c r="B4397" t="s">
        <v>282</v>
      </c>
      <c r="C4397">
        <v>2009</v>
      </c>
      <c r="E4397">
        <v>1113</v>
      </c>
      <c r="F4397">
        <v>45686</v>
      </c>
    </row>
    <row r="4398" spans="1:6" x14ac:dyDescent="0.35">
      <c r="A4398" t="s">
        <v>281</v>
      </c>
      <c r="B4398" t="s">
        <v>282</v>
      </c>
      <c r="C4398">
        <v>2010</v>
      </c>
      <c r="E4398">
        <v>1028</v>
      </c>
      <c r="F4398">
        <v>45833</v>
      </c>
    </row>
    <row r="4399" spans="1:6" x14ac:dyDescent="0.35">
      <c r="A4399" t="s">
        <v>281</v>
      </c>
      <c r="B4399" t="s">
        <v>282</v>
      </c>
      <c r="C4399">
        <v>2011</v>
      </c>
      <c r="E4399">
        <v>1199</v>
      </c>
      <c r="F4399">
        <v>45467</v>
      </c>
    </row>
    <row r="4400" spans="1:6" x14ac:dyDescent="0.35">
      <c r="A4400" t="s">
        <v>281</v>
      </c>
      <c r="B4400" t="s">
        <v>282</v>
      </c>
      <c r="C4400">
        <v>2012</v>
      </c>
      <c r="E4400">
        <v>1223</v>
      </c>
      <c r="F4400">
        <v>46789</v>
      </c>
    </row>
    <row r="4401" spans="1:6" x14ac:dyDescent="0.35">
      <c r="A4401" t="s">
        <v>281</v>
      </c>
      <c r="B4401" t="s">
        <v>282</v>
      </c>
      <c r="C4401">
        <v>2013</v>
      </c>
      <c r="E4401">
        <v>1153</v>
      </c>
      <c r="F4401">
        <v>47488</v>
      </c>
    </row>
    <row r="4402" spans="1:6" x14ac:dyDescent="0.35">
      <c r="A4402" t="s">
        <v>281</v>
      </c>
      <c r="B4402" t="s">
        <v>282</v>
      </c>
      <c r="C4402">
        <v>2014</v>
      </c>
      <c r="E4402">
        <v>1236</v>
      </c>
      <c r="F4402">
        <v>47104</v>
      </c>
    </row>
    <row r="4403" spans="1:6" x14ac:dyDescent="0.35">
      <c r="A4403" t="s">
        <v>281</v>
      </c>
      <c r="B4403" t="s">
        <v>282</v>
      </c>
      <c r="C4403">
        <v>2015</v>
      </c>
      <c r="E4403">
        <v>1249</v>
      </c>
      <c r="F4403">
        <v>47651</v>
      </c>
    </row>
    <row r="4404" spans="1:6" x14ac:dyDescent="0.35">
      <c r="A4404" t="s">
        <v>281</v>
      </c>
      <c r="B4404" t="s">
        <v>282</v>
      </c>
      <c r="C4404">
        <v>2016</v>
      </c>
      <c r="E4404">
        <v>1212</v>
      </c>
      <c r="F4404">
        <v>45819</v>
      </c>
    </row>
    <row r="4405" spans="1:6" x14ac:dyDescent="0.35">
      <c r="A4405" t="s">
        <v>281</v>
      </c>
      <c r="B4405" t="s">
        <v>282</v>
      </c>
      <c r="C4405">
        <v>2017</v>
      </c>
      <c r="E4405">
        <v>1210</v>
      </c>
      <c r="F4405">
        <v>41805</v>
      </c>
    </row>
    <row r="4406" spans="1:6" x14ac:dyDescent="0.35">
      <c r="A4406" t="s">
        <v>281</v>
      </c>
      <c r="B4406" t="s">
        <v>282</v>
      </c>
      <c r="C4406">
        <v>2018</v>
      </c>
      <c r="E4406">
        <v>1070</v>
      </c>
      <c r="F4406">
        <v>39048</v>
      </c>
    </row>
    <row r="4407" spans="1:6" x14ac:dyDescent="0.35">
      <c r="A4407" t="s">
        <v>281</v>
      </c>
      <c r="B4407" t="s">
        <v>282</v>
      </c>
      <c r="C4407">
        <v>2019</v>
      </c>
      <c r="E4407">
        <v>1017</v>
      </c>
      <c r="F4407">
        <v>36436</v>
      </c>
    </row>
    <row r="4408" spans="1:6" x14ac:dyDescent="0.35">
      <c r="A4408" t="s">
        <v>281</v>
      </c>
      <c r="B4408" t="s">
        <v>282</v>
      </c>
      <c r="C4408">
        <v>2020</v>
      </c>
      <c r="E4408">
        <v>906</v>
      </c>
      <c r="F4408">
        <v>34937</v>
      </c>
    </row>
    <row r="4409" spans="1:6" x14ac:dyDescent="0.35">
      <c r="A4409" t="s">
        <v>283</v>
      </c>
      <c r="B4409" t="s">
        <v>284</v>
      </c>
      <c r="C4409">
        <v>1915</v>
      </c>
      <c r="D4409">
        <v>7673</v>
      </c>
      <c r="F4409">
        <v>761150</v>
      </c>
    </row>
    <row r="4410" spans="1:6" x14ac:dyDescent="0.35">
      <c r="A4410" t="s">
        <v>283</v>
      </c>
      <c r="B4410" t="s">
        <v>284</v>
      </c>
      <c r="C4410">
        <v>1916</v>
      </c>
      <c r="D4410">
        <v>8139</v>
      </c>
      <c r="F4410">
        <v>802892</v>
      </c>
    </row>
    <row r="4411" spans="1:6" x14ac:dyDescent="0.35">
      <c r="A4411" t="s">
        <v>283</v>
      </c>
      <c r="B4411" t="s">
        <v>284</v>
      </c>
      <c r="C4411">
        <v>1917</v>
      </c>
      <c r="D4411">
        <v>14394</v>
      </c>
      <c r="F4411">
        <v>1325426</v>
      </c>
    </row>
    <row r="4412" spans="1:6" x14ac:dyDescent="0.35">
      <c r="A4412" t="s">
        <v>283</v>
      </c>
      <c r="B4412" t="s">
        <v>284</v>
      </c>
      <c r="C4412">
        <v>1918</v>
      </c>
      <c r="D4412">
        <v>15342</v>
      </c>
      <c r="F4412">
        <v>1333526</v>
      </c>
    </row>
    <row r="4413" spans="1:6" x14ac:dyDescent="0.35">
      <c r="A4413" t="s">
        <v>283</v>
      </c>
      <c r="B4413" t="s">
        <v>284</v>
      </c>
      <c r="C4413">
        <v>1919</v>
      </c>
      <c r="D4413">
        <v>16316</v>
      </c>
      <c r="F4413">
        <v>1341234</v>
      </c>
    </row>
    <row r="4414" spans="1:6" x14ac:dyDescent="0.35">
      <c r="A4414" t="s">
        <v>283</v>
      </c>
      <c r="B4414" t="s">
        <v>284</v>
      </c>
      <c r="C4414">
        <v>1920</v>
      </c>
      <c r="D4414">
        <v>17229</v>
      </c>
      <c r="F4414">
        <v>1475113</v>
      </c>
    </row>
    <row r="4415" spans="1:6" x14ac:dyDescent="0.35">
      <c r="A4415" t="s">
        <v>283</v>
      </c>
      <c r="B4415" t="s">
        <v>284</v>
      </c>
      <c r="C4415">
        <v>1921</v>
      </c>
      <c r="D4415">
        <v>20021</v>
      </c>
      <c r="F4415">
        <v>1674875</v>
      </c>
    </row>
    <row r="4416" spans="1:6" x14ac:dyDescent="0.35">
      <c r="A4416" t="s">
        <v>283</v>
      </c>
      <c r="B4416" t="s">
        <v>284</v>
      </c>
      <c r="C4416">
        <v>1922</v>
      </c>
      <c r="D4416">
        <v>20284</v>
      </c>
      <c r="F4416">
        <v>1735074</v>
      </c>
    </row>
    <row r="4417" spans="1:6" x14ac:dyDescent="0.35">
      <c r="A4417" t="s">
        <v>283</v>
      </c>
      <c r="B4417" t="s">
        <v>284</v>
      </c>
      <c r="C4417">
        <v>1923</v>
      </c>
      <c r="D4417">
        <v>20594</v>
      </c>
      <c r="F4417">
        <v>1752331</v>
      </c>
    </row>
    <row r="4418" spans="1:6" x14ac:dyDescent="0.35">
      <c r="A4418" t="s">
        <v>283</v>
      </c>
      <c r="B4418" t="s">
        <v>284</v>
      </c>
      <c r="C4418">
        <v>1924</v>
      </c>
      <c r="D4418">
        <v>21864</v>
      </c>
      <c r="F4418">
        <v>1887776</v>
      </c>
    </row>
    <row r="4419" spans="1:6" x14ac:dyDescent="0.35">
      <c r="A4419" t="s">
        <v>283</v>
      </c>
      <c r="B4419" t="s">
        <v>284</v>
      </c>
      <c r="C4419">
        <v>1925</v>
      </c>
      <c r="D4419">
        <v>20645</v>
      </c>
      <c r="F4419">
        <v>1838296</v>
      </c>
    </row>
    <row r="4420" spans="1:6" x14ac:dyDescent="0.35">
      <c r="A4420" t="s">
        <v>283</v>
      </c>
      <c r="B4420" t="s">
        <v>284</v>
      </c>
      <c r="C4420">
        <v>1926</v>
      </c>
      <c r="D4420">
        <v>20885</v>
      </c>
      <c r="F4420">
        <v>1815108</v>
      </c>
    </row>
    <row r="4421" spans="1:6" x14ac:dyDescent="0.35">
      <c r="A4421" t="s">
        <v>283</v>
      </c>
      <c r="B4421" t="s">
        <v>284</v>
      </c>
      <c r="C4421">
        <v>1927</v>
      </c>
      <c r="D4421">
        <v>24658</v>
      </c>
      <c r="F4421">
        <v>2089508</v>
      </c>
    </row>
    <row r="4422" spans="1:6" x14ac:dyDescent="0.35">
      <c r="A4422" t="s">
        <v>283</v>
      </c>
      <c r="B4422" t="s">
        <v>284</v>
      </c>
      <c r="C4422">
        <v>1928</v>
      </c>
      <c r="D4422">
        <v>25619</v>
      </c>
      <c r="F4422">
        <v>2182879</v>
      </c>
    </row>
    <row r="4423" spans="1:6" x14ac:dyDescent="0.35">
      <c r="A4423" t="s">
        <v>283</v>
      </c>
      <c r="B4423" t="s">
        <v>284</v>
      </c>
      <c r="C4423">
        <v>1929</v>
      </c>
      <c r="D4423">
        <v>25358</v>
      </c>
      <c r="F4423">
        <v>2120415</v>
      </c>
    </row>
    <row r="4424" spans="1:6" x14ac:dyDescent="0.35">
      <c r="A4424" t="s">
        <v>283</v>
      </c>
      <c r="B4424" t="s">
        <v>284</v>
      </c>
      <c r="C4424">
        <v>1930</v>
      </c>
      <c r="D4424">
        <v>24963</v>
      </c>
      <c r="F4424">
        <v>2155094</v>
      </c>
    </row>
    <row r="4425" spans="1:6" x14ac:dyDescent="0.35">
      <c r="A4425" t="s">
        <v>283</v>
      </c>
      <c r="B4425" t="s">
        <v>284</v>
      </c>
      <c r="C4425">
        <v>1931</v>
      </c>
      <c r="D4425">
        <v>24049</v>
      </c>
      <c r="F4425">
        <v>2065803</v>
      </c>
    </row>
    <row r="4426" spans="1:6" x14ac:dyDescent="0.35">
      <c r="A4426" t="s">
        <v>283</v>
      </c>
      <c r="B4426" t="s">
        <v>284</v>
      </c>
      <c r="C4426">
        <v>1932</v>
      </c>
      <c r="D4426">
        <v>24020</v>
      </c>
      <c r="F4426">
        <v>2027134</v>
      </c>
    </row>
    <row r="4427" spans="1:6" x14ac:dyDescent="0.35">
      <c r="A4427" t="s">
        <v>283</v>
      </c>
      <c r="B4427" t="s">
        <v>284</v>
      </c>
      <c r="C4427">
        <v>1933</v>
      </c>
      <c r="D4427">
        <v>23995</v>
      </c>
      <c r="F4427">
        <v>2034466</v>
      </c>
    </row>
    <row r="4428" spans="1:6" x14ac:dyDescent="0.35">
      <c r="A4428" t="s">
        <v>283</v>
      </c>
      <c r="B4428" t="s">
        <v>284</v>
      </c>
      <c r="C4428">
        <v>1934</v>
      </c>
      <c r="D4428">
        <v>24866</v>
      </c>
      <c r="F4428">
        <v>2118997</v>
      </c>
    </row>
    <row r="4429" spans="1:6" x14ac:dyDescent="0.35">
      <c r="A4429" t="s">
        <v>283</v>
      </c>
      <c r="B4429" t="s">
        <v>284</v>
      </c>
      <c r="C4429">
        <v>1935</v>
      </c>
      <c r="D4429">
        <v>24167</v>
      </c>
      <c r="F4429">
        <v>2107903</v>
      </c>
    </row>
    <row r="4430" spans="1:6" x14ac:dyDescent="0.35">
      <c r="A4430" t="s">
        <v>283</v>
      </c>
      <c r="B4430" t="s">
        <v>284</v>
      </c>
      <c r="C4430">
        <v>1936</v>
      </c>
      <c r="D4430">
        <v>24569</v>
      </c>
      <c r="F4430">
        <v>2096667</v>
      </c>
    </row>
    <row r="4431" spans="1:6" x14ac:dyDescent="0.35">
      <c r="A4431" t="s">
        <v>283</v>
      </c>
      <c r="B4431" t="s">
        <v>284</v>
      </c>
      <c r="C4431">
        <v>1937</v>
      </c>
      <c r="D4431">
        <v>24881</v>
      </c>
      <c r="F4431">
        <v>2154719</v>
      </c>
    </row>
    <row r="4432" spans="1:6" x14ac:dyDescent="0.35">
      <c r="A4432" t="s">
        <v>283</v>
      </c>
      <c r="B4432" t="s">
        <v>284</v>
      </c>
      <c r="C4432">
        <v>1938</v>
      </c>
      <c r="D4432">
        <v>25644</v>
      </c>
      <c r="F4432">
        <v>2236863</v>
      </c>
    </row>
    <row r="4433" spans="1:6" x14ac:dyDescent="0.35">
      <c r="A4433" t="s">
        <v>283</v>
      </c>
      <c r="B4433" t="s">
        <v>284</v>
      </c>
      <c r="C4433">
        <v>1939</v>
      </c>
      <c r="D4433">
        <v>24908</v>
      </c>
      <c r="F4433">
        <v>2216857</v>
      </c>
    </row>
    <row r="4434" spans="1:6" x14ac:dyDescent="0.35">
      <c r="A4434" t="s">
        <v>283</v>
      </c>
      <c r="B4434" t="s">
        <v>284</v>
      </c>
      <c r="C4434">
        <v>1940</v>
      </c>
      <c r="D4434">
        <v>24976</v>
      </c>
      <c r="F4434">
        <v>2311378</v>
      </c>
    </row>
    <row r="4435" spans="1:6" x14ac:dyDescent="0.35">
      <c r="A4435" t="s">
        <v>283</v>
      </c>
      <c r="B4435" t="s">
        <v>284</v>
      </c>
      <c r="C4435">
        <v>1941</v>
      </c>
      <c r="D4435">
        <v>26443</v>
      </c>
      <c r="F4435">
        <v>2461311</v>
      </c>
    </row>
    <row r="4436" spans="1:6" x14ac:dyDescent="0.35">
      <c r="A4436" t="s">
        <v>283</v>
      </c>
      <c r="B4436" t="s">
        <v>284</v>
      </c>
      <c r="C4436">
        <v>1942</v>
      </c>
      <c r="D4436">
        <v>29139</v>
      </c>
      <c r="F4436">
        <v>2751568</v>
      </c>
    </row>
    <row r="4437" spans="1:6" x14ac:dyDescent="0.35">
      <c r="A4437" t="s">
        <v>283</v>
      </c>
      <c r="B4437" t="s">
        <v>284</v>
      </c>
      <c r="C4437">
        <v>1943</v>
      </c>
      <c r="D4437">
        <v>29470</v>
      </c>
      <c r="F4437">
        <v>2876669</v>
      </c>
    </row>
    <row r="4438" spans="1:6" x14ac:dyDescent="0.35">
      <c r="A4438" t="s">
        <v>283</v>
      </c>
      <c r="B4438" t="s">
        <v>284</v>
      </c>
      <c r="C4438">
        <v>1944</v>
      </c>
      <c r="D4438">
        <v>28591</v>
      </c>
      <c r="F4438">
        <v>2738438</v>
      </c>
    </row>
    <row r="4439" spans="1:6" x14ac:dyDescent="0.35">
      <c r="A4439" t="s">
        <v>283</v>
      </c>
      <c r="B4439" t="s">
        <v>284</v>
      </c>
      <c r="C4439">
        <v>1945</v>
      </c>
      <c r="D4439">
        <v>28604</v>
      </c>
      <c r="F4439">
        <v>2678712</v>
      </c>
    </row>
    <row r="4440" spans="1:6" x14ac:dyDescent="0.35">
      <c r="A4440" t="s">
        <v>283</v>
      </c>
      <c r="B4440" t="s">
        <v>284</v>
      </c>
      <c r="C4440">
        <v>1946</v>
      </c>
      <c r="D4440">
        <v>36782</v>
      </c>
      <c r="F4440">
        <v>3216000</v>
      </c>
    </row>
    <row r="4441" spans="1:6" x14ac:dyDescent="0.35">
      <c r="A4441" t="s">
        <v>283</v>
      </c>
      <c r="B4441" t="s">
        <v>284</v>
      </c>
      <c r="C4441">
        <v>1947</v>
      </c>
      <c r="D4441">
        <v>38286</v>
      </c>
      <c r="F4441">
        <v>3624181</v>
      </c>
    </row>
    <row r="4442" spans="1:6" x14ac:dyDescent="0.35">
      <c r="A4442" t="s">
        <v>283</v>
      </c>
      <c r="B4442" t="s">
        <v>284</v>
      </c>
      <c r="C4442">
        <v>1948</v>
      </c>
      <c r="D4442">
        <v>36246</v>
      </c>
      <c r="F4442">
        <v>3463320</v>
      </c>
    </row>
    <row r="4443" spans="1:6" x14ac:dyDescent="0.35">
      <c r="A4443" t="s">
        <v>283</v>
      </c>
      <c r="B4443" t="s">
        <v>284</v>
      </c>
      <c r="C4443">
        <v>1949</v>
      </c>
      <c r="D4443">
        <v>36479</v>
      </c>
      <c r="F4443">
        <v>3487548</v>
      </c>
    </row>
    <row r="4444" spans="1:6" x14ac:dyDescent="0.35">
      <c r="A4444" t="s">
        <v>283</v>
      </c>
      <c r="B4444" t="s">
        <v>284</v>
      </c>
      <c r="C4444">
        <v>1950</v>
      </c>
      <c r="D4444">
        <v>37759</v>
      </c>
      <c r="F4444">
        <v>3479639</v>
      </c>
    </row>
    <row r="4445" spans="1:6" x14ac:dyDescent="0.35">
      <c r="A4445" t="s">
        <v>283</v>
      </c>
      <c r="B4445" t="s">
        <v>284</v>
      </c>
      <c r="C4445">
        <v>1951</v>
      </c>
      <c r="D4445">
        <v>38256</v>
      </c>
      <c r="F4445">
        <v>3673160</v>
      </c>
    </row>
    <row r="4446" spans="1:6" x14ac:dyDescent="0.35">
      <c r="A4446" t="s">
        <v>283</v>
      </c>
      <c r="B4446" t="s">
        <v>284</v>
      </c>
      <c r="C4446">
        <v>1952</v>
      </c>
      <c r="D4446">
        <v>40154</v>
      </c>
      <c r="F4446">
        <v>3767450</v>
      </c>
    </row>
    <row r="4447" spans="1:6" x14ac:dyDescent="0.35">
      <c r="A4447" t="s">
        <v>283</v>
      </c>
      <c r="B4447" t="s">
        <v>284</v>
      </c>
      <c r="C4447">
        <v>1953</v>
      </c>
      <c r="D4447">
        <v>41520</v>
      </c>
      <c r="F4447">
        <v>3820063</v>
      </c>
    </row>
    <row r="4448" spans="1:6" x14ac:dyDescent="0.35">
      <c r="A4448" t="s">
        <v>283</v>
      </c>
      <c r="B4448" t="s">
        <v>284</v>
      </c>
      <c r="C4448">
        <v>1954</v>
      </c>
      <c r="D4448">
        <v>42240</v>
      </c>
      <c r="F4448">
        <v>3933484</v>
      </c>
    </row>
    <row r="4449" spans="1:6" x14ac:dyDescent="0.35">
      <c r="A4449" t="s">
        <v>283</v>
      </c>
      <c r="B4449" t="s">
        <v>284</v>
      </c>
      <c r="C4449">
        <v>1955</v>
      </c>
      <c r="D4449">
        <v>43082</v>
      </c>
      <c r="F4449">
        <v>3961776</v>
      </c>
    </row>
    <row r="4450" spans="1:6" x14ac:dyDescent="0.35">
      <c r="A4450" t="s">
        <v>283</v>
      </c>
      <c r="B4450" t="s">
        <v>284</v>
      </c>
      <c r="C4450">
        <v>1956</v>
      </c>
      <c r="D4450">
        <v>43228</v>
      </c>
      <c r="F4450">
        <v>4077170</v>
      </c>
    </row>
    <row r="4451" spans="1:6" x14ac:dyDescent="0.35">
      <c r="A4451" t="s">
        <v>283</v>
      </c>
      <c r="B4451" t="s">
        <v>284</v>
      </c>
      <c r="C4451">
        <v>1957</v>
      </c>
      <c r="D4451">
        <v>43439</v>
      </c>
      <c r="F4451">
        <v>4167626</v>
      </c>
    </row>
    <row r="4452" spans="1:6" x14ac:dyDescent="0.35">
      <c r="A4452" t="s">
        <v>283</v>
      </c>
      <c r="B4452" t="s">
        <v>284</v>
      </c>
      <c r="C4452">
        <v>1958</v>
      </c>
      <c r="D4452">
        <v>43360</v>
      </c>
      <c r="F4452">
        <v>4117202</v>
      </c>
    </row>
    <row r="4453" spans="1:6" x14ac:dyDescent="0.35">
      <c r="A4453" t="s">
        <v>283</v>
      </c>
      <c r="B4453" t="s">
        <v>284</v>
      </c>
      <c r="C4453">
        <v>1959</v>
      </c>
      <c r="E4453">
        <v>86426</v>
      </c>
      <c r="F4453">
        <v>4157142</v>
      </c>
    </row>
    <row r="4454" spans="1:6" x14ac:dyDescent="0.35">
      <c r="A4454" t="s">
        <v>283</v>
      </c>
      <c r="B4454" t="s">
        <v>284</v>
      </c>
      <c r="C4454">
        <v>1960</v>
      </c>
      <c r="E4454">
        <v>85440</v>
      </c>
      <c r="F4454">
        <v>4171166</v>
      </c>
    </row>
    <row r="4455" spans="1:6" x14ac:dyDescent="0.35">
      <c r="A4455" t="s">
        <v>283</v>
      </c>
      <c r="B4455" t="s">
        <v>284</v>
      </c>
      <c r="C4455">
        <v>1961</v>
      </c>
      <c r="E4455">
        <v>84926</v>
      </c>
      <c r="F4455">
        <v>4182226</v>
      </c>
    </row>
    <row r="4456" spans="1:6" x14ac:dyDescent="0.35">
      <c r="A4456" t="s">
        <v>283</v>
      </c>
      <c r="B4456" t="s">
        <v>284</v>
      </c>
      <c r="C4456">
        <v>1962</v>
      </c>
      <c r="E4456">
        <v>80180</v>
      </c>
      <c r="F4456">
        <v>4086056</v>
      </c>
    </row>
    <row r="4457" spans="1:6" x14ac:dyDescent="0.35">
      <c r="A4457" t="s">
        <v>283</v>
      </c>
      <c r="B4457" t="s">
        <v>284</v>
      </c>
      <c r="C4457">
        <v>1963</v>
      </c>
      <c r="E4457">
        <v>80044</v>
      </c>
      <c r="F4457">
        <v>4016862</v>
      </c>
    </row>
    <row r="4458" spans="1:6" x14ac:dyDescent="0.35">
      <c r="A4458" t="s">
        <v>283</v>
      </c>
      <c r="B4458" t="s">
        <v>284</v>
      </c>
      <c r="C4458">
        <v>1964</v>
      </c>
      <c r="E4458">
        <v>78954</v>
      </c>
      <c r="F4458">
        <v>3947334</v>
      </c>
    </row>
    <row r="4459" spans="1:6" x14ac:dyDescent="0.35">
      <c r="A4459" t="s">
        <v>283</v>
      </c>
      <c r="B4459" t="s">
        <v>284</v>
      </c>
      <c r="C4459">
        <v>1965</v>
      </c>
      <c r="E4459">
        <v>74594</v>
      </c>
      <c r="F4459">
        <v>3684752</v>
      </c>
    </row>
    <row r="4460" spans="1:6" x14ac:dyDescent="0.35">
      <c r="A4460" t="s">
        <v>283</v>
      </c>
      <c r="B4460" t="s">
        <v>284</v>
      </c>
      <c r="C4460">
        <v>1966</v>
      </c>
      <c r="E4460">
        <v>70340</v>
      </c>
      <c r="F4460">
        <v>3534962</v>
      </c>
    </row>
    <row r="4461" spans="1:6" x14ac:dyDescent="0.35">
      <c r="A4461" t="s">
        <v>283</v>
      </c>
      <c r="B4461" t="s">
        <v>284</v>
      </c>
      <c r="C4461">
        <v>1967</v>
      </c>
      <c r="E4461">
        <v>68336</v>
      </c>
      <c r="F4461">
        <v>3451594</v>
      </c>
    </row>
    <row r="4462" spans="1:6" x14ac:dyDescent="0.35">
      <c r="A4462" t="s">
        <v>283</v>
      </c>
      <c r="B4462" t="s">
        <v>284</v>
      </c>
      <c r="C4462">
        <v>1968</v>
      </c>
      <c r="E4462">
        <v>69300</v>
      </c>
      <c r="F4462">
        <v>3431156</v>
      </c>
    </row>
    <row r="4463" spans="1:6" x14ac:dyDescent="0.35">
      <c r="A4463" t="s">
        <v>283</v>
      </c>
      <c r="B4463" t="s">
        <v>284</v>
      </c>
      <c r="C4463">
        <v>1969</v>
      </c>
    </row>
    <row r="4464" spans="1:6" x14ac:dyDescent="0.35">
      <c r="A4464" t="s">
        <v>283</v>
      </c>
      <c r="B4464" t="s">
        <v>284</v>
      </c>
      <c r="C4464">
        <v>1970</v>
      </c>
    </row>
    <row r="4465" spans="1:6" x14ac:dyDescent="0.35">
      <c r="A4465" t="s">
        <v>283</v>
      </c>
      <c r="B4465" t="s">
        <v>284</v>
      </c>
      <c r="C4465">
        <v>1971</v>
      </c>
      <c r="E4465">
        <v>63298</v>
      </c>
      <c r="F4465">
        <v>3491638</v>
      </c>
    </row>
    <row r="4466" spans="1:6" x14ac:dyDescent="0.35">
      <c r="A4466" t="s">
        <v>283</v>
      </c>
      <c r="B4466" t="s">
        <v>284</v>
      </c>
      <c r="C4466">
        <v>1972</v>
      </c>
      <c r="E4466">
        <v>59122</v>
      </c>
      <c r="F4466">
        <v>3198382</v>
      </c>
    </row>
    <row r="4467" spans="1:6" x14ac:dyDescent="0.35">
      <c r="A4467" t="s">
        <v>283</v>
      </c>
      <c r="B4467" t="s">
        <v>284</v>
      </c>
      <c r="C4467">
        <v>1973</v>
      </c>
      <c r="E4467">
        <v>56777</v>
      </c>
      <c r="F4467">
        <v>3079244</v>
      </c>
    </row>
    <row r="4468" spans="1:6" x14ac:dyDescent="0.35">
      <c r="A4468" t="s">
        <v>283</v>
      </c>
      <c r="B4468" t="s">
        <v>284</v>
      </c>
      <c r="C4468">
        <v>1974</v>
      </c>
      <c r="E4468">
        <v>57836</v>
      </c>
      <c r="F4468">
        <v>3101117</v>
      </c>
    </row>
    <row r="4469" spans="1:6" x14ac:dyDescent="0.35">
      <c r="A4469" t="s">
        <v>283</v>
      </c>
      <c r="B4469" t="s">
        <v>284</v>
      </c>
      <c r="C4469">
        <v>1975</v>
      </c>
      <c r="E4469">
        <v>59192</v>
      </c>
      <c r="F4469">
        <v>3083940</v>
      </c>
    </row>
    <row r="4470" spans="1:6" x14ac:dyDescent="0.35">
      <c r="A4470" t="s">
        <v>283</v>
      </c>
      <c r="B4470" t="s">
        <v>284</v>
      </c>
      <c r="C4470">
        <v>1976</v>
      </c>
      <c r="E4470">
        <v>60664</v>
      </c>
      <c r="F4470">
        <v>3106038</v>
      </c>
    </row>
    <row r="4471" spans="1:6" x14ac:dyDescent="0.35">
      <c r="A4471" t="s">
        <v>283</v>
      </c>
      <c r="B4471" t="s">
        <v>284</v>
      </c>
      <c r="C4471">
        <v>1977</v>
      </c>
      <c r="E4471">
        <v>62880</v>
      </c>
      <c r="F4471">
        <v>3262676</v>
      </c>
    </row>
    <row r="4472" spans="1:6" x14ac:dyDescent="0.35">
      <c r="A4472" t="s">
        <v>283</v>
      </c>
      <c r="B4472" t="s">
        <v>284</v>
      </c>
      <c r="C4472">
        <v>1978</v>
      </c>
      <c r="E4472">
        <v>64163</v>
      </c>
      <c r="F4472">
        <v>3267931</v>
      </c>
    </row>
    <row r="4473" spans="1:6" x14ac:dyDescent="0.35">
      <c r="A4473" t="s">
        <v>283</v>
      </c>
      <c r="B4473" t="s">
        <v>284</v>
      </c>
      <c r="C4473">
        <v>1979</v>
      </c>
      <c r="E4473">
        <v>66858</v>
      </c>
      <c r="F4473">
        <v>3426338</v>
      </c>
    </row>
    <row r="4474" spans="1:6" x14ac:dyDescent="0.35">
      <c r="A4474" t="s">
        <v>283</v>
      </c>
      <c r="B4474" t="s">
        <v>284</v>
      </c>
      <c r="C4474">
        <v>1980</v>
      </c>
      <c r="E4474">
        <v>68339</v>
      </c>
      <c r="F4474">
        <v>3542582</v>
      </c>
    </row>
    <row r="4475" spans="1:6" x14ac:dyDescent="0.35">
      <c r="A4475" t="s">
        <v>283</v>
      </c>
      <c r="B4475" t="s">
        <v>284</v>
      </c>
      <c r="C4475">
        <v>1981</v>
      </c>
      <c r="E4475">
        <v>70049</v>
      </c>
      <c r="F4475">
        <v>3557804</v>
      </c>
    </row>
    <row r="4476" spans="1:6" x14ac:dyDescent="0.35">
      <c r="A4476" t="s">
        <v>283</v>
      </c>
      <c r="B4476" t="s">
        <v>284</v>
      </c>
      <c r="C4476">
        <v>1982</v>
      </c>
      <c r="E4476">
        <v>71631</v>
      </c>
      <c r="F4476">
        <v>3607422</v>
      </c>
    </row>
    <row r="4477" spans="1:6" x14ac:dyDescent="0.35">
      <c r="A4477" t="s">
        <v>283</v>
      </c>
      <c r="B4477" t="s">
        <v>284</v>
      </c>
      <c r="C4477">
        <v>1983</v>
      </c>
      <c r="E4477">
        <v>72287</v>
      </c>
      <c r="F4477">
        <v>3565071</v>
      </c>
    </row>
    <row r="4478" spans="1:6" x14ac:dyDescent="0.35">
      <c r="A4478" t="s">
        <v>283</v>
      </c>
      <c r="B4478" t="s">
        <v>284</v>
      </c>
      <c r="C4478">
        <v>1984</v>
      </c>
      <c r="E4478">
        <v>72949</v>
      </c>
      <c r="F4478">
        <v>3594539</v>
      </c>
    </row>
    <row r="4479" spans="1:6" x14ac:dyDescent="0.35">
      <c r="A4479" t="s">
        <v>283</v>
      </c>
      <c r="B4479" t="s">
        <v>284</v>
      </c>
      <c r="C4479">
        <v>1985</v>
      </c>
      <c r="E4479">
        <v>77102</v>
      </c>
      <c r="F4479">
        <v>3681534</v>
      </c>
    </row>
    <row r="4480" spans="1:6" x14ac:dyDescent="0.35">
      <c r="A4480" t="s">
        <v>283</v>
      </c>
      <c r="B4480" t="s">
        <v>284</v>
      </c>
      <c r="C4480">
        <v>1986</v>
      </c>
      <c r="E4480">
        <v>79485</v>
      </c>
      <c r="F4480">
        <v>3675248</v>
      </c>
    </row>
    <row r="4481" spans="1:6" x14ac:dyDescent="0.35">
      <c r="A4481" t="s">
        <v>283</v>
      </c>
      <c r="B4481" t="s">
        <v>284</v>
      </c>
      <c r="C4481">
        <v>1987</v>
      </c>
      <c r="E4481">
        <v>81778</v>
      </c>
      <c r="F4481">
        <v>3725477</v>
      </c>
    </row>
    <row r="4482" spans="1:6" x14ac:dyDescent="0.35">
      <c r="A4482" t="s">
        <v>283</v>
      </c>
      <c r="B4482" t="s">
        <v>284</v>
      </c>
      <c r="C4482">
        <v>1988</v>
      </c>
      <c r="E4482">
        <v>85315</v>
      </c>
      <c r="F4482">
        <v>3821810</v>
      </c>
    </row>
    <row r="4483" spans="1:6" x14ac:dyDescent="0.35">
      <c r="A4483" t="s">
        <v>283</v>
      </c>
      <c r="B4483" t="s">
        <v>284</v>
      </c>
      <c r="C4483">
        <v>1989</v>
      </c>
      <c r="E4483">
        <v>90118</v>
      </c>
      <c r="F4483">
        <v>3948042</v>
      </c>
    </row>
    <row r="4484" spans="1:6" x14ac:dyDescent="0.35">
      <c r="A4484" t="s">
        <v>283</v>
      </c>
      <c r="B4484" t="s">
        <v>284</v>
      </c>
      <c r="C4484">
        <v>1990</v>
      </c>
      <c r="E4484">
        <v>93865</v>
      </c>
      <c r="F4484">
        <v>4061319</v>
      </c>
    </row>
    <row r="4485" spans="1:6" x14ac:dyDescent="0.35">
      <c r="A4485" t="s">
        <v>283</v>
      </c>
      <c r="B4485" t="s">
        <v>284</v>
      </c>
      <c r="C4485">
        <v>1991</v>
      </c>
      <c r="E4485">
        <v>94779</v>
      </c>
      <c r="F4485">
        <v>4012782</v>
      </c>
    </row>
    <row r="4486" spans="1:6" x14ac:dyDescent="0.35">
      <c r="A4486" t="s">
        <v>283</v>
      </c>
      <c r="B4486" t="s">
        <v>284</v>
      </c>
      <c r="C4486">
        <v>1992</v>
      </c>
      <c r="E4486">
        <v>95372</v>
      </c>
      <c r="F4486">
        <v>3965759</v>
      </c>
    </row>
    <row r="4487" spans="1:6" x14ac:dyDescent="0.35">
      <c r="A4487" t="s">
        <v>283</v>
      </c>
      <c r="B4487" t="s">
        <v>284</v>
      </c>
      <c r="C4487">
        <v>1993</v>
      </c>
      <c r="E4487">
        <v>96445</v>
      </c>
      <c r="F4487">
        <v>3899627</v>
      </c>
    </row>
    <row r="4488" spans="1:6" x14ac:dyDescent="0.35">
      <c r="A4488" t="s">
        <v>283</v>
      </c>
      <c r="B4488" t="s">
        <v>284</v>
      </c>
      <c r="C4488">
        <v>1994</v>
      </c>
      <c r="E4488">
        <v>97064</v>
      </c>
      <c r="F4488">
        <v>3851109</v>
      </c>
    </row>
    <row r="4489" spans="1:6" x14ac:dyDescent="0.35">
      <c r="A4489" t="s">
        <v>283</v>
      </c>
      <c r="B4489" t="s">
        <v>284</v>
      </c>
      <c r="C4489">
        <v>1995</v>
      </c>
      <c r="E4489">
        <v>96736</v>
      </c>
      <c r="F4489">
        <v>3797880</v>
      </c>
    </row>
    <row r="4490" spans="1:6" x14ac:dyDescent="0.35">
      <c r="A4490" t="s">
        <v>283</v>
      </c>
      <c r="B4490" t="s">
        <v>284</v>
      </c>
      <c r="C4490">
        <v>1996</v>
      </c>
      <c r="E4490">
        <v>100750</v>
      </c>
      <c r="F4490">
        <v>3784805</v>
      </c>
    </row>
    <row r="4491" spans="1:6" x14ac:dyDescent="0.35">
      <c r="A4491" t="s">
        <v>283</v>
      </c>
      <c r="B4491" t="s">
        <v>284</v>
      </c>
      <c r="C4491">
        <v>1997</v>
      </c>
      <c r="E4491">
        <v>104137</v>
      </c>
      <c r="F4491">
        <v>3770020</v>
      </c>
    </row>
    <row r="4492" spans="1:6" x14ac:dyDescent="0.35">
      <c r="A4492" t="s">
        <v>283</v>
      </c>
      <c r="B4492" t="s">
        <v>284</v>
      </c>
      <c r="C4492">
        <v>1998</v>
      </c>
      <c r="E4492">
        <v>110670</v>
      </c>
      <c r="F4492">
        <v>3823258</v>
      </c>
    </row>
    <row r="4493" spans="1:6" x14ac:dyDescent="0.35">
      <c r="A4493" t="s">
        <v>283</v>
      </c>
      <c r="B4493" t="s">
        <v>284</v>
      </c>
      <c r="C4493">
        <v>1999</v>
      </c>
      <c r="E4493">
        <v>114307</v>
      </c>
      <c r="F4493">
        <v>3837789</v>
      </c>
    </row>
    <row r="4494" spans="1:6" x14ac:dyDescent="0.35">
      <c r="A4494" t="s">
        <v>283</v>
      </c>
      <c r="B4494" t="s">
        <v>284</v>
      </c>
      <c r="C4494">
        <v>2000</v>
      </c>
      <c r="E4494">
        <v>118916</v>
      </c>
      <c r="F4494">
        <v>3932573</v>
      </c>
    </row>
    <row r="4495" spans="1:6" x14ac:dyDescent="0.35">
      <c r="A4495" t="s">
        <v>283</v>
      </c>
      <c r="B4495" t="s">
        <v>284</v>
      </c>
      <c r="C4495">
        <v>2001</v>
      </c>
      <c r="E4495">
        <v>121246</v>
      </c>
      <c r="F4495">
        <v>3897216</v>
      </c>
    </row>
    <row r="4496" spans="1:6" x14ac:dyDescent="0.35">
      <c r="A4496" t="s">
        <v>283</v>
      </c>
      <c r="B4496" t="s">
        <v>284</v>
      </c>
      <c r="C4496">
        <v>2002</v>
      </c>
      <c r="E4496">
        <v>125134</v>
      </c>
      <c r="F4496">
        <v>3889191</v>
      </c>
    </row>
    <row r="4497" spans="1:6" x14ac:dyDescent="0.35">
      <c r="A4497" t="s">
        <v>283</v>
      </c>
      <c r="B4497" t="s">
        <v>284</v>
      </c>
      <c r="C4497">
        <v>2003</v>
      </c>
      <c r="E4497">
        <v>128665</v>
      </c>
      <c r="F4497">
        <v>3953622</v>
      </c>
    </row>
    <row r="4498" spans="1:6" x14ac:dyDescent="0.35">
      <c r="A4498" t="s">
        <v>283</v>
      </c>
      <c r="B4498" t="s">
        <v>285</v>
      </c>
      <c r="C4498">
        <v>2004</v>
      </c>
      <c r="E4498">
        <v>132219</v>
      </c>
      <c r="F4498">
        <v>3972558</v>
      </c>
    </row>
    <row r="4499" spans="1:6" x14ac:dyDescent="0.35">
      <c r="A4499" t="s">
        <v>283</v>
      </c>
      <c r="B4499" t="s">
        <v>285</v>
      </c>
      <c r="C4499">
        <v>2005</v>
      </c>
      <c r="E4499">
        <v>133122</v>
      </c>
      <c r="F4499">
        <v>3998533</v>
      </c>
    </row>
    <row r="4500" spans="1:6" x14ac:dyDescent="0.35">
      <c r="A4500" t="s">
        <v>283</v>
      </c>
      <c r="B4500" t="s">
        <v>285</v>
      </c>
      <c r="C4500">
        <v>2006</v>
      </c>
      <c r="E4500">
        <v>137085</v>
      </c>
      <c r="F4500">
        <v>4121930</v>
      </c>
    </row>
    <row r="4501" spans="1:6" x14ac:dyDescent="0.35">
      <c r="A4501" t="s">
        <v>283</v>
      </c>
      <c r="B4501" t="s">
        <v>285</v>
      </c>
      <c r="C4501">
        <v>2007</v>
      </c>
      <c r="E4501">
        <v>138961</v>
      </c>
      <c r="F4501">
        <v>4170845</v>
      </c>
    </row>
    <row r="4502" spans="1:6" x14ac:dyDescent="0.35">
      <c r="A4502" t="s">
        <v>283</v>
      </c>
      <c r="B4502" t="s">
        <v>285</v>
      </c>
      <c r="C4502">
        <v>2008</v>
      </c>
      <c r="E4502">
        <v>138660</v>
      </c>
      <c r="F4502">
        <v>4102766</v>
      </c>
    </row>
    <row r="4503" spans="1:6" x14ac:dyDescent="0.35">
      <c r="A4503" t="s">
        <v>283</v>
      </c>
      <c r="B4503" t="s">
        <v>285</v>
      </c>
      <c r="C4503">
        <v>2009</v>
      </c>
      <c r="E4503">
        <v>137217</v>
      </c>
      <c r="F4503">
        <v>3987108</v>
      </c>
    </row>
    <row r="4504" spans="1:6" x14ac:dyDescent="0.35">
      <c r="A4504" t="s">
        <v>283</v>
      </c>
      <c r="B4504" t="s">
        <v>285</v>
      </c>
      <c r="C4504">
        <v>2010</v>
      </c>
      <c r="E4504">
        <v>132562</v>
      </c>
      <c r="F4504">
        <v>3861321</v>
      </c>
    </row>
    <row r="4505" spans="1:6" x14ac:dyDescent="0.35">
      <c r="A4505" t="s">
        <v>283</v>
      </c>
      <c r="B4505" t="s">
        <v>285</v>
      </c>
      <c r="C4505">
        <v>2011</v>
      </c>
      <c r="E4505">
        <v>131269</v>
      </c>
      <c r="F4505">
        <v>3816904</v>
      </c>
    </row>
    <row r="4506" spans="1:6" x14ac:dyDescent="0.35">
      <c r="A4506" t="s">
        <v>283</v>
      </c>
      <c r="B4506" t="s">
        <v>285</v>
      </c>
      <c r="C4506">
        <v>2012</v>
      </c>
      <c r="E4506">
        <v>131024</v>
      </c>
      <c r="F4506">
        <v>3816898</v>
      </c>
    </row>
    <row r="4507" spans="1:6" x14ac:dyDescent="0.35">
      <c r="A4507" t="s">
        <v>283</v>
      </c>
      <c r="B4507" t="s">
        <v>285</v>
      </c>
      <c r="C4507">
        <v>2013</v>
      </c>
      <c r="E4507">
        <v>132324</v>
      </c>
      <c r="F4507">
        <v>3795157</v>
      </c>
    </row>
    <row r="4508" spans="1:6" x14ac:dyDescent="0.35">
      <c r="A4508" t="s">
        <v>283</v>
      </c>
      <c r="B4508" t="s">
        <v>285</v>
      </c>
      <c r="C4508">
        <v>2014</v>
      </c>
      <c r="E4508">
        <v>135336</v>
      </c>
      <c r="F4508">
        <v>3848214</v>
      </c>
    </row>
    <row r="4509" spans="1:6" x14ac:dyDescent="0.35">
      <c r="A4509" t="s">
        <v>283</v>
      </c>
      <c r="B4509" t="s">
        <v>285</v>
      </c>
      <c r="C4509">
        <v>2015</v>
      </c>
      <c r="E4509">
        <v>133155</v>
      </c>
      <c r="F4509">
        <v>3841219</v>
      </c>
    </row>
    <row r="4510" spans="1:6" x14ac:dyDescent="0.35">
      <c r="A4510" t="s">
        <v>283</v>
      </c>
      <c r="B4510" t="s">
        <v>285</v>
      </c>
      <c r="C4510">
        <v>2016</v>
      </c>
      <c r="E4510">
        <v>131723</v>
      </c>
      <c r="F4510">
        <v>3810149</v>
      </c>
    </row>
    <row r="4511" spans="1:6" x14ac:dyDescent="0.35">
      <c r="A4511" t="s">
        <v>283</v>
      </c>
      <c r="B4511" t="s">
        <v>285</v>
      </c>
      <c r="C4511">
        <v>2017</v>
      </c>
      <c r="E4511">
        <v>128310</v>
      </c>
      <c r="F4511">
        <v>3723273</v>
      </c>
    </row>
    <row r="4512" spans="1:6" x14ac:dyDescent="0.35">
      <c r="A4512" t="s">
        <v>283</v>
      </c>
      <c r="B4512" t="s">
        <v>285</v>
      </c>
      <c r="C4512">
        <v>2018</v>
      </c>
      <c r="E4512">
        <v>123536</v>
      </c>
      <c r="F4512">
        <v>3664651</v>
      </c>
    </row>
    <row r="4513" spans="1:6" x14ac:dyDescent="0.35">
      <c r="A4513" t="s">
        <v>283</v>
      </c>
      <c r="B4513" t="s">
        <v>285</v>
      </c>
      <c r="C4513">
        <v>2019</v>
      </c>
      <c r="E4513">
        <v>120291</v>
      </c>
      <c r="F4513">
        <v>3623963</v>
      </c>
    </row>
    <row r="4514" spans="1:6" x14ac:dyDescent="0.35">
      <c r="A4514" t="s">
        <v>283</v>
      </c>
      <c r="B4514" t="s">
        <v>285</v>
      </c>
      <c r="C4514">
        <v>2020</v>
      </c>
      <c r="E4514">
        <v>112437</v>
      </c>
      <c r="F4514">
        <v>3498335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AABB-BBBC-4CF9-A3B6-BD2FB78C1E5A}">
  <dimension ref="A1:BR270"/>
  <sheetViews>
    <sheetView topLeftCell="A8" zoomScale="70" zoomScaleNormal="70" workbookViewId="0">
      <selection activeCell="A8" sqref="A8"/>
    </sheetView>
  </sheetViews>
  <sheetFormatPr defaultRowHeight="14.5" x14ac:dyDescent="0.35"/>
  <cols>
    <col min="1" max="1" width="62.81640625" bestFit="1" customWidth="1"/>
    <col min="2" max="2" width="26.7265625" bestFit="1" customWidth="1"/>
    <col min="3" max="3" width="14.6328125" bestFit="1" customWidth="1"/>
    <col min="4" max="4" width="13.08984375" bestFit="1" customWidth="1"/>
    <col min="5" max="70" width="10.81640625" bestFit="1" customWidth="1"/>
  </cols>
  <sheetData>
    <row r="1" spans="1:70" x14ac:dyDescent="0.35">
      <c r="A1" t="s">
        <v>286</v>
      </c>
      <c r="B1" t="s">
        <v>287</v>
      </c>
    </row>
    <row r="3" spans="1:70" x14ac:dyDescent="0.35">
      <c r="A3" t="s">
        <v>288</v>
      </c>
      <c r="B3" s="25">
        <v>46216</v>
      </c>
    </row>
    <row r="5" spans="1:70" x14ac:dyDescent="0.35">
      <c r="A5" t="s">
        <v>289</v>
      </c>
      <c r="B5" t="s">
        <v>290</v>
      </c>
      <c r="C5" t="s">
        <v>291</v>
      </c>
      <c r="D5" t="s">
        <v>292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  <c r="BR5">
        <v>2025</v>
      </c>
    </row>
    <row r="6" spans="1:70" x14ac:dyDescent="0.35">
      <c r="A6" t="s">
        <v>293</v>
      </c>
      <c r="B6" t="s">
        <v>294</v>
      </c>
      <c r="C6" t="s">
        <v>295</v>
      </c>
      <c r="D6" t="s">
        <v>296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107995</v>
      </c>
      <c r="BR6">
        <v>108785</v>
      </c>
    </row>
    <row r="7" spans="1:70" x14ac:dyDescent="0.35">
      <c r="A7" t="s">
        <v>297</v>
      </c>
      <c r="B7" t="s">
        <v>298</v>
      </c>
      <c r="C7" t="s">
        <v>295</v>
      </c>
      <c r="D7" t="s">
        <v>296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750491370</v>
      </c>
      <c r="BQ7">
        <v>769280888</v>
      </c>
      <c r="BR7">
        <v>788844284</v>
      </c>
    </row>
    <row r="8" spans="1:70" x14ac:dyDescent="0.35">
      <c r="A8" t="s">
        <v>299</v>
      </c>
      <c r="B8" t="s">
        <v>300</v>
      </c>
      <c r="C8" t="s">
        <v>295</v>
      </c>
      <c r="D8" t="s">
        <v>296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  <c r="BR8">
        <v>43844111</v>
      </c>
    </row>
    <row r="9" spans="1:70" x14ac:dyDescent="0.35">
      <c r="A9" t="s">
        <v>301</v>
      </c>
      <c r="B9" t="s">
        <v>302</v>
      </c>
      <c r="C9" t="s">
        <v>295</v>
      </c>
      <c r="D9" t="s">
        <v>296</v>
      </c>
      <c r="E9">
        <v>97630925</v>
      </c>
      <c r="F9">
        <v>99706674</v>
      </c>
      <c r="G9">
        <v>101854756</v>
      </c>
      <c r="H9">
        <v>104089175</v>
      </c>
      <c r="I9">
        <v>106384410</v>
      </c>
      <c r="J9">
        <v>108754449</v>
      </c>
      <c r="K9">
        <v>111201929</v>
      </c>
      <c r="L9">
        <v>113711893</v>
      </c>
      <c r="M9">
        <v>116317933</v>
      </c>
      <c r="N9">
        <v>119082123</v>
      </c>
      <c r="O9">
        <v>121991241</v>
      </c>
      <c r="P9">
        <v>124974798</v>
      </c>
      <c r="Q9">
        <v>128075363</v>
      </c>
      <c r="R9">
        <v>131345703</v>
      </c>
      <c r="S9">
        <v>134804113</v>
      </c>
      <c r="T9">
        <v>138459092</v>
      </c>
      <c r="U9">
        <v>142222964</v>
      </c>
      <c r="V9">
        <v>146140666</v>
      </c>
      <c r="W9">
        <v>150280969</v>
      </c>
      <c r="X9">
        <v>154596206</v>
      </c>
      <c r="Y9">
        <v>159037032</v>
      </c>
      <c r="Z9">
        <v>163628870</v>
      </c>
      <c r="AA9">
        <v>168431728</v>
      </c>
      <c r="AB9">
        <v>173065335</v>
      </c>
      <c r="AC9">
        <v>177653652</v>
      </c>
      <c r="AD9">
        <v>182564486</v>
      </c>
      <c r="AE9">
        <v>187637529</v>
      </c>
      <c r="AF9">
        <v>192844453</v>
      </c>
      <c r="AG9">
        <v>198216830</v>
      </c>
      <c r="AH9">
        <v>203785781</v>
      </c>
      <c r="AI9">
        <v>209281291</v>
      </c>
      <c r="AJ9">
        <v>214885785</v>
      </c>
      <c r="AK9">
        <v>220890339</v>
      </c>
      <c r="AL9">
        <v>226927299</v>
      </c>
      <c r="AM9">
        <v>233041347</v>
      </c>
      <c r="AN9">
        <v>239501493</v>
      </c>
      <c r="AO9">
        <v>246128722</v>
      </c>
      <c r="AP9">
        <v>252921348</v>
      </c>
      <c r="AQ9">
        <v>259988556</v>
      </c>
      <c r="AR9">
        <v>267171783</v>
      </c>
      <c r="AS9">
        <v>274612131</v>
      </c>
      <c r="AT9">
        <v>282407479</v>
      </c>
      <c r="AU9">
        <v>290455651</v>
      </c>
      <c r="AV9">
        <v>298744790</v>
      </c>
      <c r="AW9">
        <v>307309912</v>
      </c>
      <c r="AX9">
        <v>316156999</v>
      </c>
      <c r="AY9">
        <v>325222154</v>
      </c>
      <c r="AZ9">
        <v>334544275</v>
      </c>
      <c r="BA9">
        <v>344153435</v>
      </c>
      <c r="BB9">
        <v>353922925</v>
      </c>
      <c r="BC9">
        <v>363951468</v>
      </c>
      <c r="BD9">
        <v>374374251</v>
      </c>
      <c r="BE9">
        <v>384913331</v>
      </c>
      <c r="BF9">
        <v>395543613</v>
      </c>
      <c r="BG9">
        <v>406457241</v>
      </c>
      <c r="BH9">
        <v>417536152</v>
      </c>
      <c r="BI9">
        <v>428797338</v>
      </c>
      <c r="BJ9">
        <v>440150152</v>
      </c>
      <c r="BK9">
        <v>451395343</v>
      </c>
      <c r="BL9">
        <v>462522286</v>
      </c>
      <c r="BM9">
        <v>473687685</v>
      </c>
      <c r="BN9">
        <v>484978794</v>
      </c>
      <c r="BO9">
        <v>496366058</v>
      </c>
      <c r="BP9">
        <v>508318102</v>
      </c>
      <c r="BQ9">
        <v>520655398</v>
      </c>
      <c r="BR9">
        <v>532809933</v>
      </c>
    </row>
    <row r="10" spans="1:70" x14ac:dyDescent="0.35">
      <c r="A10" t="s">
        <v>303</v>
      </c>
      <c r="B10" t="s">
        <v>304</v>
      </c>
      <c r="C10" t="s">
        <v>295</v>
      </c>
      <c r="D10" t="s">
        <v>296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  <c r="BR10">
        <v>39040039</v>
      </c>
    </row>
    <row r="11" spans="1:70" x14ac:dyDescent="0.35">
      <c r="A11" t="s">
        <v>305</v>
      </c>
      <c r="B11" t="s">
        <v>306</v>
      </c>
      <c r="C11" t="s">
        <v>295</v>
      </c>
      <c r="D11" t="s">
        <v>296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2860708</v>
      </c>
      <c r="BF11">
        <v>2816902</v>
      </c>
      <c r="BG11">
        <v>2773767</v>
      </c>
      <c r="BH11">
        <v>2731293</v>
      </c>
      <c r="BI11">
        <v>2689469</v>
      </c>
      <c r="BJ11">
        <v>2648285</v>
      </c>
      <c r="BK11">
        <v>2607733</v>
      </c>
      <c r="BL11">
        <v>2567801</v>
      </c>
      <c r="BM11">
        <v>2528480</v>
      </c>
      <c r="BN11">
        <v>2489762</v>
      </c>
      <c r="BO11">
        <v>2451636</v>
      </c>
      <c r="BP11">
        <v>2411658</v>
      </c>
      <c r="BQ11">
        <v>2377128</v>
      </c>
      <c r="BR11">
        <v>2349580</v>
      </c>
    </row>
    <row r="12" spans="1:70" x14ac:dyDescent="0.35">
      <c r="A12" t="s">
        <v>307</v>
      </c>
      <c r="B12" t="s">
        <v>308</v>
      </c>
      <c r="C12" t="s">
        <v>295</v>
      </c>
      <c r="D12" t="s">
        <v>296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  <c r="BR12">
        <v>82904</v>
      </c>
    </row>
    <row r="13" spans="1:70" x14ac:dyDescent="0.35">
      <c r="A13" t="s">
        <v>309</v>
      </c>
      <c r="B13" t="s">
        <v>310</v>
      </c>
      <c r="C13" t="s">
        <v>295</v>
      </c>
      <c r="D13" t="s">
        <v>296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492612632</v>
      </c>
      <c r="BR13">
        <v>503356133</v>
      </c>
    </row>
    <row r="14" spans="1:70" x14ac:dyDescent="0.35">
      <c r="A14" t="s">
        <v>311</v>
      </c>
      <c r="B14" t="s">
        <v>312</v>
      </c>
      <c r="C14" t="s">
        <v>295</v>
      </c>
      <c r="D14" t="s">
        <v>296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10986400</v>
      </c>
      <c r="BR14">
        <v>11513149</v>
      </c>
    </row>
    <row r="15" spans="1:70" x14ac:dyDescent="0.35">
      <c r="A15" t="s">
        <v>313</v>
      </c>
      <c r="B15" t="s">
        <v>314</v>
      </c>
      <c r="C15" t="s">
        <v>295</v>
      </c>
      <c r="D15" t="s">
        <v>296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  <c r="BR15">
        <v>45851378</v>
      </c>
    </row>
    <row r="16" spans="1:70" x14ac:dyDescent="0.35">
      <c r="A16" t="s">
        <v>315</v>
      </c>
      <c r="B16" t="s">
        <v>316</v>
      </c>
      <c r="C16" t="s">
        <v>295</v>
      </c>
      <c r="D16" t="s">
        <v>296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  <c r="BR16">
        <v>3086700</v>
      </c>
    </row>
    <row r="17" spans="1:70" x14ac:dyDescent="0.35">
      <c r="A17" t="s">
        <v>317</v>
      </c>
      <c r="B17" t="s">
        <v>318</v>
      </c>
      <c r="C17" t="s">
        <v>295</v>
      </c>
      <c r="D17" t="s">
        <v>296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  <c r="BR17">
        <v>46029</v>
      </c>
    </row>
    <row r="18" spans="1:70" x14ac:dyDescent="0.35">
      <c r="A18" t="s">
        <v>319</v>
      </c>
      <c r="B18" t="s">
        <v>320</v>
      </c>
      <c r="C18" t="s">
        <v>295</v>
      </c>
      <c r="D18" t="s">
        <v>296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  <c r="BR18">
        <v>94209</v>
      </c>
    </row>
    <row r="19" spans="1:70" x14ac:dyDescent="0.35">
      <c r="A19" t="s">
        <v>3</v>
      </c>
      <c r="B19" t="s">
        <v>321</v>
      </c>
      <c r="C19" t="s">
        <v>295</v>
      </c>
      <c r="D19" t="s">
        <v>296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26018721</v>
      </c>
      <c r="BP19">
        <v>26659922</v>
      </c>
      <c r="BQ19">
        <v>27194286</v>
      </c>
      <c r="BR19">
        <v>27614411</v>
      </c>
    </row>
    <row r="20" spans="1:70" x14ac:dyDescent="0.35">
      <c r="A20" t="s">
        <v>11</v>
      </c>
      <c r="B20" t="s">
        <v>322</v>
      </c>
      <c r="C20" t="s">
        <v>295</v>
      </c>
      <c r="D20" t="s">
        <v>296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9177982</v>
      </c>
      <c r="BR20">
        <v>9208163</v>
      </c>
    </row>
    <row r="21" spans="1:70" x14ac:dyDescent="0.35">
      <c r="A21" t="s">
        <v>323</v>
      </c>
      <c r="B21" t="s">
        <v>324</v>
      </c>
      <c r="C21" t="s">
        <v>295</v>
      </c>
      <c r="D21" t="s">
        <v>296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10202830</v>
      </c>
      <c r="BR21">
        <v>10246996</v>
      </c>
    </row>
    <row r="22" spans="1:70" x14ac:dyDescent="0.35">
      <c r="A22" t="s">
        <v>325</v>
      </c>
      <c r="B22" t="s">
        <v>326</v>
      </c>
      <c r="C22" t="s">
        <v>295</v>
      </c>
      <c r="D22" t="s">
        <v>296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  <c r="BR22">
        <v>14390003</v>
      </c>
    </row>
    <row r="23" spans="1:70" x14ac:dyDescent="0.35">
      <c r="A23" t="s">
        <v>327</v>
      </c>
      <c r="B23" t="s">
        <v>328</v>
      </c>
      <c r="C23" t="s">
        <v>295</v>
      </c>
      <c r="D23" t="s">
        <v>296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11779946</v>
      </c>
      <c r="BQ23">
        <v>11858610</v>
      </c>
      <c r="BR23">
        <v>11941781</v>
      </c>
    </row>
    <row r="24" spans="1:70" x14ac:dyDescent="0.35">
      <c r="A24" t="s">
        <v>329</v>
      </c>
      <c r="B24" t="s">
        <v>330</v>
      </c>
      <c r="C24" t="s">
        <v>295</v>
      </c>
      <c r="D24" t="s">
        <v>296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  <c r="BR24">
        <v>14814460</v>
      </c>
    </row>
    <row r="25" spans="1:70" x14ac:dyDescent="0.35">
      <c r="A25" t="s">
        <v>331</v>
      </c>
      <c r="B25" t="s">
        <v>332</v>
      </c>
      <c r="C25" t="s">
        <v>295</v>
      </c>
      <c r="D25" t="s">
        <v>296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  <c r="BR25">
        <v>24074580</v>
      </c>
    </row>
    <row r="26" spans="1:70" x14ac:dyDescent="0.35">
      <c r="A26" t="s">
        <v>333</v>
      </c>
      <c r="B26" t="s">
        <v>334</v>
      </c>
      <c r="C26" t="s">
        <v>295</v>
      </c>
      <c r="D26" t="s">
        <v>296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  <c r="BR26">
        <v>175686899</v>
      </c>
    </row>
    <row r="27" spans="1:70" x14ac:dyDescent="0.35">
      <c r="A27" t="s">
        <v>335</v>
      </c>
      <c r="B27" t="s">
        <v>336</v>
      </c>
      <c r="C27" t="s">
        <v>295</v>
      </c>
      <c r="D27" t="s">
        <v>296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6441421</v>
      </c>
      <c r="BR27">
        <v>6433302</v>
      </c>
    </row>
    <row r="28" spans="1:70" x14ac:dyDescent="0.35">
      <c r="A28" t="s">
        <v>337</v>
      </c>
      <c r="B28" t="s">
        <v>338</v>
      </c>
      <c r="C28" t="s">
        <v>295</v>
      </c>
      <c r="D28" t="s">
        <v>296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  <c r="BR28">
        <v>1600366</v>
      </c>
    </row>
    <row r="29" spans="1:70" x14ac:dyDescent="0.35">
      <c r="A29" t="s">
        <v>339</v>
      </c>
      <c r="B29" t="s">
        <v>340</v>
      </c>
      <c r="C29" t="s">
        <v>295</v>
      </c>
      <c r="D29" t="s">
        <v>296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  <c r="BR29">
        <v>403033</v>
      </c>
    </row>
    <row r="30" spans="1:70" x14ac:dyDescent="0.35">
      <c r="A30" t="s">
        <v>341</v>
      </c>
      <c r="B30" t="s">
        <v>342</v>
      </c>
      <c r="C30" t="s">
        <v>295</v>
      </c>
      <c r="D30" t="s">
        <v>296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  <c r="BR30">
        <v>3140095</v>
      </c>
    </row>
    <row r="31" spans="1:70" x14ac:dyDescent="0.35">
      <c r="A31" t="s">
        <v>343</v>
      </c>
      <c r="B31" t="s">
        <v>344</v>
      </c>
      <c r="C31" t="s">
        <v>295</v>
      </c>
      <c r="D31" t="s">
        <v>296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9132629</v>
      </c>
      <c r="BR31">
        <v>9085991</v>
      </c>
    </row>
    <row r="32" spans="1:70" x14ac:dyDescent="0.35">
      <c r="A32" t="s">
        <v>345</v>
      </c>
      <c r="B32" t="s">
        <v>346</v>
      </c>
      <c r="C32" t="s">
        <v>295</v>
      </c>
      <c r="D32" t="s">
        <v>296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  <c r="BR32">
        <v>422924</v>
      </c>
    </row>
    <row r="33" spans="1:70" x14ac:dyDescent="0.35">
      <c r="A33" t="s">
        <v>347</v>
      </c>
      <c r="B33" t="s">
        <v>348</v>
      </c>
      <c r="C33" t="s">
        <v>295</v>
      </c>
      <c r="D33" t="s">
        <v>296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  <c r="BR33">
        <v>64555</v>
      </c>
    </row>
    <row r="34" spans="1:70" x14ac:dyDescent="0.35">
      <c r="A34" t="s">
        <v>349</v>
      </c>
      <c r="B34" t="s">
        <v>350</v>
      </c>
      <c r="C34" t="s">
        <v>295</v>
      </c>
      <c r="D34" t="s">
        <v>296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  <c r="BR34">
        <v>12581843</v>
      </c>
    </row>
    <row r="35" spans="1:70" x14ac:dyDescent="0.35">
      <c r="A35" t="s">
        <v>351</v>
      </c>
      <c r="B35" t="s">
        <v>352</v>
      </c>
      <c r="C35" t="s">
        <v>295</v>
      </c>
      <c r="D35" t="s">
        <v>296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  <c r="BR35">
        <v>212812405</v>
      </c>
    </row>
    <row r="36" spans="1:70" x14ac:dyDescent="0.35">
      <c r="A36" t="s">
        <v>353</v>
      </c>
      <c r="B36" t="s">
        <v>354</v>
      </c>
      <c r="C36" t="s">
        <v>295</v>
      </c>
      <c r="D36" t="s">
        <v>296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  <c r="BR36">
        <v>282623</v>
      </c>
    </row>
    <row r="37" spans="1:70" x14ac:dyDescent="0.35">
      <c r="A37" t="s">
        <v>355</v>
      </c>
      <c r="B37" t="s">
        <v>356</v>
      </c>
      <c r="C37" t="s">
        <v>295</v>
      </c>
      <c r="D37" t="s">
        <v>296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  <c r="BR37">
        <v>466330</v>
      </c>
    </row>
    <row r="38" spans="1:70" x14ac:dyDescent="0.35">
      <c r="A38" t="s">
        <v>357</v>
      </c>
      <c r="B38" t="s">
        <v>358</v>
      </c>
      <c r="C38" t="s">
        <v>295</v>
      </c>
      <c r="D38" t="s">
        <v>296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  <c r="BR38">
        <v>796682</v>
      </c>
    </row>
    <row r="39" spans="1:70" x14ac:dyDescent="0.35">
      <c r="A39" t="s">
        <v>359</v>
      </c>
      <c r="B39" t="s">
        <v>360</v>
      </c>
      <c r="C39" t="s">
        <v>295</v>
      </c>
      <c r="D39" t="s">
        <v>296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  <c r="BR39">
        <v>2562122</v>
      </c>
    </row>
    <row r="40" spans="1:70" x14ac:dyDescent="0.35">
      <c r="A40" t="s">
        <v>361</v>
      </c>
      <c r="B40" t="s">
        <v>362</v>
      </c>
      <c r="C40" t="s">
        <v>295</v>
      </c>
      <c r="D40" t="s">
        <v>296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  <c r="BR40">
        <v>5513282</v>
      </c>
    </row>
    <row r="41" spans="1:70" x14ac:dyDescent="0.35">
      <c r="A41" t="s">
        <v>13</v>
      </c>
      <c r="B41" t="s">
        <v>363</v>
      </c>
      <c r="C41" t="s">
        <v>295</v>
      </c>
      <c r="D41" t="s">
        <v>296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38950132</v>
      </c>
      <c r="BP41">
        <v>40049088</v>
      </c>
      <c r="BQ41">
        <v>41262329</v>
      </c>
      <c r="BR41">
        <v>41651653</v>
      </c>
    </row>
    <row r="42" spans="1:70" x14ac:dyDescent="0.35">
      <c r="A42" t="s">
        <v>364</v>
      </c>
      <c r="B42" t="s">
        <v>365</v>
      </c>
      <c r="C42" t="s">
        <v>295</v>
      </c>
      <c r="D42" t="s">
        <v>296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100183707</v>
      </c>
      <c r="BQ42">
        <v>100061963</v>
      </c>
      <c r="BR42">
        <v>99814596</v>
      </c>
    </row>
    <row r="43" spans="1:70" x14ac:dyDescent="0.35">
      <c r="A43" t="s">
        <v>17</v>
      </c>
      <c r="B43" t="s">
        <v>366</v>
      </c>
      <c r="C43" t="s">
        <v>295</v>
      </c>
      <c r="D43" t="s">
        <v>296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8888822</v>
      </c>
      <c r="BQ43">
        <v>9005582</v>
      </c>
      <c r="BR43">
        <v>9092436</v>
      </c>
    </row>
    <row r="44" spans="1:70" x14ac:dyDescent="0.35">
      <c r="A44" t="s">
        <v>367</v>
      </c>
      <c r="B44" t="s">
        <v>368</v>
      </c>
      <c r="C44" t="s">
        <v>295</v>
      </c>
      <c r="D44" t="s">
        <v>296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  <c r="BR44">
        <v>168466</v>
      </c>
    </row>
    <row r="45" spans="1:70" x14ac:dyDescent="0.35">
      <c r="A45" t="s">
        <v>19</v>
      </c>
      <c r="B45" t="s">
        <v>369</v>
      </c>
      <c r="C45" t="s">
        <v>295</v>
      </c>
      <c r="D45" t="s">
        <v>296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  <c r="BR45">
        <v>19859921</v>
      </c>
    </row>
    <row r="46" spans="1:70" x14ac:dyDescent="0.35">
      <c r="A46" t="s">
        <v>370</v>
      </c>
      <c r="B46" t="s">
        <v>371</v>
      </c>
      <c r="C46" t="s">
        <v>295</v>
      </c>
      <c r="D46" t="s">
        <v>296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  <c r="BR46">
        <v>1406585000</v>
      </c>
    </row>
    <row r="47" spans="1:70" x14ac:dyDescent="0.35">
      <c r="A47" t="s">
        <v>372</v>
      </c>
      <c r="B47" t="s">
        <v>373</v>
      </c>
      <c r="C47" t="s">
        <v>295</v>
      </c>
      <c r="D47" t="s">
        <v>296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  <c r="BR47">
        <v>32711547</v>
      </c>
    </row>
    <row r="48" spans="1:70" x14ac:dyDescent="0.35">
      <c r="A48" t="s">
        <v>374</v>
      </c>
      <c r="B48" t="s">
        <v>375</v>
      </c>
      <c r="C48" t="s">
        <v>295</v>
      </c>
      <c r="D48" t="s">
        <v>296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  <c r="BR48">
        <v>29879337</v>
      </c>
    </row>
    <row r="49" spans="1:70" x14ac:dyDescent="0.35">
      <c r="A49" t="s">
        <v>376</v>
      </c>
      <c r="B49" t="s">
        <v>377</v>
      </c>
      <c r="C49" t="s">
        <v>295</v>
      </c>
      <c r="D49" t="s">
        <v>296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  <c r="BR49">
        <v>112832473</v>
      </c>
    </row>
    <row r="50" spans="1:70" x14ac:dyDescent="0.35">
      <c r="A50" t="s">
        <v>378</v>
      </c>
      <c r="B50" t="s">
        <v>379</v>
      </c>
      <c r="C50" t="s">
        <v>295</v>
      </c>
      <c r="D50" t="s">
        <v>296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  <c r="BR50">
        <v>6484437</v>
      </c>
    </row>
    <row r="51" spans="1:70" x14ac:dyDescent="0.35">
      <c r="A51" t="s">
        <v>380</v>
      </c>
      <c r="B51" t="s">
        <v>381</v>
      </c>
      <c r="C51" t="s">
        <v>295</v>
      </c>
      <c r="D51" t="s">
        <v>296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  <c r="BR51">
        <v>53425635</v>
      </c>
    </row>
    <row r="52" spans="1:70" x14ac:dyDescent="0.35">
      <c r="A52" t="s">
        <v>382</v>
      </c>
      <c r="B52" t="s">
        <v>383</v>
      </c>
      <c r="C52" t="s">
        <v>295</v>
      </c>
      <c r="D52" t="s">
        <v>296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  <c r="BR52">
        <v>882847</v>
      </c>
    </row>
    <row r="53" spans="1:70" x14ac:dyDescent="0.35">
      <c r="A53" t="s">
        <v>384</v>
      </c>
      <c r="B53" t="s">
        <v>385</v>
      </c>
      <c r="C53" t="s">
        <v>295</v>
      </c>
      <c r="D53" t="s">
        <v>296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  <c r="BR53">
        <v>527326</v>
      </c>
    </row>
    <row r="54" spans="1:70" x14ac:dyDescent="0.35">
      <c r="A54" t="s">
        <v>386</v>
      </c>
      <c r="B54" t="s">
        <v>387</v>
      </c>
      <c r="C54" t="s">
        <v>295</v>
      </c>
      <c r="D54" t="s">
        <v>296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  <c r="BR54">
        <v>5152950</v>
      </c>
    </row>
    <row r="55" spans="1:70" x14ac:dyDescent="0.35">
      <c r="A55" t="s">
        <v>388</v>
      </c>
      <c r="B55" t="s">
        <v>389</v>
      </c>
      <c r="C55" t="s">
        <v>295</v>
      </c>
      <c r="D55" t="s">
        <v>296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  <c r="BR55">
        <v>4556558</v>
      </c>
    </row>
    <row r="56" spans="1:70" x14ac:dyDescent="0.35">
      <c r="A56" t="s">
        <v>390</v>
      </c>
      <c r="B56" t="s">
        <v>391</v>
      </c>
      <c r="C56" t="s">
        <v>295</v>
      </c>
      <c r="D56" t="s">
        <v>296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  <c r="BR56">
        <v>10937203</v>
      </c>
    </row>
    <row r="57" spans="1:70" x14ac:dyDescent="0.35">
      <c r="A57" t="s">
        <v>392</v>
      </c>
      <c r="B57" t="s">
        <v>393</v>
      </c>
      <c r="C57" t="s">
        <v>295</v>
      </c>
      <c r="D57" t="s">
        <v>296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155482</v>
      </c>
      <c r="BN57">
        <v>153948</v>
      </c>
      <c r="BO57">
        <v>153321</v>
      </c>
      <c r="BP57">
        <v>154654</v>
      </c>
      <c r="BQ57">
        <v>155967</v>
      </c>
      <c r="BR57">
        <v>156263</v>
      </c>
    </row>
    <row r="58" spans="1:70" x14ac:dyDescent="0.35">
      <c r="A58" t="s">
        <v>394</v>
      </c>
      <c r="B58" t="s">
        <v>395</v>
      </c>
      <c r="C58" t="s">
        <v>295</v>
      </c>
      <c r="D58" t="s">
        <v>296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  <c r="BR58">
        <v>75844</v>
      </c>
    </row>
    <row r="59" spans="1:70" x14ac:dyDescent="0.35">
      <c r="A59" t="s">
        <v>396</v>
      </c>
      <c r="B59" t="s">
        <v>397</v>
      </c>
      <c r="C59" t="s">
        <v>295</v>
      </c>
      <c r="D59" t="s">
        <v>296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  <c r="BR59">
        <v>1370754</v>
      </c>
    </row>
    <row r="60" spans="1:70" x14ac:dyDescent="0.35">
      <c r="A60" t="s">
        <v>398</v>
      </c>
      <c r="B60" t="s">
        <v>399</v>
      </c>
      <c r="C60" t="s">
        <v>295</v>
      </c>
      <c r="D60" t="s">
        <v>296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10905028</v>
      </c>
      <c r="BR60">
        <v>10886878</v>
      </c>
    </row>
    <row r="61" spans="1:70" x14ac:dyDescent="0.35">
      <c r="A61" t="s">
        <v>125</v>
      </c>
      <c r="B61" t="s">
        <v>400</v>
      </c>
      <c r="C61" t="s">
        <v>295</v>
      </c>
      <c r="D61" t="s">
        <v>296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83177813</v>
      </c>
      <c r="BP61">
        <v>83287273</v>
      </c>
      <c r="BQ61">
        <v>83516593</v>
      </c>
      <c r="BR61">
        <v>83491249</v>
      </c>
    </row>
    <row r="62" spans="1:70" x14ac:dyDescent="0.35">
      <c r="A62" t="s">
        <v>401</v>
      </c>
      <c r="B62" t="s">
        <v>402</v>
      </c>
      <c r="C62" t="s">
        <v>295</v>
      </c>
      <c r="D62" t="s">
        <v>296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  <c r="BR62">
        <v>1184076</v>
      </c>
    </row>
    <row r="63" spans="1:70" x14ac:dyDescent="0.35">
      <c r="A63" t="s">
        <v>403</v>
      </c>
      <c r="B63" t="s">
        <v>404</v>
      </c>
      <c r="C63" t="s">
        <v>295</v>
      </c>
      <c r="D63" t="s">
        <v>296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  <c r="BR63">
        <v>65871</v>
      </c>
    </row>
    <row r="64" spans="1:70" x14ac:dyDescent="0.35">
      <c r="A64" t="s">
        <v>176</v>
      </c>
      <c r="B64" t="s">
        <v>405</v>
      </c>
      <c r="C64" t="s">
        <v>295</v>
      </c>
      <c r="D64" t="s">
        <v>296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  <c r="BR64">
        <v>6009169</v>
      </c>
    </row>
    <row r="65" spans="1:70" x14ac:dyDescent="0.35">
      <c r="A65" t="s">
        <v>406</v>
      </c>
      <c r="B65" t="s">
        <v>407</v>
      </c>
      <c r="C65" t="s">
        <v>295</v>
      </c>
      <c r="D65" t="s">
        <v>296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  <c r="BR65">
        <v>11520487</v>
      </c>
    </row>
    <row r="66" spans="1:70" x14ac:dyDescent="0.35">
      <c r="A66" t="s">
        <v>408</v>
      </c>
      <c r="B66" t="s">
        <v>409</v>
      </c>
      <c r="C66" t="s">
        <v>295</v>
      </c>
      <c r="D66" t="s">
        <v>296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  <c r="BR66">
        <v>47435312</v>
      </c>
    </row>
    <row r="67" spans="1:70" x14ac:dyDescent="0.35">
      <c r="A67" t="s">
        <v>410</v>
      </c>
      <c r="B67" t="s">
        <v>411</v>
      </c>
      <c r="C67" t="s">
        <v>295</v>
      </c>
      <c r="D67" t="s">
        <v>296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  <c r="BR67">
        <v>2143908411</v>
      </c>
    </row>
    <row r="68" spans="1:70" x14ac:dyDescent="0.35">
      <c r="A68" t="s">
        <v>412</v>
      </c>
      <c r="B68" t="s">
        <v>413</v>
      </c>
      <c r="C68" t="s">
        <v>295</v>
      </c>
      <c r="D68" t="s">
        <v>296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3552306404</v>
      </c>
      <c r="BR68">
        <v>3592750579</v>
      </c>
    </row>
    <row r="69" spans="1:70" x14ac:dyDescent="0.35">
      <c r="A69" t="s">
        <v>414</v>
      </c>
      <c r="B69" t="s">
        <v>415</v>
      </c>
      <c r="C69" t="s">
        <v>295</v>
      </c>
      <c r="D69" t="s">
        <v>296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2359762190</v>
      </c>
      <c r="BM69">
        <v>2369420882</v>
      </c>
      <c r="BN69">
        <v>2375117716</v>
      </c>
      <c r="BO69">
        <v>2379617118</v>
      </c>
      <c r="BP69">
        <v>2384441485</v>
      </c>
      <c r="BQ69">
        <v>2388319468</v>
      </c>
      <c r="BR69">
        <v>2390873921</v>
      </c>
    </row>
    <row r="70" spans="1:70" x14ac:dyDescent="0.35">
      <c r="A70" t="s">
        <v>416</v>
      </c>
      <c r="B70" t="s">
        <v>417</v>
      </c>
      <c r="C70" t="s">
        <v>295</v>
      </c>
      <c r="D70" t="s">
        <v>296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233875199</v>
      </c>
      <c r="BF70">
        <v>235905150</v>
      </c>
      <c r="BG70">
        <v>237999321</v>
      </c>
      <c r="BH70">
        <v>240083379</v>
      </c>
      <c r="BI70">
        <v>242224182</v>
      </c>
      <c r="BJ70">
        <v>244308649</v>
      </c>
      <c r="BK70">
        <v>246400484</v>
      </c>
      <c r="BL70">
        <v>248576676</v>
      </c>
      <c r="BM70">
        <v>250351240</v>
      </c>
      <c r="BN70">
        <v>251867727</v>
      </c>
      <c r="BO70">
        <v>250514347</v>
      </c>
      <c r="BP70">
        <v>248718948</v>
      </c>
      <c r="BQ70">
        <v>250394482</v>
      </c>
      <c r="BR70">
        <v>253280471</v>
      </c>
    </row>
    <row r="71" spans="1:70" x14ac:dyDescent="0.35">
      <c r="A71" t="s">
        <v>418</v>
      </c>
      <c r="B71" t="s">
        <v>419</v>
      </c>
      <c r="C71" t="s">
        <v>295</v>
      </c>
      <c r="D71" t="s">
        <v>296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819874111</v>
      </c>
      <c r="AE71">
        <v>825034696</v>
      </c>
      <c r="AF71">
        <v>830294806</v>
      </c>
      <c r="AG71">
        <v>835601588</v>
      </c>
      <c r="AH71">
        <v>840881507</v>
      </c>
      <c r="AI71">
        <v>845290252</v>
      </c>
      <c r="AJ71">
        <v>849169385</v>
      </c>
      <c r="AK71">
        <v>852664501</v>
      </c>
      <c r="AL71">
        <v>855554222</v>
      </c>
      <c r="AM71">
        <v>857724587</v>
      </c>
      <c r="AN71">
        <v>859504754</v>
      </c>
      <c r="AO71">
        <v>861073426</v>
      </c>
      <c r="AP71">
        <v>862335057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887741127</v>
      </c>
      <c r="BC71">
        <v>890990370</v>
      </c>
      <c r="BD71">
        <v>893009594</v>
      </c>
      <c r="BE71">
        <v>896514509</v>
      </c>
      <c r="BF71">
        <v>899906171</v>
      </c>
      <c r="BG71">
        <v>903560070</v>
      </c>
      <c r="BH71">
        <v>907526485</v>
      </c>
      <c r="BI71">
        <v>911578015</v>
      </c>
      <c r="BJ71">
        <v>915063823</v>
      </c>
      <c r="BK71">
        <v>918415818</v>
      </c>
      <c r="BL71">
        <v>921929161</v>
      </c>
      <c r="BM71">
        <v>923660463</v>
      </c>
      <c r="BN71">
        <v>924375980</v>
      </c>
      <c r="BO71">
        <v>924267385</v>
      </c>
      <c r="BP71">
        <v>924805070</v>
      </c>
      <c r="BQ71">
        <v>928566925</v>
      </c>
      <c r="BR71">
        <v>932525035</v>
      </c>
    </row>
    <row r="72" spans="1:70" x14ac:dyDescent="0.35">
      <c r="A72" t="s">
        <v>420</v>
      </c>
      <c r="B72" t="s">
        <v>421</v>
      </c>
      <c r="C72" t="s">
        <v>295</v>
      </c>
      <c r="D72" t="s">
        <v>296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  <c r="BR72">
        <v>18289896</v>
      </c>
    </row>
    <row r="73" spans="1:70" x14ac:dyDescent="0.35">
      <c r="A73" t="s">
        <v>422</v>
      </c>
      <c r="B73" t="s">
        <v>423</v>
      </c>
      <c r="C73" t="s">
        <v>295</v>
      </c>
      <c r="D73" t="s">
        <v>296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  <c r="BR73">
        <v>118365995</v>
      </c>
    </row>
    <row r="74" spans="1:70" x14ac:dyDescent="0.35">
      <c r="A74" t="s">
        <v>424</v>
      </c>
      <c r="B74" t="s">
        <v>425</v>
      </c>
      <c r="C74" t="s">
        <v>295</v>
      </c>
      <c r="D74" t="s">
        <v>296</v>
      </c>
      <c r="E74">
        <v>278016344</v>
      </c>
      <c r="F74">
        <v>280416069</v>
      </c>
      <c r="G74">
        <v>282828128</v>
      </c>
      <c r="H74">
        <v>285283493</v>
      </c>
      <c r="I74">
        <v>287765396</v>
      </c>
      <c r="J74">
        <v>290232515</v>
      </c>
      <c r="K74">
        <v>292557254</v>
      </c>
      <c r="L74">
        <v>294608732</v>
      </c>
      <c r="M74">
        <v>296575774</v>
      </c>
      <c r="N74">
        <v>298613550</v>
      </c>
      <c r="O74">
        <v>300323930</v>
      </c>
      <c r="P74">
        <v>302052492</v>
      </c>
      <c r="Q74">
        <v>304103642</v>
      </c>
      <c r="R74">
        <v>306034619</v>
      </c>
      <c r="S74">
        <v>307743890</v>
      </c>
      <c r="T74">
        <v>309237468</v>
      </c>
      <c r="U74">
        <v>310562923</v>
      </c>
      <c r="V74">
        <v>311825940</v>
      </c>
      <c r="W74">
        <v>313089118</v>
      </c>
      <c r="X74">
        <v>314367485</v>
      </c>
      <c r="Y74">
        <v>315755875</v>
      </c>
      <c r="Z74">
        <v>317018538</v>
      </c>
      <c r="AA74">
        <v>317818582</v>
      </c>
      <c r="AB74">
        <v>318483193</v>
      </c>
      <c r="AC74">
        <v>319007137</v>
      </c>
      <c r="AD74">
        <v>319578206</v>
      </c>
      <c r="AE74">
        <v>320330899</v>
      </c>
      <c r="AF74">
        <v>321194407</v>
      </c>
      <c r="AG74">
        <v>322253968</v>
      </c>
      <c r="AH74">
        <v>323511047</v>
      </c>
      <c r="AI74">
        <v>324805296</v>
      </c>
      <c r="AJ74">
        <v>326040277</v>
      </c>
      <c r="AK74">
        <v>327283137</v>
      </c>
      <c r="AL74">
        <v>328525489</v>
      </c>
      <c r="AM74">
        <v>329467622</v>
      </c>
      <c r="AN74">
        <v>330214252</v>
      </c>
      <c r="AO74">
        <v>330931209</v>
      </c>
      <c r="AP74">
        <v>331618343</v>
      </c>
      <c r="AQ74">
        <v>332233144</v>
      </c>
      <c r="AR74">
        <v>332992575</v>
      </c>
      <c r="AS74">
        <v>333959803</v>
      </c>
      <c r="AT74">
        <v>334870337</v>
      </c>
      <c r="AU74">
        <v>336306839</v>
      </c>
      <c r="AV74">
        <v>338061667</v>
      </c>
      <c r="AW74">
        <v>339856977</v>
      </c>
      <c r="AX74">
        <v>341556724</v>
      </c>
      <c r="AY74">
        <v>343100724</v>
      </c>
      <c r="AZ74">
        <v>344828323</v>
      </c>
      <c r="BA74">
        <v>346471036</v>
      </c>
      <c r="BB74">
        <v>347581287</v>
      </c>
      <c r="BC74">
        <v>348398403</v>
      </c>
      <c r="BD74">
        <v>347715695</v>
      </c>
      <c r="BE74">
        <v>348406547</v>
      </c>
      <c r="BF74">
        <v>348799535</v>
      </c>
      <c r="BG74">
        <v>349302135</v>
      </c>
      <c r="BH74">
        <v>350164707</v>
      </c>
      <c r="BI74">
        <v>351027116</v>
      </c>
      <c r="BJ74">
        <v>351613647</v>
      </c>
      <c r="BK74">
        <v>352303991</v>
      </c>
      <c r="BL74">
        <v>353113327</v>
      </c>
      <c r="BM74">
        <v>353536838</v>
      </c>
      <c r="BN74">
        <v>353715415</v>
      </c>
      <c r="BO74">
        <v>354666175</v>
      </c>
      <c r="BP74">
        <v>356209318</v>
      </c>
      <c r="BQ74">
        <v>357603357</v>
      </c>
      <c r="BR74">
        <v>358664361</v>
      </c>
    </row>
    <row r="75" spans="1:70" x14ac:dyDescent="0.35">
      <c r="A75" t="s">
        <v>426</v>
      </c>
      <c r="B75" t="s">
        <v>427</v>
      </c>
      <c r="C75" t="s">
        <v>295</v>
      </c>
      <c r="D75" t="s">
        <v>296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  <c r="BR75">
        <v>3607003</v>
      </c>
    </row>
    <row r="76" spans="1:70" x14ac:dyDescent="0.35">
      <c r="A76" t="s">
        <v>250</v>
      </c>
      <c r="B76" t="s">
        <v>428</v>
      </c>
      <c r="C76" t="s">
        <v>295</v>
      </c>
      <c r="D76" t="s">
        <v>296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48352528</v>
      </c>
      <c r="BQ76">
        <v>48848840</v>
      </c>
      <c r="BR76">
        <v>49355143</v>
      </c>
    </row>
    <row r="77" spans="1:70" x14ac:dyDescent="0.35">
      <c r="A77" t="s">
        <v>429</v>
      </c>
      <c r="B77" t="s">
        <v>430</v>
      </c>
      <c r="C77" t="s">
        <v>295</v>
      </c>
      <c r="D77" t="s">
        <v>296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1372341</v>
      </c>
      <c r="BR77">
        <v>1366475</v>
      </c>
    </row>
    <row r="78" spans="1:70" x14ac:dyDescent="0.35">
      <c r="A78" t="s">
        <v>431</v>
      </c>
      <c r="B78" t="s">
        <v>432</v>
      </c>
      <c r="C78" t="s">
        <v>295</v>
      </c>
      <c r="D78" t="s">
        <v>296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  <c r="BR78">
        <v>135472051</v>
      </c>
    </row>
    <row r="79" spans="1:70" x14ac:dyDescent="0.35">
      <c r="A79" t="s">
        <v>433</v>
      </c>
      <c r="B79" t="s">
        <v>434</v>
      </c>
      <c r="C79" t="s">
        <v>295</v>
      </c>
      <c r="D79" t="s">
        <v>296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446058453</v>
      </c>
      <c r="BL79">
        <v>446910453</v>
      </c>
      <c r="BM79">
        <v>446870959</v>
      </c>
      <c r="BN79">
        <v>446228281</v>
      </c>
      <c r="BO79">
        <v>447203596</v>
      </c>
      <c r="BP79">
        <v>448897545</v>
      </c>
      <c r="BQ79">
        <v>450228188</v>
      </c>
      <c r="BR79">
        <v>451127411</v>
      </c>
    </row>
    <row r="80" spans="1:70" x14ac:dyDescent="0.35">
      <c r="A80" t="s">
        <v>251</v>
      </c>
      <c r="B80" t="s">
        <v>435</v>
      </c>
      <c r="C80" t="s">
        <v>295</v>
      </c>
      <c r="D80" t="s">
        <v>296</v>
      </c>
      <c r="E80">
        <v>4429634</v>
      </c>
      <c r="F80">
        <v>4461005</v>
      </c>
      <c r="G80">
        <v>4491443</v>
      </c>
      <c r="H80">
        <v>4523309</v>
      </c>
      <c r="I80">
        <v>4548543</v>
      </c>
      <c r="J80">
        <v>4563732</v>
      </c>
      <c r="K80">
        <v>4580869</v>
      </c>
      <c r="L80">
        <v>4605744</v>
      </c>
      <c r="M80">
        <v>4626469</v>
      </c>
      <c r="N80">
        <v>4623785</v>
      </c>
      <c r="O80">
        <v>4606307</v>
      </c>
      <c r="P80">
        <v>4612124</v>
      </c>
      <c r="Q80">
        <v>4639657</v>
      </c>
      <c r="R80">
        <v>4666081</v>
      </c>
      <c r="S80">
        <v>4690574</v>
      </c>
      <c r="T80">
        <v>4711440</v>
      </c>
      <c r="U80">
        <v>4725664</v>
      </c>
      <c r="V80">
        <v>4738902</v>
      </c>
      <c r="W80">
        <v>4752528</v>
      </c>
      <c r="X80">
        <v>4764690</v>
      </c>
      <c r="Y80">
        <v>4779535</v>
      </c>
      <c r="Z80">
        <v>4799964</v>
      </c>
      <c r="AA80">
        <v>4826933</v>
      </c>
      <c r="AB80">
        <v>4855787</v>
      </c>
      <c r="AC80">
        <v>4881803</v>
      </c>
      <c r="AD80">
        <v>4902206</v>
      </c>
      <c r="AE80">
        <v>4918154</v>
      </c>
      <c r="AF80">
        <v>4932123</v>
      </c>
      <c r="AG80">
        <v>4946481</v>
      </c>
      <c r="AH80">
        <v>4964371</v>
      </c>
      <c r="AI80">
        <v>4986431</v>
      </c>
      <c r="AJ80">
        <v>5013740</v>
      </c>
      <c r="AK80">
        <v>5041992</v>
      </c>
      <c r="AL80">
        <v>5066447</v>
      </c>
      <c r="AM80">
        <v>5088333</v>
      </c>
      <c r="AN80">
        <v>5107790</v>
      </c>
      <c r="AO80">
        <v>5124573</v>
      </c>
      <c r="AP80">
        <v>5139835</v>
      </c>
      <c r="AQ80">
        <v>5153498</v>
      </c>
      <c r="AR80">
        <v>5165474</v>
      </c>
      <c r="AS80">
        <v>5176209</v>
      </c>
      <c r="AT80">
        <v>5188008</v>
      </c>
      <c r="AU80">
        <v>5200598</v>
      </c>
      <c r="AV80">
        <v>5213014</v>
      </c>
      <c r="AW80">
        <v>5228172</v>
      </c>
      <c r="AX80">
        <v>5246096</v>
      </c>
      <c r="AY80">
        <v>5266268</v>
      </c>
      <c r="AZ80">
        <v>5288720</v>
      </c>
      <c r="BA80">
        <v>5313399</v>
      </c>
      <c r="BB80">
        <v>5338871</v>
      </c>
      <c r="BC80">
        <v>5363352</v>
      </c>
      <c r="BD80">
        <v>5388272</v>
      </c>
      <c r="BE80">
        <v>5413971</v>
      </c>
      <c r="BF80">
        <v>5438972</v>
      </c>
      <c r="BG80">
        <v>5461512</v>
      </c>
      <c r="BH80">
        <v>5479531</v>
      </c>
      <c r="BI80">
        <v>5495303</v>
      </c>
      <c r="BJ80">
        <v>5508214</v>
      </c>
      <c r="BK80">
        <v>5515525</v>
      </c>
      <c r="BL80">
        <v>5521606</v>
      </c>
      <c r="BM80">
        <v>5529543</v>
      </c>
      <c r="BN80">
        <v>5541017</v>
      </c>
      <c r="BO80">
        <v>5556106</v>
      </c>
      <c r="BP80">
        <v>5583911</v>
      </c>
      <c r="BQ80">
        <v>5619911</v>
      </c>
      <c r="BR80">
        <v>5646436</v>
      </c>
    </row>
    <row r="81" spans="1:70" x14ac:dyDescent="0.35">
      <c r="A81" t="s">
        <v>436</v>
      </c>
      <c r="B81" t="s">
        <v>437</v>
      </c>
      <c r="C81" t="s">
        <v>295</v>
      </c>
      <c r="D81" t="s">
        <v>296</v>
      </c>
      <c r="E81">
        <v>404887</v>
      </c>
      <c r="F81">
        <v>417406</v>
      </c>
      <c r="G81">
        <v>430536</v>
      </c>
      <c r="H81">
        <v>444276</v>
      </c>
      <c r="I81">
        <v>458324</v>
      </c>
      <c r="J81">
        <v>472575</v>
      </c>
      <c r="K81">
        <v>486487</v>
      </c>
      <c r="L81">
        <v>498873</v>
      </c>
      <c r="M81">
        <v>510002</v>
      </c>
      <c r="N81">
        <v>520797</v>
      </c>
      <c r="O81">
        <v>531188</v>
      </c>
      <c r="P81">
        <v>541121</v>
      </c>
      <c r="Q81">
        <v>550499</v>
      </c>
      <c r="R81">
        <v>559222</v>
      </c>
      <c r="S81">
        <v>567489</v>
      </c>
      <c r="T81">
        <v>575906</v>
      </c>
      <c r="U81">
        <v>585534</v>
      </c>
      <c r="V81">
        <v>597805</v>
      </c>
      <c r="W81">
        <v>612091</v>
      </c>
      <c r="X81">
        <v>626862</v>
      </c>
      <c r="Y81">
        <v>641975</v>
      </c>
      <c r="Z81">
        <v>657471</v>
      </c>
      <c r="AA81">
        <v>673414</v>
      </c>
      <c r="AB81">
        <v>689835</v>
      </c>
      <c r="AC81">
        <v>706716</v>
      </c>
      <c r="AD81">
        <v>723761</v>
      </c>
      <c r="AE81">
        <v>739306</v>
      </c>
      <c r="AF81">
        <v>750540</v>
      </c>
      <c r="AG81">
        <v>758697</v>
      </c>
      <c r="AH81">
        <v>766321</v>
      </c>
      <c r="AI81">
        <v>773316</v>
      </c>
      <c r="AJ81">
        <v>779656</v>
      </c>
      <c r="AK81">
        <v>785346</v>
      </c>
      <c r="AL81">
        <v>790369</v>
      </c>
      <c r="AM81">
        <v>794771</v>
      </c>
      <c r="AN81">
        <v>798746</v>
      </c>
      <c r="AO81">
        <v>803789</v>
      </c>
      <c r="AP81">
        <v>812139</v>
      </c>
      <c r="AQ81">
        <v>822258</v>
      </c>
      <c r="AR81">
        <v>831828</v>
      </c>
      <c r="AS81">
        <v>840909</v>
      </c>
      <c r="AT81">
        <v>849596</v>
      </c>
      <c r="AU81">
        <v>858049</v>
      </c>
      <c r="AV81">
        <v>866286</v>
      </c>
      <c r="AW81">
        <v>874366</v>
      </c>
      <c r="AX81">
        <v>882379</v>
      </c>
      <c r="AY81">
        <v>890365</v>
      </c>
      <c r="AZ81">
        <v>897832</v>
      </c>
      <c r="BA81">
        <v>903399</v>
      </c>
      <c r="BB81">
        <v>907239</v>
      </c>
      <c r="BC81">
        <v>910419</v>
      </c>
      <c r="BD81">
        <v>912989</v>
      </c>
      <c r="BE81">
        <v>914918</v>
      </c>
      <c r="BF81">
        <v>916352</v>
      </c>
      <c r="BG81">
        <v>917585</v>
      </c>
      <c r="BH81">
        <v>918578</v>
      </c>
      <c r="BI81">
        <v>919166</v>
      </c>
      <c r="BJ81">
        <v>918759</v>
      </c>
      <c r="BK81">
        <v>917180</v>
      </c>
      <c r="BL81">
        <v>914899</v>
      </c>
      <c r="BM81">
        <v>914963</v>
      </c>
      <c r="BN81">
        <v>916711</v>
      </c>
      <c r="BO81">
        <v>919422</v>
      </c>
      <c r="BP81">
        <v>924145</v>
      </c>
      <c r="BQ81">
        <v>928784</v>
      </c>
      <c r="BR81">
        <v>933154</v>
      </c>
    </row>
    <row r="82" spans="1:70" x14ac:dyDescent="0.35">
      <c r="A82" t="s">
        <v>253</v>
      </c>
      <c r="B82" t="s">
        <v>438</v>
      </c>
      <c r="C82" t="s">
        <v>295</v>
      </c>
      <c r="D82" t="s">
        <v>296</v>
      </c>
      <c r="E82">
        <v>47412964</v>
      </c>
      <c r="F82">
        <v>47905982</v>
      </c>
      <c r="G82">
        <v>48389516</v>
      </c>
      <c r="H82">
        <v>48877567</v>
      </c>
      <c r="I82">
        <v>49401492</v>
      </c>
      <c r="J82">
        <v>49877725</v>
      </c>
      <c r="K82">
        <v>50311637</v>
      </c>
      <c r="L82">
        <v>50722791</v>
      </c>
      <c r="M82">
        <v>51112980</v>
      </c>
      <c r="N82">
        <v>51536014</v>
      </c>
      <c r="O82">
        <v>52007169</v>
      </c>
      <c r="P82">
        <v>52499553</v>
      </c>
      <c r="Q82">
        <v>52962356</v>
      </c>
      <c r="R82">
        <v>53392161</v>
      </c>
      <c r="S82">
        <v>53746571</v>
      </c>
      <c r="T82">
        <v>54002853</v>
      </c>
      <c r="U82">
        <v>54232383</v>
      </c>
      <c r="V82">
        <v>54486467</v>
      </c>
      <c r="W82">
        <v>54734030</v>
      </c>
      <c r="X82">
        <v>54979851</v>
      </c>
      <c r="Y82">
        <v>55274184</v>
      </c>
      <c r="Z82">
        <v>55603353</v>
      </c>
      <c r="AA82">
        <v>55806789</v>
      </c>
      <c r="AB82">
        <v>56108330</v>
      </c>
      <c r="AC82">
        <v>56383085</v>
      </c>
      <c r="AD82">
        <v>56665619</v>
      </c>
      <c r="AE82">
        <v>56956002</v>
      </c>
      <c r="AF82">
        <v>57266167</v>
      </c>
      <c r="AG82">
        <v>57598186</v>
      </c>
      <c r="AH82">
        <v>57943062</v>
      </c>
      <c r="AI82">
        <v>58261012</v>
      </c>
      <c r="AJ82">
        <v>58554242</v>
      </c>
      <c r="AK82">
        <v>58846584</v>
      </c>
      <c r="AL82">
        <v>59103094</v>
      </c>
      <c r="AM82">
        <v>59324863</v>
      </c>
      <c r="AN82">
        <v>59541294</v>
      </c>
      <c r="AO82">
        <v>59754504</v>
      </c>
      <c r="AP82">
        <v>59968066</v>
      </c>
      <c r="AQ82">
        <v>60190684</v>
      </c>
      <c r="AR82">
        <v>60501986</v>
      </c>
      <c r="AS82">
        <v>60918661</v>
      </c>
      <c r="AT82">
        <v>61364377</v>
      </c>
      <c r="AU82">
        <v>61812142</v>
      </c>
      <c r="AV82">
        <v>62249855</v>
      </c>
      <c r="AW82">
        <v>62707588</v>
      </c>
      <c r="AX82">
        <v>63180854</v>
      </c>
      <c r="AY82">
        <v>63622342</v>
      </c>
      <c r="AZ82">
        <v>64016890</v>
      </c>
      <c r="BA82">
        <v>64375116</v>
      </c>
      <c r="BB82">
        <v>64706436</v>
      </c>
      <c r="BC82">
        <v>65026211</v>
      </c>
      <c r="BD82">
        <v>65340830</v>
      </c>
      <c r="BE82">
        <v>65657659</v>
      </c>
      <c r="BF82">
        <v>65997932</v>
      </c>
      <c r="BG82">
        <v>66312067</v>
      </c>
      <c r="BH82">
        <v>66548272</v>
      </c>
      <c r="BI82">
        <v>66724104</v>
      </c>
      <c r="BJ82">
        <v>66918020</v>
      </c>
      <c r="BK82">
        <v>67158348</v>
      </c>
      <c r="BL82">
        <v>67382061</v>
      </c>
      <c r="BM82">
        <v>67601110</v>
      </c>
      <c r="BN82">
        <v>67842811</v>
      </c>
      <c r="BO82">
        <v>68184457</v>
      </c>
      <c r="BP82">
        <v>68372286</v>
      </c>
      <c r="BQ82">
        <v>68551653</v>
      </c>
      <c r="BR82">
        <v>68720337</v>
      </c>
    </row>
    <row r="83" spans="1:70" x14ac:dyDescent="0.35">
      <c r="A83" t="s">
        <v>439</v>
      </c>
      <c r="B83" t="s">
        <v>440</v>
      </c>
      <c r="C83" t="s">
        <v>295</v>
      </c>
      <c r="D83" t="s">
        <v>296</v>
      </c>
      <c r="E83">
        <v>34127</v>
      </c>
      <c r="F83">
        <v>34557</v>
      </c>
      <c r="G83">
        <v>34963</v>
      </c>
      <c r="H83">
        <v>35391</v>
      </c>
      <c r="I83">
        <v>35847</v>
      </c>
      <c r="J83">
        <v>36347</v>
      </c>
      <c r="K83">
        <v>36816</v>
      </c>
      <c r="L83">
        <v>37202</v>
      </c>
      <c r="M83">
        <v>37560</v>
      </c>
      <c r="N83">
        <v>37907</v>
      </c>
      <c r="O83">
        <v>38269</v>
      </c>
      <c r="P83">
        <v>38703</v>
      </c>
      <c r="Q83">
        <v>39172</v>
      </c>
      <c r="R83">
        <v>39636</v>
      </c>
      <c r="S83">
        <v>40106</v>
      </c>
      <c r="T83">
        <v>40568</v>
      </c>
      <c r="U83">
        <v>41020</v>
      </c>
      <c r="V83">
        <v>41468</v>
      </c>
      <c r="W83">
        <v>41968</v>
      </c>
      <c r="X83">
        <v>42521</v>
      </c>
      <c r="Y83">
        <v>43072</v>
      </c>
      <c r="Z83">
        <v>43626</v>
      </c>
      <c r="AA83">
        <v>44171</v>
      </c>
      <c r="AB83">
        <v>44670</v>
      </c>
      <c r="AC83">
        <v>45141</v>
      </c>
      <c r="AD83">
        <v>45709</v>
      </c>
      <c r="AE83">
        <v>46132</v>
      </c>
      <c r="AF83">
        <v>46702</v>
      </c>
      <c r="AG83">
        <v>47356</v>
      </c>
      <c r="AH83">
        <v>47959</v>
      </c>
      <c r="AI83">
        <v>47741</v>
      </c>
      <c r="AJ83">
        <v>47447</v>
      </c>
      <c r="AK83">
        <v>47287</v>
      </c>
      <c r="AL83">
        <v>46474</v>
      </c>
      <c r="AM83">
        <v>44695</v>
      </c>
      <c r="AN83">
        <v>43611</v>
      </c>
      <c r="AO83">
        <v>43581</v>
      </c>
      <c r="AP83">
        <v>44132</v>
      </c>
      <c r="AQ83">
        <v>44674</v>
      </c>
      <c r="AR83">
        <v>45146</v>
      </c>
      <c r="AS83">
        <v>45754</v>
      </c>
      <c r="AT83">
        <v>46635</v>
      </c>
      <c r="AU83">
        <v>47335</v>
      </c>
      <c r="AV83">
        <v>48032</v>
      </c>
      <c r="AW83">
        <v>48384</v>
      </c>
      <c r="AX83">
        <v>48359</v>
      </c>
      <c r="AY83">
        <v>48335</v>
      </c>
      <c r="AZ83">
        <v>48378</v>
      </c>
      <c r="BA83">
        <v>48547</v>
      </c>
      <c r="BB83">
        <v>48790</v>
      </c>
      <c r="BC83">
        <v>48656</v>
      </c>
      <c r="BD83">
        <v>48542</v>
      </c>
      <c r="BE83">
        <v>48290</v>
      </c>
      <c r="BF83">
        <v>48245</v>
      </c>
      <c r="BG83">
        <v>48427</v>
      </c>
      <c r="BH83">
        <v>48898</v>
      </c>
      <c r="BI83">
        <v>49463</v>
      </c>
      <c r="BJ83">
        <v>50179</v>
      </c>
      <c r="BK83">
        <v>50997</v>
      </c>
      <c r="BL83">
        <v>51790</v>
      </c>
      <c r="BM83">
        <v>52561</v>
      </c>
      <c r="BN83">
        <v>53291</v>
      </c>
      <c r="BO83">
        <v>53903</v>
      </c>
      <c r="BP83">
        <v>54398</v>
      </c>
      <c r="BQ83">
        <v>54640</v>
      </c>
      <c r="BR83">
        <v>54900</v>
      </c>
    </row>
    <row r="84" spans="1:70" x14ac:dyDescent="0.35">
      <c r="A84" t="s">
        <v>441</v>
      </c>
      <c r="B84" t="s">
        <v>442</v>
      </c>
      <c r="C84" t="s">
        <v>295</v>
      </c>
      <c r="D84" t="s">
        <v>296</v>
      </c>
      <c r="E84">
        <v>43061</v>
      </c>
      <c r="F84">
        <v>44610</v>
      </c>
      <c r="G84">
        <v>46218</v>
      </c>
      <c r="H84">
        <v>47744</v>
      </c>
      <c r="I84">
        <v>49181</v>
      </c>
      <c r="J84">
        <v>50684</v>
      </c>
      <c r="K84">
        <v>52258</v>
      </c>
      <c r="L84">
        <v>53846</v>
      </c>
      <c r="M84">
        <v>55457</v>
      </c>
      <c r="N84">
        <v>57145</v>
      </c>
      <c r="O84">
        <v>58922</v>
      </c>
      <c r="P84">
        <v>60636</v>
      </c>
      <c r="Q84">
        <v>62278</v>
      </c>
      <c r="R84">
        <v>63986</v>
      </c>
      <c r="S84">
        <v>65749</v>
      </c>
      <c r="T84">
        <v>67428</v>
      </c>
      <c r="U84">
        <v>69049</v>
      </c>
      <c r="V84">
        <v>70753</v>
      </c>
      <c r="W84">
        <v>72754</v>
      </c>
      <c r="X84">
        <v>75054</v>
      </c>
      <c r="Y84">
        <v>77407</v>
      </c>
      <c r="Z84">
        <v>79794</v>
      </c>
      <c r="AA84">
        <v>82219</v>
      </c>
      <c r="AB84">
        <v>84680</v>
      </c>
      <c r="AC84">
        <v>87176</v>
      </c>
      <c r="AD84">
        <v>89707</v>
      </c>
      <c r="AE84">
        <v>92266</v>
      </c>
      <c r="AF84">
        <v>94844</v>
      </c>
      <c r="AG84">
        <v>97097</v>
      </c>
      <c r="AH84">
        <v>99003</v>
      </c>
      <c r="AI84">
        <v>100888</v>
      </c>
      <c r="AJ84">
        <v>102754</v>
      </c>
      <c r="AK84">
        <v>104806</v>
      </c>
      <c r="AL84">
        <v>107066</v>
      </c>
      <c r="AM84">
        <v>109075</v>
      </c>
      <c r="AN84">
        <v>110230</v>
      </c>
      <c r="AO84">
        <v>110710</v>
      </c>
      <c r="AP84">
        <v>111071</v>
      </c>
      <c r="AQ84">
        <v>111377</v>
      </c>
      <c r="AR84">
        <v>111680</v>
      </c>
      <c r="AS84">
        <v>112044</v>
      </c>
      <c r="AT84">
        <v>112365</v>
      </c>
      <c r="AU84">
        <v>112448</v>
      </c>
      <c r="AV84">
        <v>112285</v>
      </c>
      <c r="AW84">
        <v>111925</v>
      </c>
      <c r="AX84">
        <v>111412</v>
      </c>
      <c r="AY84">
        <v>110729</v>
      </c>
      <c r="AZ84">
        <v>109880</v>
      </c>
      <c r="BA84">
        <v>108936</v>
      </c>
      <c r="BB84">
        <v>107957</v>
      </c>
      <c r="BC84">
        <v>107540</v>
      </c>
      <c r="BD84">
        <v>107698</v>
      </c>
      <c r="BE84">
        <v>107890</v>
      </c>
      <c r="BF84">
        <v>108121</v>
      </c>
      <c r="BG84">
        <v>108396</v>
      </c>
      <c r="BH84">
        <v>108716</v>
      </c>
      <c r="BI84">
        <v>109075</v>
      </c>
      <c r="BJ84">
        <v>109481</v>
      </c>
      <c r="BK84">
        <v>109909</v>
      </c>
      <c r="BL84">
        <v>110282</v>
      </c>
      <c r="BM84">
        <v>110916</v>
      </c>
      <c r="BN84">
        <v>111624</v>
      </c>
      <c r="BO84">
        <v>112114</v>
      </c>
      <c r="BP84">
        <v>112630</v>
      </c>
      <c r="BQ84">
        <v>113160</v>
      </c>
      <c r="BR84">
        <v>113683</v>
      </c>
    </row>
    <row r="85" spans="1:70" x14ac:dyDescent="0.35">
      <c r="A85" t="s">
        <v>443</v>
      </c>
      <c r="B85" t="s">
        <v>444</v>
      </c>
      <c r="C85" t="s">
        <v>295</v>
      </c>
      <c r="D85" t="s">
        <v>296</v>
      </c>
      <c r="E85">
        <v>512316</v>
      </c>
      <c r="F85">
        <v>518266</v>
      </c>
      <c r="G85">
        <v>524649</v>
      </c>
      <c r="H85">
        <v>531452</v>
      </c>
      <c r="I85">
        <v>538657</v>
      </c>
      <c r="J85">
        <v>546308</v>
      </c>
      <c r="K85">
        <v>554463</v>
      </c>
      <c r="L85">
        <v>563108</v>
      </c>
      <c r="M85">
        <v>572257</v>
      </c>
      <c r="N85">
        <v>583276</v>
      </c>
      <c r="O85">
        <v>595846</v>
      </c>
      <c r="P85">
        <v>608348</v>
      </c>
      <c r="Q85">
        <v>620960</v>
      </c>
      <c r="R85">
        <v>633995</v>
      </c>
      <c r="S85">
        <v>647691</v>
      </c>
      <c r="T85">
        <v>662197</v>
      </c>
      <c r="U85">
        <v>677628</v>
      </c>
      <c r="V85">
        <v>693984</v>
      </c>
      <c r="W85">
        <v>711245</v>
      </c>
      <c r="X85">
        <v>729375</v>
      </c>
      <c r="Y85">
        <v>748389</v>
      </c>
      <c r="Z85">
        <v>768385</v>
      </c>
      <c r="AA85">
        <v>789286</v>
      </c>
      <c r="AB85">
        <v>811005</v>
      </c>
      <c r="AC85">
        <v>833501</v>
      </c>
      <c r="AD85">
        <v>856726</v>
      </c>
      <c r="AE85">
        <v>880705</v>
      </c>
      <c r="AF85">
        <v>905479</v>
      </c>
      <c r="AG85">
        <v>931020</v>
      </c>
      <c r="AH85">
        <v>957138</v>
      </c>
      <c r="AI85">
        <v>983734</v>
      </c>
      <c r="AJ85">
        <v>1010818</v>
      </c>
      <c r="AK85">
        <v>1038380</v>
      </c>
      <c r="AL85">
        <v>1066405</v>
      </c>
      <c r="AM85">
        <v>1094720</v>
      </c>
      <c r="AN85">
        <v>1123213</v>
      </c>
      <c r="AO85">
        <v>1152015</v>
      </c>
      <c r="AP85">
        <v>1181439</v>
      </c>
      <c r="AQ85">
        <v>1211736</v>
      </c>
      <c r="AR85">
        <v>1243016</v>
      </c>
      <c r="AS85">
        <v>1275572</v>
      </c>
      <c r="AT85">
        <v>1309589</v>
      </c>
      <c r="AU85">
        <v>1345135</v>
      </c>
      <c r="AV85">
        <v>1382350</v>
      </c>
      <c r="AW85">
        <v>1421609</v>
      </c>
      <c r="AX85">
        <v>1463495</v>
      </c>
      <c r="AY85">
        <v>1508337</v>
      </c>
      <c r="AZ85">
        <v>1556237</v>
      </c>
      <c r="BA85">
        <v>1607175</v>
      </c>
      <c r="BB85">
        <v>1661556</v>
      </c>
      <c r="BC85">
        <v>1719879</v>
      </c>
      <c r="BD85">
        <v>1781985</v>
      </c>
      <c r="BE85">
        <v>1846889</v>
      </c>
      <c r="BF85">
        <v>1913059</v>
      </c>
      <c r="BG85">
        <v>1978399</v>
      </c>
      <c r="BH85">
        <v>2040989</v>
      </c>
      <c r="BI85">
        <v>2100306</v>
      </c>
      <c r="BJ85">
        <v>2156900</v>
      </c>
      <c r="BK85">
        <v>2212318</v>
      </c>
      <c r="BL85">
        <v>2267706</v>
      </c>
      <c r="BM85">
        <v>2322539</v>
      </c>
      <c r="BN85">
        <v>2376722</v>
      </c>
      <c r="BO85">
        <v>2430747</v>
      </c>
      <c r="BP85">
        <v>2484789</v>
      </c>
      <c r="BQ85">
        <v>2538952</v>
      </c>
      <c r="BR85">
        <v>2593130</v>
      </c>
    </row>
    <row r="86" spans="1:70" x14ac:dyDescent="0.35">
      <c r="A86" t="s">
        <v>445</v>
      </c>
      <c r="B86" t="s">
        <v>446</v>
      </c>
      <c r="C86" t="s">
        <v>295</v>
      </c>
      <c r="D86" t="s">
        <v>296</v>
      </c>
      <c r="E86">
        <v>52400000</v>
      </c>
      <c r="F86">
        <v>52800000</v>
      </c>
      <c r="G86">
        <v>53250000</v>
      </c>
      <c r="H86">
        <v>53650000</v>
      </c>
      <c r="I86">
        <v>54000000</v>
      </c>
      <c r="J86">
        <v>54348050</v>
      </c>
      <c r="K86">
        <v>54648500</v>
      </c>
      <c r="L86">
        <v>54943600</v>
      </c>
      <c r="M86">
        <v>55211700</v>
      </c>
      <c r="N86">
        <v>55441750</v>
      </c>
      <c r="O86">
        <v>55663250</v>
      </c>
      <c r="P86">
        <v>55896223</v>
      </c>
      <c r="Q86">
        <v>56086065</v>
      </c>
      <c r="R86">
        <v>56194527</v>
      </c>
      <c r="S86">
        <v>56229974</v>
      </c>
      <c r="T86">
        <v>56225800</v>
      </c>
      <c r="U86">
        <v>56211968</v>
      </c>
      <c r="V86">
        <v>56193492</v>
      </c>
      <c r="W86">
        <v>56196504</v>
      </c>
      <c r="X86">
        <v>56246951</v>
      </c>
      <c r="Y86">
        <v>56314216</v>
      </c>
      <c r="Z86">
        <v>56333829</v>
      </c>
      <c r="AA86">
        <v>56313641</v>
      </c>
      <c r="AB86">
        <v>56332848</v>
      </c>
      <c r="AC86">
        <v>56422072</v>
      </c>
      <c r="AD86">
        <v>56550268</v>
      </c>
      <c r="AE86">
        <v>56681396</v>
      </c>
      <c r="AF86">
        <v>56802050</v>
      </c>
      <c r="AG86">
        <v>56928327</v>
      </c>
      <c r="AH86">
        <v>57076711</v>
      </c>
      <c r="AI86">
        <v>57247586</v>
      </c>
      <c r="AJ86">
        <v>57424897</v>
      </c>
      <c r="AK86">
        <v>57580402</v>
      </c>
      <c r="AL86">
        <v>57718614</v>
      </c>
      <c r="AM86">
        <v>57865745</v>
      </c>
      <c r="AN86">
        <v>58019030</v>
      </c>
      <c r="AO86">
        <v>58166950</v>
      </c>
      <c r="AP86">
        <v>58316954</v>
      </c>
      <c r="AQ86">
        <v>58487141</v>
      </c>
      <c r="AR86">
        <v>58682466</v>
      </c>
      <c r="AS86">
        <v>58892514</v>
      </c>
      <c r="AT86">
        <v>59119673</v>
      </c>
      <c r="AU86">
        <v>59370479</v>
      </c>
      <c r="AV86">
        <v>59647577</v>
      </c>
      <c r="AW86">
        <v>59987905</v>
      </c>
      <c r="AX86">
        <v>60401206</v>
      </c>
      <c r="AY86">
        <v>60846820</v>
      </c>
      <c r="AZ86">
        <v>61322463</v>
      </c>
      <c r="BA86">
        <v>61806995</v>
      </c>
      <c r="BB86">
        <v>62276270</v>
      </c>
      <c r="BC86">
        <v>62766365</v>
      </c>
      <c r="BD86">
        <v>63258810</v>
      </c>
      <c r="BE86">
        <v>63711000</v>
      </c>
      <c r="BF86">
        <v>64138000</v>
      </c>
      <c r="BG86">
        <v>64619000</v>
      </c>
      <c r="BH86">
        <v>65087000</v>
      </c>
      <c r="BI86">
        <v>65606000</v>
      </c>
      <c r="BJ86">
        <v>65964000</v>
      </c>
      <c r="BK86">
        <v>66287000</v>
      </c>
      <c r="BL86">
        <v>66628000</v>
      </c>
      <c r="BM86">
        <v>66740000</v>
      </c>
      <c r="BN86">
        <v>66978000</v>
      </c>
      <c r="BO86">
        <v>67636000</v>
      </c>
      <c r="BP86">
        <v>68526000</v>
      </c>
      <c r="BQ86">
        <v>69281000</v>
      </c>
      <c r="BR86">
        <v>69487000</v>
      </c>
    </row>
    <row r="87" spans="1:70" x14ac:dyDescent="0.35">
      <c r="A87" t="s">
        <v>447</v>
      </c>
      <c r="B87" t="s">
        <v>448</v>
      </c>
      <c r="C87" t="s">
        <v>295</v>
      </c>
      <c r="D87" t="s">
        <v>296</v>
      </c>
      <c r="E87">
        <v>3645600</v>
      </c>
      <c r="F87">
        <v>3703600</v>
      </c>
      <c r="G87">
        <v>3760300</v>
      </c>
      <c r="H87">
        <v>3816100</v>
      </c>
      <c r="I87">
        <v>3870300</v>
      </c>
      <c r="J87">
        <v>3921600</v>
      </c>
      <c r="K87">
        <v>3966700</v>
      </c>
      <c r="L87">
        <v>4005800</v>
      </c>
      <c r="M87">
        <v>4042300</v>
      </c>
      <c r="N87">
        <v>4080300</v>
      </c>
      <c r="O87">
        <v>4119900</v>
      </c>
      <c r="P87">
        <v>4163000</v>
      </c>
      <c r="Q87">
        <v>4205300</v>
      </c>
      <c r="R87">
        <v>4242500</v>
      </c>
      <c r="S87">
        <v>4279500</v>
      </c>
      <c r="T87">
        <v>4311200</v>
      </c>
      <c r="U87">
        <v>4342400</v>
      </c>
      <c r="V87">
        <v>4372100</v>
      </c>
      <c r="W87">
        <v>4397700</v>
      </c>
      <c r="X87">
        <v>4430200</v>
      </c>
      <c r="Y87">
        <v>4467700</v>
      </c>
      <c r="Z87">
        <v>4504500</v>
      </c>
      <c r="AA87">
        <v>4542800</v>
      </c>
      <c r="AB87">
        <v>4582900</v>
      </c>
      <c r="AC87">
        <v>4622200</v>
      </c>
      <c r="AD87">
        <v>4662900</v>
      </c>
      <c r="AE87">
        <v>4704500</v>
      </c>
      <c r="AF87">
        <v>4743500</v>
      </c>
      <c r="AG87">
        <v>4790700</v>
      </c>
      <c r="AH87">
        <v>4803300</v>
      </c>
      <c r="AI87">
        <v>4802000</v>
      </c>
      <c r="AJ87">
        <v>4835900</v>
      </c>
      <c r="AK87">
        <v>4873500</v>
      </c>
      <c r="AL87">
        <v>4911100</v>
      </c>
      <c r="AM87">
        <v>4836076</v>
      </c>
      <c r="AN87">
        <v>4657722</v>
      </c>
      <c r="AO87">
        <v>4491699</v>
      </c>
      <c r="AP87">
        <v>4349913</v>
      </c>
      <c r="AQ87">
        <v>4243607</v>
      </c>
      <c r="AR87">
        <v>4157192</v>
      </c>
      <c r="AS87">
        <v>4077131</v>
      </c>
      <c r="AT87">
        <v>4014373</v>
      </c>
      <c r="AU87">
        <v>3978515</v>
      </c>
      <c r="AV87">
        <v>3951736</v>
      </c>
      <c r="AW87">
        <v>3927340</v>
      </c>
      <c r="AX87">
        <v>3902469</v>
      </c>
      <c r="AY87">
        <v>3880347</v>
      </c>
      <c r="AZ87">
        <v>3860158</v>
      </c>
      <c r="BA87">
        <v>3848449</v>
      </c>
      <c r="BB87">
        <v>3814419</v>
      </c>
      <c r="BC87">
        <v>3786695</v>
      </c>
      <c r="BD87">
        <v>3756441</v>
      </c>
      <c r="BE87">
        <v>3728874</v>
      </c>
      <c r="BF87">
        <v>3717668</v>
      </c>
      <c r="BG87">
        <v>3719414</v>
      </c>
      <c r="BH87">
        <v>3725276</v>
      </c>
      <c r="BI87">
        <v>3727505</v>
      </c>
      <c r="BJ87">
        <v>3728004</v>
      </c>
      <c r="BK87">
        <v>3726549</v>
      </c>
      <c r="BL87">
        <v>3720161</v>
      </c>
      <c r="BM87">
        <v>3722716</v>
      </c>
      <c r="BN87">
        <v>3708610</v>
      </c>
      <c r="BO87">
        <v>3712502</v>
      </c>
      <c r="BP87">
        <v>3715483</v>
      </c>
      <c r="BQ87">
        <v>3812518</v>
      </c>
      <c r="BR87">
        <v>3935766</v>
      </c>
    </row>
    <row r="88" spans="1:70" x14ac:dyDescent="0.35">
      <c r="A88" t="s">
        <v>449</v>
      </c>
      <c r="B88" t="s">
        <v>450</v>
      </c>
      <c r="C88" t="s">
        <v>295</v>
      </c>
      <c r="D88" t="s">
        <v>296</v>
      </c>
      <c r="E88">
        <v>6961215</v>
      </c>
      <c r="F88">
        <v>7162667</v>
      </c>
      <c r="G88">
        <v>7337375</v>
      </c>
      <c r="H88">
        <v>7514714</v>
      </c>
      <c r="I88">
        <v>7695739</v>
      </c>
      <c r="J88">
        <v>7882606</v>
      </c>
      <c r="K88">
        <v>8074521</v>
      </c>
      <c r="L88">
        <v>8271913</v>
      </c>
      <c r="M88">
        <v>8475729</v>
      </c>
      <c r="N88">
        <v>8690383</v>
      </c>
      <c r="O88">
        <v>8925813</v>
      </c>
      <c r="P88">
        <v>9176264</v>
      </c>
      <c r="Q88">
        <v>9438187</v>
      </c>
      <c r="R88">
        <v>9714617</v>
      </c>
      <c r="S88">
        <v>10000523</v>
      </c>
      <c r="T88">
        <v>10294308</v>
      </c>
      <c r="U88">
        <v>10594913</v>
      </c>
      <c r="V88">
        <v>10911871</v>
      </c>
      <c r="W88">
        <v>11248450</v>
      </c>
      <c r="X88">
        <v>11597255</v>
      </c>
      <c r="Y88">
        <v>11941448</v>
      </c>
      <c r="Z88">
        <v>12281712</v>
      </c>
      <c r="AA88">
        <v>12643819</v>
      </c>
      <c r="AB88">
        <v>13029836</v>
      </c>
      <c r="AC88">
        <v>13370590</v>
      </c>
      <c r="AD88">
        <v>13661229</v>
      </c>
      <c r="AE88">
        <v>13965217</v>
      </c>
      <c r="AF88">
        <v>14289108</v>
      </c>
      <c r="AG88">
        <v>14636568</v>
      </c>
      <c r="AH88">
        <v>15006813</v>
      </c>
      <c r="AI88">
        <v>15394648</v>
      </c>
      <c r="AJ88">
        <v>15787496</v>
      </c>
      <c r="AK88">
        <v>16184855</v>
      </c>
      <c r="AL88">
        <v>16589519</v>
      </c>
      <c r="AM88">
        <v>16993190</v>
      </c>
      <c r="AN88">
        <v>17399017</v>
      </c>
      <c r="AO88">
        <v>17810181</v>
      </c>
      <c r="AP88">
        <v>18238958</v>
      </c>
      <c r="AQ88">
        <v>18688036</v>
      </c>
      <c r="AR88">
        <v>19149864</v>
      </c>
      <c r="AS88">
        <v>19637087</v>
      </c>
      <c r="AT88">
        <v>20167069</v>
      </c>
      <c r="AU88">
        <v>20729388</v>
      </c>
      <c r="AV88">
        <v>21296705</v>
      </c>
      <c r="AW88">
        <v>21868298</v>
      </c>
      <c r="AX88">
        <v>22449438</v>
      </c>
      <c r="AY88">
        <v>23040702</v>
      </c>
      <c r="AZ88">
        <v>23642279</v>
      </c>
      <c r="BA88">
        <v>24249946</v>
      </c>
      <c r="BB88">
        <v>24862664</v>
      </c>
      <c r="BC88">
        <v>25474995</v>
      </c>
      <c r="BD88">
        <v>26095088</v>
      </c>
      <c r="BE88">
        <v>26734268</v>
      </c>
      <c r="BF88">
        <v>27386193</v>
      </c>
      <c r="BG88">
        <v>28041592</v>
      </c>
      <c r="BH88">
        <v>28696068</v>
      </c>
      <c r="BI88">
        <v>29356742</v>
      </c>
      <c r="BJ88">
        <v>30008354</v>
      </c>
      <c r="BK88">
        <v>30637585</v>
      </c>
      <c r="BL88">
        <v>31258945</v>
      </c>
      <c r="BM88">
        <v>31887809</v>
      </c>
      <c r="BN88">
        <v>32518665</v>
      </c>
      <c r="BO88">
        <v>33149152</v>
      </c>
      <c r="BP88">
        <v>33787914</v>
      </c>
      <c r="BQ88">
        <v>34427414</v>
      </c>
      <c r="BR88">
        <v>35064272</v>
      </c>
    </row>
    <row r="89" spans="1:70" x14ac:dyDescent="0.35">
      <c r="A89" t="s">
        <v>451</v>
      </c>
      <c r="B89" t="s">
        <v>452</v>
      </c>
      <c r="C89" t="s">
        <v>295</v>
      </c>
      <c r="D89" t="s">
        <v>296</v>
      </c>
      <c r="E89">
        <v>21839</v>
      </c>
      <c r="F89">
        <v>21872</v>
      </c>
      <c r="G89">
        <v>22197</v>
      </c>
      <c r="H89">
        <v>22753</v>
      </c>
      <c r="I89">
        <v>23315</v>
      </c>
      <c r="J89">
        <v>23878</v>
      </c>
      <c r="K89">
        <v>24444</v>
      </c>
      <c r="L89">
        <v>25015</v>
      </c>
      <c r="M89">
        <v>25578</v>
      </c>
      <c r="N89">
        <v>26120</v>
      </c>
      <c r="O89">
        <v>26634</v>
      </c>
      <c r="P89">
        <v>27020</v>
      </c>
      <c r="Q89">
        <v>27290</v>
      </c>
      <c r="R89">
        <v>27537</v>
      </c>
      <c r="S89">
        <v>27755</v>
      </c>
      <c r="T89">
        <v>27951</v>
      </c>
      <c r="U89">
        <v>28134</v>
      </c>
      <c r="V89">
        <v>28300</v>
      </c>
      <c r="W89">
        <v>28446</v>
      </c>
      <c r="X89">
        <v>28575</v>
      </c>
      <c r="Y89">
        <v>28675</v>
      </c>
      <c r="Z89">
        <v>28740</v>
      </c>
      <c r="AA89">
        <v>28765</v>
      </c>
      <c r="AB89">
        <v>28733</v>
      </c>
      <c r="AC89">
        <v>28643</v>
      </c>
      <c r="AD89">
        <v>28512</v>
      </c>
      <c r="AE89">
        <v>28328</v>
      </c>
      <c r="AF89">
        <v>28096</v>
      </c>
      <c r="AG89">
        <v>27839</v>
      </c>
      <c r="AH89">
        <v>27544</v>
      </c>
      <c r="AI89">
        <v>27200</v>
      </c>
      <c r="AJ89">
        <v>26898</v>
      </c>
      <c r="AK89">
        <v>26878</v>
      </c>
      <c r="AL89">
        <v>27070</v>
      </c>
      <c r="AM89">
        <v>27239</v>
      </c>
      <c r="AN89">
        <v>27377</v>
      </c>
      <c r="AO89">
        <v>27487</v>
      </c>
      <c r="AP89">
        <v>27582</v>
      </c>
      <c r="AQ89">
        <v>27650</v>
      </c>
      <c r="AR89">
        <v>27692</v>
      </c>
      <c r="AS89">
        <v>27709</v>
      </c>
      <c r="AT89">
        <v>27657</v>
      </c>
      <c r="AU89">
        <v>27831</v>
      </c>
      <c r="AV89">
        <v>28274</v>
      </c>
      <c r="AW89">
        <v>28715</v>
      </c>
      <c r="AX89">
        <v>29163</v>
      </c>
      <c r="AY89">
        <v>29594</v>
      </c>
      <c r="AZ89">
        <v>30006</v>
      </c>
      <c r="BA89">
        <v>30413</v>
      </c>
      <c r="BB89">
        <v>30823</v>
      </c>
      <c r="BC89">
        <v>31248</v>
      </c>
      <c r="BD89">
        <v>31660</v>
      </c>
      <c r="BE89">
        <v>32029</v>
      </c>
      <c r="BF89">
        <v>32407</v>
      </c>
      <c r="BG89">
        <v>32813</v>
      </c>
      <c r="BH89">
        <v>33193</v>
      </c>
      <c r="BI89">
        <v>33658</v>
      </c>
      <c r="BJ89">
        <v>34245</v>
      </c>
      <c r="BK89">
        <v>34854</v>
      </c>
      <c r="BL89">
        <v>35494</v>
      </c>
      <c r="BM89">
        <v>36173</v>
      </c>
      <c r="BN89">
        <v>36858</v>
      </c>
      <c r="BO89">
        <v>37609</v>
      </c>
      <c r="BP89">
        <v>38471</v>
      </c>
      <c r="BQ89">
        <v>39329</v>
      </c>
      <c r="BR89">
        <v>40126</v>
      </c>
    </row>
    <row r="90" spans="1:70" x14ac:dyDescent="0.35">
      <c r="A90" t="s">
        <v>453</v>
      </c>
      <c r="B90" t="s">
        <v>454</v>
      </c>
      <c r="C90" t="s">
        <v>295</v>
      </c>
      <c r="D90" t="s">
        <v>296</v>
      </c>
      <c r="E90">
        <v>3556749</v>
      </c>
      <c r="F90">
        <v>3619551</v>
      </c>
      <c r="G90">
        <v>3684273</v>
      </c>
      <c r="H90">
        <v>3750954</v>
      </c>
      <c r="I90">
        <v>3819722</v>
      </c>
      <c r="J90">
        <v>3890716</v>
      </c>
      <c r="K90">
        <v>3964155</v>
      </c>
      <c r="L90">
        <v>4040153</v>
      </c>
      <c r="M90">
        <v>4118550</v>
      </c>
      <c r="N90">
        <v>4198300</v>
      </c>
      <c r="O90">
        <v>4277535</v>
      </c>
      <c r="P90">
        <v>4355200</v>
      </c>
      <c r="Q90">
        <v>4431292</v>
      </c>
      <c r="R90">
        <v>4506324</v>
      </c>
      <c r="S90">
        <v>4580510</v>
      </c>
      <c r="T90">
        <v>4653876</v>
      </c>
      <c r="U90">
        <v>4727022</v>
      </c>
      <c r="V90">
        <v>4801128</v>
      </c>
      <c r="W90">
        <v>4877854</v>
      </c>
      <c r="X90">
        <v>4959283</v>
      </c>
      <c r="Y90">
        <v>5047419</v>
      </c>
      <c r="Z90">
        <v>5143288</v>
      </c>
      <c r="AA90">
        <v>5247672</v>
      </c>
      <c r="AB90">
        <v>5359814</v>
      </c>
      <c r="AC90">
        <v>5480096</v>
      </c>
      <c r="AD90">
        <v>5610373</v>
      </c>
      <c r="AE90">
        <v>5750668</v>
      </c>
      <c r="AF90">
        <v>5900198</v>
      </c>
      <c r="AG90">
        <v>6056574</v>
      </c>
      <c r="AH90">
        <v>6215811</v>
      </c>
      <c r="AI90">
        <v>6434374</v>
      </c>
      <c r="AJ90">
        <v>6697166</v>
      </c>
      <c r="AK90">
        <v>6914366</v>
      </c>
      <c r="AL90">
        <v>7128177</v>
      </c>
      <c r="AM90">
        <v>7345107</v>
      </c>
      <c r="AN90">
        <v>7553249</v>
      </c>
      <c r="AO90">
        <v>7770035</v>
      </c>
      <c r="AP90">
        <v>7931370</v>
      </c>
      <c r="AQ90">
        <v>8081990</v>
      </c>
      <c r="AR90">
        <v>8265123</v>
      </c>
      <c r="AS90">
        <v>8428832</v>
      </c>
      <c r="AT90">
        <v>8539960</v>
      </c>
      <c r="AU90">
        <v>8674066</v>
      </c>
      <c r="AV90">
        <v>8870781</v>
      </c>
      <c r="AW90">
        <v>9062726</v>
      </c>
      <c r="AX90">
        <v>9245844</v>
      </c>
      <c r="AY90">
        <v>9441171</v>
      </c>
      <c r="AZ90">
        <v>9662281</v>
      </c>
      <c r="BA90">
        <v>9898870</v>
      </c>
      <c r="BB90">
        <v>10143534</v>
      </c>
      <c r="BC90">
        <v>10396086</v>
      </c>
      <c r="BD90">
        <v>10656810</v>
      </c>
      <c r="BE90">
        <v>10921581</v>
      </c>
      <c r="BF90">
        <v>11191873</v>
      </c>
      <c r="BG90">
        <v>11472924</v>
      </c>
      <c r="BH90">
        <v>11767070</v>
      </c>
      <c r="BI90">
        <v>12073030</v>
      </c>
      <c r="BJ90">
        <v>12385659</v>
      </c>
      <c r="BK90">
        <v>12704774</v>
      </c>
      <c r="BL90">
        <v>13034346</v>
      </c>
      <c r="BM90">
        <v>13371183</v>
      </c>
      <c r="BN90">
        <v>13710513</v>
      </c>
      <c r="BO90">
        <v>14055137</v>
      </c>
      <c r="BP90">
        <v>14405468</v>
      </c>
      <c r="BQ90">
        <v>14754785</v>
      </c>
      <c r="BR90">
        <v>15099727</v>
      </c>
    </row>
    <row r="91" spans="1:70" x14ac:dyDescent="0.35">
      <c r="A91" t="s">
        <v>455</v>
      </c>
      <c r="B91" t="s">
        <v>456</v>
      </c>
      <c r="C91" t="s">
        <v>295</v>
      </c>
      <c r="D91" t="s">
        <v>296</v>
      </c>
      <c r="E91">
        <v>398060</v>
      </c>
      <c r="F91">
        <v>408930</v>
      </c>
      <c r="G91">
        <v>420163</v>
      </c>
      <c r="H91">
        <v>431757</v>
      </c>
      <c r="I91">
        <v>443687</v>
      </c>
      <c r="J91">
        <v>455952</v>
      </c>
      <c r="K91">
        <v>468516</v>
      </c>
      <c r="L91">
        <v>481588</v>
      </c>
      <c r="M91">
        <v>495269</v>
      </c>
      <c r="N91">
        <v>509440</v>
      </c>
      <c r="O91">
        <v>524105</v>
      </c>
      <c r="P91">
        <v>539388</v>
      </c>
      <c r="Q91">
        <v>555370</v>
      </c>
      <c r="R91">
        <v>571991</v>
      </c>
      <c r="S91">
        <v>589085</v>
      </c>
      <c r="T91">
        <v>606821</v>
      </c>
      <c r="U91">
        <v>625667</v>
      </c>
      <c r="V91">
        <v>645770</v>
      </c>
      <c r="W91">
        <v>667103</v>
      </c>
      <c r="X91">
        <v>689781</v>
      </c>
      <c r="Y91">
        <v>713913</v>
      </c>
      <c r="Z91">
        <v>739125</v>
      </c>
      <c r="AA91">
        <v>765753</v>
      </c>
      <c r="AB91">
        <v>794525</v>
      </c>
      <c r="AC91">
        <v>825631</v>
      </c>
      <c r="AD91">
        <v>858874</v>
      </c>
      <c r="AE91">
        <v>894019</v>
      </c>
      <c r="AF91">
        <v>931091</v>
      </c>
      <c r="AG91">
        <v>970160</v>
      </c>
      <c r="AH91">
        <v>1011357</v>
      </c>
      <c r="AI91">
        <v>1054696</v>
      </c>
      <c r="AJ91">
        <v>1099959</v>
      </c>
      <c r="AK91">
        <v>1145582</v>
      </c>
      <c r="AL91">
        <v>1188365</v>
      </c>
      <c r="AM91">
        <v>1227226</v>
      </c>
      <c r="AN91">
        <v>1264313</v>
      </c>
      <c r="AO91">
        <v>1301410</v>
      </c>
      <c r="AP91">
        <v>1338889</v>
      </c>
      <c r="AQ91">
        <v>1376987</v>
      </c>
      <c r="AR91">
        <v>1415779</v>
      </c>
      <c r="AS91">
        <v>1455084</v>
      </c>
      <c r="AT91">
        <v>1495011</v>
      </c>
      <c r="AU91">
        <v>1535691</v>
      </c>
      <c r="AV91">
        <v>1577611</v>
      </c>
      <c r="AW91">
        <v>1621312</v>
      </c>
      <c r="AX91">
        <v>1667037</v>
      </c>
      <c r="AY91">
        <v>1715275</v>
      </c>
      <c r="AZ91">
        <v>1765774</v>
      </c>
      <c r="BA91">
        <v>1817852</v>
      </c>
      <c r="BB91">
        <v>1871422</v>
      </c>
      <c r="BC91">
        <v>1926630</v>
      </c>
      <c r="BD91">
        <v>1983784</v>
      </c>
      <c r="BE91">
        <v>2043094</v>
      </c>
      <c r="BF91">
        <v>2103820</v>
      </c>
      <c r="BG91">
        <v>2164528</v>
      </c>
      <c r="BH91">
        <v>2224529</v>
      </c>
      <c r="BI91">
        <v>2283769</v>
      </c>
      <c r="BJ91">
        <v>2342189</v>
      </c>
      <c r="BK91">
        <v>2399632</v>
      </c>
      <c r="BL91">
        <v>2456844</v>
      </c>
      <c r="BM91">
        <v>2515733</v>
      </c>
      <c r="BN91">
        <v>2576010</v>
      </c>
      <c r="BO91">
        <v>2636470</v>
      </c>
      <c r="BP91">
        <v>2697845</v>
      </c>
      <c r="BQ91">
        <v>2759988</v>
      </c>
      <c r="BR91">
        <v>2822093</v>
      </c>
    </row>
    <row r="92" spans="1:70" x14ac:dyDescent="0.35">
      <c r="A92" t="s">
        <v>457</v>
      </c>
      <c r="B92" t="s">
        <v>458</v>
      </c>
      <c r="C92" t="s">
        <v>295</v>
      </c>
      <c r="D92" t="s">
        <v>296</v>
      </c>
      <c r="E92">
        <v>577633</v>
      </c>
      <c r="F92">
        <v>582532</v>
      </c>
      <c r="G92">
        <v>589474</v>
      </c>
      <c r="H92">
        <v>594418</v>
      </c>
      <c r="I92">
        <v>588543</v>
      </c>
      <c r="J92">
        <v>575005</v>
      </c>
      <c r="K92">
        <v>566908</v>
      </c>
      <c r="L92">
        <v>569011</v>
      </c>
      <c r="M92">
        <v>578170</v>
      </c>
      <c r="N92">
        <v>581610</v>
      </c>
      <c r="O92">
        <v>584403</v>
      </c>
      <c r="P92">
        <v>586221</v>
      </c>
      <c r="Q92">
        <v>586620</v>
      </c>
      <c r="R92">
        <v>592808</v>
      </c>
      <c r="S92">
        <v>613338</v>
      </c>
      <c r="T92">
        <v>650966</v>
      </c>
      <c r="U92">
        <v>694191</v>
      </c>
      <c r="V92">
        <v>741789</v>
      </c>
      <c r="W92">
        <v>791694</v>
      </c>
      <c r="X92">
        <v>819867</v>
      </c>
      <c r="Y92">
        <v>829303</v>
      </c>
      <c r="Z92">
        <v>842432</v>
      </c>
      <c r="AA92">
        <v>855891</v>
      </c>
      <c r="AB92">
        <v>869592</v>
      </c>
      <c r="AC92">
        <v>883519</v>
      </c>
      <c r="AD92">
        <v>897697</v>
      </c>
      <c r="AE92">
        <v>912126</v>
      </c>
      <c r="AF92">
        <v>926862</v>
      </c>
      <c r="AG92">
        <v>942061</v>
      </c>
      <c r="AH92">
        <v>957789</v>
      </c>
      <c r="AI92">
        <v>973669</v>
      </c>
      <c r="AJ92">
        <v>994639</v>
      </c>
      <c r="AK92">
        <v>1024356</v>
      </c>
      <c r="AL92">
        <v>1058745</v>
      </c>
      <c r="AM92">
        <v>1092031</v>
      </c>
      <c r="AN92">
        <v>1119949</v>
      </c>
      <c r="AO92">
        <v>1143535</v>
      </c>
      <c r="AP92">
        <v>1165545</v>
      </c>
      <c r="AQ92">
        <v>1187473</v>
      </c>
      <c r="AR92">
        <v>1210206</v>
      </c>
      <c r="AS92">
        <v>1234741</v>
      </c>
      <c r="AT92">
        <v>1261273</v>
      </c>
      <c r="AU92">
        <v>1289307</v>
      </c>
      <c r="AV92">
        <v>1318806</v>
      </c>
      <c r="AW92">
        <v>1349563</v>
      </c>
      <c r="AX92">
        <v>1381585</v>
      </c>
      <c r="AY92">
        <v>1415303</v>
      </c>
      <c r="AZ92">
        <v>1450986</v>
      </c>
      <c r="BA92">
        <v>1488054</v>
      </c>
      <c r="BB92">
        <v>1526377</v>
      </c>
      <c r="BC92">
        <v>1566347</v>
      </c>
      <c r="BD92">
        <v>1608076</v>
      </c>
      <c r="BE92">
        <v>1651417</v>
      </c>
      <c r="BF92">
        <v>1695973</v>
      </c>
      <c r="BG92">
        <v>1741122</v>
      </c>
      <c r="BH92">
        <v>1786457</v>
      </c>
      <c r="BI92">
        <v>1831893</v>
      </c>
      <c r="BJ92">
        <v>1877072</v>
      </c>
      <c r="BK92">
        <v>1922168</v>
      </c>
      <c r="BL92">
        <v>1967696</v>
      </c>
      <c r="BM92">
        <v>2013255</v>
      </c>
      <c r="BN92">
        <v>2058841</v>
      </c>
      <c r="BO92">
        <v>2105529</v>
      </c>
      <c r="BP92">
        <v>2153339</v>
      </c>
      <c r="BQ92">
        <v>2201352</v>
      </c>
      <c r="BR92">
        <v>2249515</v>
      </c>
    </row>
    <row r="93" spans="1:70" x14ac:dyDescent="0.35">
      <c r="A93" t="s">
        <v>459</v>
      </c>
      <c r="B93" t="s">
        <v>460</v>
      </c>
      <c r="C93" t="s">
        <v>295</v>
      </c>
      <c r="D93" t="s">
        <v>296</v>
      </c>
      <c r="E93">
        <v>269807</v>
      </c>
      <c r="F93">
        <v>274896</v>
      </c>
      <c r="G93">
        <v>280286</v>
      </c>
      <c r="H93">
        <v>285965</v>
      </c>
      <c r="I93">
        <v>291942</v>
      </c>
      <c r="J93">
        <v>298238</v>
      </c>
      <c r="K93">
        <v>304859</v>
      </c>
      <c r="L93">
        <v>311805</v>
      </c>
      <c r="M93">
        <v>318849</v>
      </c>
      <c r="N93">
        <v>322517</v>
      </c>
      <c r="O93">
        <v>320803</v>
      </c>
      <c r="P93">
        <v>315940</v>
      </c>
      <c r="Q93">
        <v>309468</v>
      </c>
      <c r="R93">
        <v>302281</v>
      </c>
      <c r="S93">
        <v>294953</v>
      </c>
      <c r="T93">
        <v>287901</v>
      </c>
      <c r="U93">
        <v>281031</v>
      </c>
      <c r="V93">
        <v>276779</v>
      </c>
      <c r="W93">
        <v>276531</v>
      </c>
      <c r="X93">
        <v>279846</v>
      </c>
      <c r="Y93">
        <v>288644</v>
      </c>
      <c r="Z93">
        <v>303252</v>
      </c>
      <c r="AA93">
        <v>322216</v>
      </c>
      <c r="AB93">
        <v>343421</v>
      </c>
      <c r="AC93">
        <v>364899</v>
      </c>
      <c r="AD93">
        <v>385547</v>
      </c>
      <c r="AE93">
        <v>404728</v>
      </c>
      <c r="AF93">
        <v>422522</v>
      </c>
      <c r="AG93">
        <v>439651</v>
      </c>
      <c r="AH93">
        <v>456808</v>
      </c>
      <c r="AI93">
        <v>474274</v>
      </c>
      <c r="AJ93">
        <v>492217</v>
      </c>
      <c r="AK93">
        <v>510770</v>
      </c>
      <c r="AL93">
        <v>530023</v>
      </c>
      <c r="AM93">
        <v>550138</v>
      </c>
      <c r="AN93">
        <v>571264</v>
      </c>
      <c r="AO93">
        <v>593492</v>
      </c>
      <c r="AP93">
        <v>616893</v>
      </c>
      <c r="AQ93">
        <v>641474</v>
      </c>
      <c r="AR93">
        <v>667214</v>
      </c>
      <c r="AS93">
        <v>703279</v>
      </c>
      <c r="AT93">
        <v>749836</v>
      </c>
      <c r="AU93">
        <v>797957</v>
      </c>
      <c r="AV93">
        <v>847862</v>
      </c>
      <c r="AW93">
        <v>899917</v>
      </c>
      <c r="AX93">
        <v>947367</v>
      </c>
      <c r="AY93">
        <v>990343</v>
      </c>
      <c r="AZ93">
        <v>1036044</v>
      </c>
      <c r="BA93">
        <v>1084530</v>
      </c>
      <c r="BB93">
        <v>1135673</v>
      </c>
      <c r="BC93">
        <v>1189085</v>
      </c>
      <c r="BD93">
        <v>1241835</v>
      </c>
      <c r="BE93">
        <v>1293483</v>
      </c>
      <c r="BF93">
        <v>1346218</v>
      </c>
      <c r="BG93">
        <v>1399828</v>
      </c>
      <c r="BH93">
        <v>1453923</v>
      </c>
      <c r="BI93">
        <v>1508186</v>
      </c>
      <c r="BJ93">
        <v>1562396</v>
      </c>
      <c r="BK93">
        <v>1616422</v>
      </c>
      <c r="BL93">
        <v>1670177</v>
      </c>
      <c r="BM93">
        <v>1716468</v>
      </c>
      <c r="BN93">
        <v>1758786</v>
      </c>
      <c r="BO93">
        <v>1803545</v>
      </c>
      <c r="BP93">
        <v>1847549</v>
      </c>
      <c r="BQ93">
        <v>1892516</v>
      </c>
      <c r="BR93">
        <v>1938431</v>
      </c>
    </row>
    <row r="94" spans="1:70" x14ac:dyDescent="0.35">
      <c r="A94" t="s">
        <v>256</v>
      </c>
      <c r="B94" t="s">
        <v>461</v>
      </c>
      <c r="C94" t="s">
        <v>295</v>
      </c>
      <c r="D94" t="s">
        <v>296</v>
      </c>
      <c r="E94">
        <v>8331725</v>
      </c>
      <c r="F94">
        <v>8398050</v>
      </c>
      <c r="G94">
        <v>8448233</v>
      </c>
      <c r="H94">
        <v>8479625</v>
      </c>
      <c r="I94">
        <v>8510429</v>
      </c>
      <c r="J94">
        <v>8550333</v>
      </c>
      <c r="K94">
        <v>8613651</v>
      </c>
      <c r="L94">
        <v>8684088</v>
      </c>
      <c r="M94">
        <v>8740765</v>
      </c>
      <c r="N94">
        <v>8772764</v>
      </c>
      <c r="O94">
        <v>8792806</v>
      </c>
      <c r="P94">
        <v>8831036</v>
      </c>
      <c r="Q94">
        <v>8888628</v>
      </c>
      <c r="R94">
        <v>8929086</v>
      </c>
      <c r="S94">
        <v>8962022</v>
      </c>
      <c r="T94">
        <v>9046541</v>
      </c>
      <c r="U94">
        <v>9188150</v>
      </c>
      <c r="V94">
        <v>9308479</v>
      </c>
      <c r="W94">
        <v>9429959</v>
      </c>
      <c r="X94">
        <v>9548258</v>
      </c>
      <c r="Y94">
        <v>9642505</v>
      </c>
      <c r="Z94">
        <v>9729350</v>
      </c>
      <c r="AA94">
        <v>9789513</v>
      </c>
      <c r="AB94">
        <v>9846627</v>
      </c>
      <c r="AC94">
        <v>9895801</v>
      </c>
      <c r="AD94">
        <v>9934300</v>
      </c>
      <c r="AE94">
        <v>9967213</v>
      </c>
      <c r="AF94">
        <v>10000595</v>
      </c>
      <c r="AG94">
        <v>10036983</v>
      </c>
      <c r="AH94">
        <v>10089498</v>
      </c>
      <c r="AI94">
        <v>10196792</v>
      </c>
      <c r="AJ94">
        <v>10319927</v>
      </c>
      <c r="AK94">
        <v>10399061</v>
      </c>
      <c r="AL94">
        <v>10460415</v>
      </c>
      <c r="AM94">
        <v>10512922</v>
      </c>
      <c r="AN94">
        <v>10562153</v>
      </c>
      <c r="AO94">
        <v>10608800</v>
      </c>
      <c r="AP94">
        <v>10661259</v>
      </c>
      <c r="AQ94">
        <v>10720509</v>
      </c>
      <c r="AR94">
        <v>10761698</v>
      </c>
      <c r="AS94">
        <v>10805808</v>
      </c>
      <c r="AT94">
        <v>10862132</v>
      </c>
      <c r="AU94">
        <v>10902022</v>
      </c>
      <c r="AV94">
        <v>10928070</v>
      </c>
      <c r="AW94">
        <v>10955141</v>
      </c>
      <c r="AX94">
        <v>10987314</v>
      </c>
      <c r="AY94">
        <v>11020362</v>
      </c>
      <c r="AZ94">
        <v>11048473</v>
      </c>
      <c r="BA94">
        <v>11077841</v>
      </c>
      <c r="BB94">
        <v>11107017</v>
      </c>
      <c r="BC94">
        <v>11121341</v>
      </c>
      <c r="BD94">
        <v>11104899</v>
      </c>
      <c r="BE94">
        <v>11045011</v>
      </c>
      <c r="BF94">
        <v>10965211</v>
      </c>
      <c r="BG94">
        <v>10892413</v>
      </c>
      <c r="BH94">
        <v>10820883</v>
      </c>
      <c r="BI94">
        <v>10775971</v>
      </c>
      <c r="BJ94">
        <v>10754679</v>
      </c>
      <c r="BK94">
        <v>10732882</v>
      </c>
      <c r="BL94">
        <v>10721582</v>
      </c>
      <c r="BM94">
        <v>10698599</v>
      </c>
      <c r="BN94">
        <v>10570130</v>
      </c>
      <c r="BO94">
        <v>10437805</v>
      </c>
      <c r="BP94">
        <v>10407351</v>
      </c>
      <c r="BQ94">
        <v>10405134</v>
      </c>
      <c r="BR94">
        <v>10413962</v>
      </c>
    </row>
    <row r="95" spans="1:70" x14ac:dyDescent="0.35">
      <c r="A95" t="s">
        <v>462</v>
      </c>
      <c r="B95" t="s">
        <v>463</v>
      </c>
      <c r="C95" t="s">
        <v>295</v>
      </c>
      <c r="D95" t="s">
        <v>296</v>
      </c>
      <c r="E95">
        <v>94058</v>
      </c>
      <c r="F95">
        <v>95335</v>
      </c>
      <c r="G95">
        <v>96375</v>
      </c>
      <c r="H95">
        <v>97195</v>
      </c>
      <c r="I95">
        <v>97760</v>
      </c>
      <c r="J95">
        <v>98067</v>
      </c>
      <c r="K95">
        <v>98121</v>
      </c>
      <c r="L95">
        <v>98066</v>
      </c>
      <c r="M95">
        <v>98078</v>
      </c>
      <c r="N95">
        <v>98204</v>
      </c>
      <c r="O95">
        <v>98414</v>
      </c>
      <c r="P95">
        <v>98648</v>
      </c>
      <c r="Q95">
        <v>98777</v>
      </c>
      <c r="R95">
        <v>98709</v>
      </c>
      <c r="S95">
        <v>98486</v>
      </c>
      <c r="T95">
        <v>98126</v>
      </c>
      <c r="U95">
        <v>97632</v>
      </c>
      <c r="V95">
        <v>97017</v>
      </c>
      <c r="W95">
        <v>96305</v>
      </c>
      <c r="X95">
        <v>95490</v>
      </c>
      <c r="Y95">
        <v>94538</v>
      </c>
      <c r="Z95">
        <v>94052</v>
      </c>
      <c r="AA95">
        <v>94383</v>
      </c>
      <c r="AB95">
        <v>94948</v>
      </c>
      <c r="AC95">
        <v>95498</v>
      </c>
      <c r="AD95">
        <v>96111</v>
      </c>
      <c r="AE95">
        <v>96790</v>
      </c>
      <c r="AF95">
        <v>97526</v>
      </c>
      <c r="AG95">
        <v>98308</v>
      </c>
      <c r="AH95">
        <v>99121</v>
      </c>
      <c r="AI95">
        <v>99957</v>
      </c>
      <c r="AJ95">
        <v>100793</v>
      </c>
      <c r="AK95">
        <v>101602</v>
      </c>
      <c r="AL95">
        <v>102382</v>
      </c>
      <c r="AM95">
        <v>103138</v>
      </c>
      <c r="AN95">
        <v>103869</v>
      </c>
      <c r="AO95">
        <v>104584</v>
      </c>
      <c r="AP95">
        <v>105293</v>
      </c>
      <c r="AQ95">
        <v>106009</v>
      </c>
      <c r="AR95">
        <v>106727</v>
      </c>
      <c r="AS95">
        <v>107451</v>
      </c>
      <c r="AT95">
        <v>107987</v>
      </c>
      <c r="AU95">
        <v>108404</v>
      </c>
      <c r="AV95">
        <v>108884</v>
      </c>
      <c r="AW95">
        <v>109323</v>
      </c>
      <c r="AX95">
        <v>109734</v>
      </c>
      <c r="AY95">
        <v>110135</v>
      </c>
      <c r="AZ95">
        <v>110522</v>
      </c>
      <c r="BA95">
        <v>110896</v>
      </c>
      <c r="BB95">
        <v>111254</v>
      </c>
      <c r="BC95">
        <v>111586</v>
      </c>
      <c r="BD95">
        <v>112079</v>
      </c>
      <c r="BE95">
        <v>112775</v>
      </c>
      <c r="BF95">
        <v>113487</v>
      </c>
      <c r="BG95">
        <v>114132</v>
      </c>
      <c r="BH95">
        <v>114676</v>
      </c>
      <c r="BI95">
        <v>115130</v>
      </c>
      <c r="BJ95">
        <v>115438</v>
      </c>
      <c r="BK95">
        <v>115691</v>
      </c>
      <c r="BL95">
        <v>115981</v>
      </c>
      <c r="BM95">
        <v>116341</v>
      </c>
      <c r="BN95">
        <v>116688</v>
      </c>
      <c r="BO95">
        <v>116913</v>
      </c>
      <c r="BP95">
        <v>117081</v>
      </c>
      <c r="BQ95">
        <v>117207</v>
      </c>
      <c r="BR95">
        <v>117303</v>
      </c>
    </row>
    <row r="96" spans="1:70" x14ac:dyDescent="0.35">
      <c r="A96" t="s">
        <v>464</v>
      </c>
      <c r="B96" t="s">
        <v>465</v>
      </c>
      <c r="C96" t="s">
        <v>295</v>
      </c>
      <c r="D96" t="s">
        <v>296</v>
      </c>
      <c r="E96">
        <v>32500</v>
      </c>
      <c r="F96">
        <v>33700</v>
      </c>
      <c r="G96">
        <v>35000</v>
      </c>
      <c r="H96">
        <v>36400</v>
      </c>
      <c r="I96">
        <v>37600</v>
      </c>
      <c r="J96">
        <v>39200</v>
      </c>
      <c r="K96">
        <v>40500</v>
      </c>
      <c r="L96">
        <v>41900</v>
      </c>
      <c r="M96">
        <v>43400</v>
      </c>
      <c r="N96">
        <v>44900</v>
      </c>
      <c r="O96">
        <v>46400</v>
      </c>
      <c r="P96">
        <v>47200</v>
      </c>
      <c r="Q96">
        <v>48300</v>
      </c>
      <c r="R96">
        <v>49000</v>
      </c>
      <c r="S96">
        <v>49500</v>
      </c>
      <c r="T96">
        <v>49600</v>
      </c>
      <c r="U96">
        <v>49700</v>
      </c>
      <c r="V96">
        <v>49400</v>
      </c>
      <c r="W96">
        <v>49200</v>
      </c>
      <c r="X96">
        <v>49600</v>
      </c>
      <c r="Y96">
        <v>50200</v>
      </c>
      <c r="Z96">
        <v>51000</v>
      </c>
      <c r="AA96">
        <v>51500</v>
      </c>
      <c r="AB96">
        <v>52100</v>
      </c>
      <c r="AC96">
        <v>52700</v>
      </c>
      <c r="AD96">
        <v>53200</v>
      </c>
      <c r="AE96">
        <v>53500</v>
      </c>
      <c r="AF96">
        <v>54100</v>
      </c>
      <c r="AG96">
        <v>54800</v>
      </c>
      <c r="AH96">
        <v>55300</v>
      </c>
      <c r="AI96">
        <v>55600</v>
      </c>
      <c r="AJ96">
        <v>55500</v>
      </c>
      <c r="AK96">
        <v>55300</v>
      </c>
      <c r="AL96">
        <v>55200</v>
      </c>
      <c r="AM96">
        <v>55500</v>
      </c>
      <c r="AN96">
        <v>55800</v>
      </c>
      <c r="AO96">
        <v>55900</v>
      </c>
      <c r="AP96">
        <v>56000</v>
      </c>
      <c r="AQ96">
        <v>56100</v>
      </c>
      <c r="AR96">
        <v>56100</v>
      </c>
      <c r="AS96">
        <v>56185</v>
      </c>
      <c r="AT96">
        <v>56379</v>
      </c>
      <c r="AU96">
        <v>56595</v>
      </c>
      <c r="AV96">
        <v>56751</v>
      </c>
      <c r="AW96">
        <v>56898</v>
      </c>
      <c r="AX96">
        <v>56935</v>
      </c>
      <c r="AY96">
        <v>56775</v>
      </c>
      <c r="AZ96">
        <v>56555</v>
      </c>
      <c r="BA96">
        <v>56328</v>
      </c>
      <c r="BB96">
        <v>56323</v>
      </c>
      <c r="BC96">
        <v>56534</v>
      </c>
      <c r="BD96">
        <v>56890</v>
      </c>
      <c r="BE96">
        <v>56810</v>
      </c>
      <c r="BF96">
        <v>56483</v>
      </c>
      <c r="BG96">
        <v>56295</v>
      </c>
      <c r="BH96">
        <v>56114</v>
      </c>
      <c r="BI96">
        <v>56186</v>
      </c>
      <c r="BJ96">
        <v>56172</v>
      </c>
      <c r="BK96">
        <v>56023</v>
      </c>
      <c r="BL96">
        <v>56225</v>
      </c>
      <c r="BM96">
        <v>56367</v>
      </c>
      <c r="BN96">
        <v>56653</v>
      </c>
      <c r="BO96">
        <v>56661</v>
      </c>
      <c r="BP96">
        <v>56865</v>
      </c>
      <c r="BQ96">
        <v>56836</v>
      </c>
      <c r="BR96">
        <v>56831</v>
      </c>
    </row>
    <row r="97" spans="1:70" x14ac:dyDescent="0.35">
      <c r="A97" t="s">
        <v>466</v>
      </c>
      <c r="B97" t="s">
        <v>467</v>
      </c>
      <c r="C97" t="s">
        <v>295</v>
      </c>
      <c r="D97" t="s">
        <v>296</v>
      </c>
      <c r="E97">
        <v>4063655</v>
      </c>
      <c r="F97">
        <v>4186201</v>
      </c>
      <c r="G97">
        <v>4312044</v>
      </c>
      <c r="H97">
        <v>4440264</v>
      </c>
      <c r="I97">
        <v>4571109</v>
      </c>
      <c r="J97">
        <v>4704965</v>
      </c>
      <c r="K97">
        <v>4840958</v>
      </c>
      <c r="L97">
        <v>4978862</v>
      </c>
      <c r="M97">
        <v>5118111</v>
      </c>
      <c r="N97">
        <v>5257081</v>
      </c>
      <c r="O97">
        <v>5396966</v>
      </c>
      <c r="P97">
        <v>5538355</v>
      </c>
      <c r="Q97">
        <v>5682833</v>
      </c>
      <c r="R97">
        <v>5831631</v>
      </c>
      <c r="S97">
        <v>5981197</v>
      </c>
      <c r="T97">
        <v>6128731</v>
      </c>
      <c r="U97">
        <v>6262404</v>
      </c>
      <c r="V97">
        <v>6401515</v>
      </c>
      <c r="W97">
        <v>6561534</v>
      </c>
      <c r="X97">
        <v>6727797</v>
      </c>
      <c r="Y97">
        <v>6900212</v>
      </c>
      <c r="Z97">
        <v>7075648</v>
      </c>
      <c r="AA97">
        <v>7240241</v>
      </c>
      <c r="AB97">
        <v>7419642</v>
      </c>
      <c r="AC97">
        <v>7630682</v>
      </c>
      <c r="AD97">
        <v>7849693</v>
      </c>
      <c r="AE97">
        <v>8070818</v>
      </c>
      <c r="AF97">
        <v>8296485</v>
      </c>
      <c r="AG97">
        <v>8532099</v>
      </c>
      <c r="AH97">
        <v>8775546</v>
      </c>
      <c r="AI97">
        <v>9024773</v>
      </c>
      <c r="AJ97">
        <v>9272584</v>
      </c>
      <c r="AK97">
        <v>9522266</v>
      </c>
      <c r="AL97">
        <v>9779761</v>
      </c>
      <c r="AM97">
        <v>10043718</v>
      </c>
      <c r="AN97">
        <v>10312996</v>
      </c>
      <c r="AO97">
        <v>10583526</v>
      </c>
      <c r="AP97">
        <v>10857754</v>
      </c>
      <c r="AQ97">
        <v>11139145</v>
      </c>
      <c r="AR97">
        <v>11422965</v>
      </c>
      <c r="AS97">
        <v>11697592</v>
      </c>
      <c r="AT97">
        <v>11969422</v>
      </c>
      <c r="AU97">
        <v>12246915</v>
      </c>
      <c r="AV97">
        <v>12525842</v>
      </c>
      <c r="AW97">
        <v>12807402</v>
      </c>
      <c r="AX97">
        <v>13087629</v>
      </c>
      <c r="AY97">
        <v>13367459</v>
      </c>
      <c r="AZ97">
        <v>13652040</v>
      </c>
      <c r="BA97">
        <v>13935174</v>
      </c>
      <c r="BB97">
        <v>14215611</v>
      </c>
      <c r="BC97">
        <v>14500112</v>
      </c>
      <c r="BD97">
        <v>14792126</v>
      </c>
      <c r="BE97">
        <v>15089647</v>
      </c>
      <c r="BF97">
        <v>15387337</v>
      </c>
      <c r="BG97">
        <v>15681725</v>
      </c>
      <c r="BH97">
        <v>15971743</v>
      </c>
      <c r="BI97">
        <v>16268760</v>
      </c>
      <c r="BJ97">
        <v>16567357</v>
      </c>
      <c r="BK97">
        <v>16845685</v>
      </c>
      <c r="BL97">
        <v>17103803</v>
      </c>
      <c r="BM97">
        <v>17357325</v>
      </c>
      <c r="BN97">
        <v>17598650</v>
      </c>
      <c r="BO97">
        <v>17847877</v>
      </c>
      <c r="BP97">
        <v>18124838</v>
      </c>
      <c r="BQ97">
        <v>18406359</v>
      </c>
      <c r="BR97">
        <v>18687881</v>
      </c>
    </row>
    <row r="98" spans="1:70" x14ac:dyDescent="0.35">
      <c r="A98" t="s">
        <v>468</v>
      </c>
      <c r="B98" t="s">
        <v>469</v>
      </c>
      <c r="C98" t="s">
        <v>295</v>
      </c>
      <c r="D98" t="s">
        <v>296</v>
      </c>
      <c r="E98">
        <v>69525</v>
      </c>
      <c r="F98">
        <v>71311</v>
      </c>
      <c r="G98">
        <v>73192</v>
      </c>
      <c r="H98">
        <v>75095</v>
      </c>
      <c r="I98">
        <v>77008</v>
      </c>
      <c r="J98">
        <v>78932</v>
      </c>
      <c r="K98">
        <v>80844</v>
      </c>
      <c r="L98">
        <v>82719</v>
      </c>
      <c r="M98">
        <v>84563</v>
      </c>
      <c r="N98">
        <v>86404</v>
      </c>
      <c r="O98">
        <v>88365</v>
      </c>
      <c r="P98">
        <v>90466</v>
      </c>
      <c r="Q98">
        <v>92619</v>
      </c>
      <c r="R98">
        <v>94781</v>
      </c>
      <c r="S98">
        <v>96939</v>
      </c>
      <c r="T98">
        <v>99057</v>
      </c>
      <c r="U98">
        <v>101166</v>
      </c>
      <c r="V98">
        <v>103298</v>
      </c>
      <c r="W98">
        <v>105424</v>
      </c>
      <c r="X98">
        <v>107636</v>
      </c>
      <c r="Y98">
        <v>110141</v>
      </c>
      <c r="Z98">
        <v>112902</v>
      </c>
      <c r="AA98">
        <v>115711</v>
      </c>
      <c r="AB98">
        <v>118508</v>
      </c>
      <c r="AC98">
        <v>121302</v>
      </c>
      <c r="AD98">
        <v>124117</v>
      </c>
      <c r="AE98">
        <v>126965</v>
      </c>
      <c r="AF98">
        <v>129858</v>
      </c>
      <c r="AG98">
        <v>132799</v>
      </c>
      <c r="AH98">
        <v>135799</v>
      </c>
      <c r="AI98">
        <v>138610</v>
      </c>
      <c r="AJ98">
        <v>141073</v>
      </c>
      <c r="AK98">
        <v>143393</v>
      </c>
      <c r="AL98">
        <v>145654</v>
      </c>
      <c r="AM98">
        <v>147868</v>
      </c>
      <c r="AN98">
        <v>150054</v>
      </c>
      <c r="AO98">
        <v>152169</v>
      </c>
      <c r="AP98">
        <v>154215</v>
      </c>
      <c r="AQ98">
        <v>156237</v>
      </c>
      <c r="AR98">
        <v>158289</v>
      </c>
      <c r="AS98">
        <v>160065</v>
      </c>
      <c r="AT98">
        <v>161329</v>
      </c>
      <c r="AU98">
        <v>162315</v>
      </c>
      <c r="AV98">
        <v>163137</v>
      </c>
      <c r="AW98">
        <v>163810</v>
      </c>
      <c r="AX98">
        <v>164365</v>
      </c>
      <c r="AY98">
        <v>164839</v>
      </c>
      <c r="AZ98">
        <v>165267</v>
      </c>
      <c r="BA98">
        <v>165693</v>
      </c>
      <c r="BB98">
        <v>166173</v>
      </c>
      <c r="BC98">
        <v>166522</v>
      </c>
      <c r="BD98">
        <v>166543</v>
      </c>
      <c r="BE98">
        <v>166331</v>
      </c>
      <c r="BF98">
        <v>165966</v>
      </c>
      <c r="BG98">
        <v>165486</v>
      </c>
      <c r="BH98">
        <v>164905</v>
      </c>
      <c r="BI98">
        <v>164233</v>
      </c>
      <c r="BJ98">
        <v>163490</v>
      </c>
      <c r="BK98">
        <v>162679</v>
      </c>
      <c r="BL98">
        <v>161808</v>
      </c>
      <c r="BM98">
        <v>162158</v>
      </c>
      <c r="BN98">
        <v>163730</v>
      </c>
      <c r="BO98">
        <v>165180</v>
      </c>
      <c r="BP98">
        <v>166506</v>
      </c>
      <c r="BQ98">
        <v>167777</v>
      </c>
      <c r="BR98">
        <v>168999</v>
      </c>
    </row>
    <row r="99" spans="1:70" x14ac:dyDescent="0.35">
      <c r="A99" t="s">
        <v>470</v>
      </c>
      <c r="B99" t="s">
        <v>471</v>
      </c>
      <c r="C99" t="s">
        <v>295</v>
      </c>
      <c r="D99" t="s">
        <v>296</v>
      </c>
      <c r="E99">
        <v>569143</v>
      </c>
      <c r="F99">
        <v>582568</v>
      </c>
      <c r="G99">
        <v>595461</v>
      </c>
      <c r="H99">
        <v>608537</v>
      </c>
      <c r="I99">
        <v>621764</v>
      </c>
      <c r="J99">
        <v>635128</v>
      </c>
      <c r="K99">
        <v>648646</v>
      </c>
      <c r="L99">
        <v>662311</v>
      </c>
      <c r="M99">
        <v>676160</v>
      </c>
      <c r="N99">
        <v>690223</v>
      </c>
      <c r="O99">
        <v>702705</v>
      </c>
      <c r="P99">
        <v>712662</v>
      </c>
      <c r="Q99">
        <v>721617</v>
      </c>
      <c r="R99">
        <v>730138</v>
      </c>
      <c r="S99">
        <v>738057</v>
      </c>
      <c r="T99">
        <v>745393</v>
      </c>
      <c r="U99">
        <v>752253</v>
      </c>
      <c r="V99">
        <v>758654</v>
      </c>
      <c r="W99">
        <v>764586</v>
      </c>
      <c r="X99">
        <v>770062</v>
      </c>
      <c r="Y99">
        <v>774367</v>
      </c>
      <c r="Z99">
        <v>776453</v>
      </c>
      <c r="AA99">
        <v>776712</v>
      </c>
      <c r="AB99">
        <v>775891</v>
      </c>
      <c r="AC99">
        <v>774111</v>
      </c>
      <c r="AD99">
        <v>771477</v>
      </c>
      <c r="AE99">
        <v>768098</v>
      </c>
      <c r="AF99">
        <v>764120</v>
      </c>
      <c r="AG99">
        <v>759663</v>
      </c>
      <c r="AH99">
        <v>754865</v>
      </c>
      <c r="AI99">
        <v>749894</v>
      </c>
      <c r="AJ99">
        <v>747861</v>
      </c>
      <c r="AK99">
        <v>749911</v>
      </c>
      <c r="AL99">
        <v>752965</v>
      </c>
      <c r="AM99">
        <v>755822</v>
      </c>
      <c r="AN99">
        <v>758388</v>
      </c>
      <c r="AO99">
        <v>760526</v>
      </c>
      <c r="AP99">
        <v>762245</v>
      </c>
      <c r="AQ99">
        <v>763586</v>
      </c>
      <c r="AR99">
        <v>764483</v>
      </c>
      <c r="AS99">
        <v>764832</v>
      </c>
      <c r="AT99">
        <v>764477</v>
      </c>
      <c r="AU99">
        <v>763652</v>
      </c>
      <c r="AV99">
        <v>763101</v>
      </c>
      <c r="AW99">
        <v>762418</v>
      </c>
      <c r="AX99">
        <v>760914</v>
      </c>
      <c r="AY99">
        <v>758966</v>
      </c>
      <c r="AZ99">
        <v>756861</v>
      </c>
      <c r="BA99">
        <v>754606</v>
      </c>
      <c r="BB99">
        <v>752094</v>
      </c>
      <c r="BC99">
        <v>749256</v>
      </c>
      <c r="BD99">
        <v>746153</v>
      </c>
      <c r="BE99">
        <v>746288</v>
      </c>
      <c r="BF99">
        <v>750021</v>
      </c>
      <c r="BG99">
        <v>754229</v>
      </c>
      <c r="BH99">
        <v>758781</v>
      </c>
      <c r="BI99">
        <v>763548</v>
      </c>
      <c r="BJ99">
        <v>768479</v>
      </c>
      <c r="BK99">
        <v>791556</v>
      </c>
      <c r="BL99">
        <v>807665</v>
      </c>
      <c r="BM99">
        <v>807481</v>
      </c>
      <c r="BN99">
        <v>815482</v>
      </c>
      <c r="BO99">
        <v>821637</v>
      </c>
      <c r="BP99">
        <v>826353</v>
      </c>
      <c r="BQ99">
        <v>831087</v>
      </c>
      <c r="BR99">
        <v>835986</v>
      </c>
    </row>
    <row r="100" spans="1:70" x14ac:dyDescent="0.35">
      <c r="A100" t="s">
        <v>472</v>
      </c>
      <c r="B100" t="s">
        <v>473</v>
      </c>
      <c r="C100" t="s">
        <v>295</v>
      </c>
      <c r="D100" t="s">
        <v>296</v>
      </c>
      <c r="E100">
        <v>908257300</v>
      </c>
      <c r="F100">
        <v>919449343</v>
      </c>
      <c r="G100">
        <v>930832910</v>
      </c>
      <c r="H100">
        <v>942141564</v>
      </c>
      <c r="I100">
        <v>953477851</v>
      </c>
      <c r="J100">
        <v>964459737</v>
      </c>
      <c r="K100">
        <v>974216640</v>
      </c>
      <c r="L100">
        <v>983598764</v>
      </c>
      <c r="M100">
        <v>992893702</v>
      </c>
      <c r="N100">
        <v>1002359669</v>
      </c>
      <c r="O100">
        <v>1011801481</v>
      </c>
      <c r="P100">
        <v>1022885127</v>
      </c>
      <c r="Q100">
        <v>1032671994</v>
      </c>
      <c r="R100">
        <v>1042151537</v>
      </c>
      <c r="S100">
        <v>1051440406</v>
      </c>
      <c r="T100">
        <v>1060472674</v>
      </c>
      <c r="U100">
        <v>1069129380</v>
      </c>
      <c r="V100">
        <v>1077728159</v>
      </c>
      <c r="W100">
        <v>1086358633</v>
      </c>
      <c r="X100">
        <v>1095282220</v>
      </c>
      <c r="Y100">
        <v>1104005914</v>
      </c>
      <c r="Z100">
        <v>1112639701</v>
      </c>
      <c r="AA100">
        <v>1120660141</v>
      </c>
      <c r="AB100">
        <v>1128262810</v>
      </c>
      <c r="AC100">
        <v>1135690050</v>
      </c>
      <c r="AD100">
        <v>1143179467</v>
      </c>
      <c r="AE100">
        <v>1150810380</v>
      </c>
      <c r="AF100">
        <v>1158607401</v>
      </c>
      <c r="AG100">
        <v>1166527685</v>
      </c>
      <c r="AH100">
        <v>1174766408</v>
      </c>
      <c r="AI100">
        <v>1182189939</v>
      </c>
      <c r="AJ100">
        <v>1190620652</v>
      </c>
      <c r="AK100">
        <v>1199265190</v>
      </c>
      <c r="AL100">
        <v>1207321942</v>
      </c>
      <c r="AM100">
        <v>1214865411</v>
      </c>
      <c r="AN100">
        <v>1222056186</v>
      </c>
      <c r="AO100">
        <v>1229173348</v>
      </c>
      <c r="AP100">
        <v>1236130405</v>
      </c>
      <c r="AQ100">
        <v>1242897726</v>
      </c>
      <c r="AR100">
        <v>1249367360</v>
      </c>
      <c r="AS100">
        <v>1255696330</v>
      </c>
      <c r="AT100">
        <v>1262093741</v>
      </c>
      <c r="AU100">
        <v>1268559564</v>
      </c>
      <c r="AV100">
        <v>1275200577</v>
      </c>
      <c r="AW100">
        <v>1282168195</v>
      </c>
      <c r="AX100">
        <v>1289125857</v>
      </c>
      <c r="AY100">
        <v>1296891494</v>
      </c>
      <c r="AZ100">
        <v>1305578110</v>
      </c>
      <c r="BA100">
        <v>1314671040</v>
      </c>
      <c r="BB100">
        <v>1322754051</v>
      </c>
      <c r="BC100">
        <v>1328657753</v>
      </c>
      <c r="BD100">
        <v>1334557662</v>
      </c>
      <c r="BE100">
        <v>1342428399</v>
      </c>
      <c r="BF100">
        <v>1350148878</v>
      </c>
      <c r="BG100">
        <v>1357495262</v>
      </c>
      <c r="BH100">
        <v>1366012613</v>
      </c>
      <c r="BI100">
        <v>1374283414</v>
      </c>
      <c r="BJ100">
        <v>1380317891</v>
      </c>
      <c r="BK100">
        <v>1384829843</v>
      </c>
      <c r="BL100">
        <v>1389767299</v>
      </c>
      <c r="BM100">
        <v>1393469256</v>
      </c>
      <c r="BN100">
        <v>1391809845</v>
      </c>
      <c r="BO100">
        <v>1398027812</v>
      </c>
      <c r="BP100">
        <v>1408138595</v>
      </c>
      <c r="BQ100">
        <v>1417926222</v>
      </c>
      <c r="BR100">
        <v>1423739902</v>
      </c>
    </row>
    <row r="101" spans="1:70" x14ac:dyDescent="0.35">
      <c r="A101" t="s">
        <v>474</v>
      </c>
      <c r="B101" t="s">
        <v>475</v>
      </c>
      <c r="C101" t="s">
        <v>295</v>
      </c>
      <c r="D101" t="s">
        <v>296</v>
      </c>
      <c r="E101">
        <v>3094840</v>
      </c>
      <c r="F101">
        <v>3168100</v>
      </c>
      <c r="G101">
        <v>3305200</v>
      </c>
      <c r="H101">
        <v>3420900</v>
      </c>
      <c r="I101">
        <v>3504600</v>
      </c>
      <c r="J101">
        <v>3597900</v>
      </c>
      <c r="K101">
        <v>3629900</v>
      </c>
      <c r="L101">
        <v>3722800</v>
      </c>
      <c r="M101">
        <v>3802700</v>
      </c>
      <c r="N101">
        <v>3863900</v>
      </c>
      <c r="O101">
        <v>3959000</v>
      </c>
      <c r="P101">
        <v>4045300</v>
      </c>
      <c r="Q101">
        <v>4123600</v>
      </c>
      <c r="R101">
        <v>4241600</v>
      </c>
      <c r="S101">
        <v>4377800</v>
      </c>
      <c r="T101">
        <v>4461600</v>
      </c>
      <c r="U101">
        <v>4518000</v>
      </c>
      <c r="V101">
        <v>4583700</v>
      </c>
      <c r="W101">
        <v>4667500</v>
      </c>
      <c r="X101">
        <v>4929700</v>
      </c>
      <c r="Y101">
        <v>5063100</v>
      </c>
      <c r="Z101">
        <v>5183400</v>
      </c>
      <c r="AA101">
        <v>5264500</v>
      </c>
      <c r="AB101">
        <v>5345100</v>
      </c>
      <c r="AC101">
        <v>5397900</v>
      </c>
      <c r="AD101">
        <v>5456200</v>
      </c>
      <c r="AE101">
        <v>5524600</v>
      </c>
      <c r="AF101">
        <v>5580500</v>
      </c>
      <c r="AG101">
        <v>5627600</v>
      </c>
      <c r="AH101">
        <v>5686200</v>
      </c>
      <c r="AI101">
        <v>5704500</v>
      </c>
      <c r="AJ101">
        <v>5752000</v>
      </c>
      <c r="AK101">
        <v>5800500</v>
      </c>
      <c r="AL101">
        <v>5901000</v>
      </c>
      <c r="AM101">
        <v>6035400</v>
      </c>
      <c r="AN101">
        <v>6156100</v>
      </c>
      <c r="AO101">
        <v>6435500</v>
      </c>
      <c r="AP101">
        <v>6489300</v>
      </c>
      <c r="AQ101">
        <v>6543700</v>
      </c>
      <c r="AR101">
        <v>6606500</v>
      </c>
      <c r="AS101">
        <v>6665000</v>
      </c>
      <c r="AT101">
        <v>6714300</v>
      </c>
      <c r="AU101">
        <v>6744100</v>
      </c>
      <c r="AV101">
        <v>6730800</v>
      </c>
      <c r="AW101">
        <v>6783500</v>
      </c>
      <c r="AX101">
        <v>6813200</v>
      </c>
      <c r="AY101">
        <v>6857100</v>
      </c>
      <c r="AZ101">
        <v>6916300</v>
      </c>
      <c r="BA101">
        <v>6957800</v>
      </c>
      <c r="BB101">
        <v>6972800</v>
      </c>
      <c r="BC101">
        <v>7024200</v>
      </c>
      <c r="BD101">
        <v>7071600</v>
      </c>
      <c r="BE101">
        <v>7150100</v>
      </c>
      <c r="BF101">
        <v>7178900</v>
      </c>
      <c r="BG101">
        <v>7229500</v>
      </c>
      <c r="BH101">
        <v>7291300</v>
      </c>
      <c r="BI101">
        <v>7336600</v>
      </c>
      <c r="BJ101">
        <v>7393200</v>
      </c>
      <c r="BK101">
        <v>7452600</v>
      </c>
      <c r="BL101">
        <v>7507900</v>
      </c>
      <c r="BM101">
        <v>7481000</v>
      </c>
      <c r="BN101">
        <v>7413100</v>
      </c>
      <c r="BO101">
        <v>7346100</v>
      </c>
      <c r="BP101">
        <v>7536100</v>
      </c>
      <c r="BQ101">
        <v>7524100</v>
      </c>
      <c r="BR101">
        <v>7498900</v>
      </c>
    </row>
    <row r="102" spans="1:70" x14ac:dyDescent="0.35">
      <c r="A102" t="s">
        <v>476</v>
      </c>
      <c r="B102" t="s">
        <v>477</v>
      </c>
      <c r="C102" t="s">
        <v>295</v>
      </c>
      <c r="D102" t="s">
        <v>296</v>
      </c>
      <c r="E102">
        <v>2062060</v>
      </c>
      <c r="F102">
        <v>2121242</v>
      </c>
      <c r="G102">
        <v>2182064</v>
      </c>
      <c r="H102">
        <v>2244878</v>
      </c>
      <c r="I102">
        <v>2309855</v>
      </c>
      <c r="J102">
        <v>2377157</v>
      </c>
      <c r="K102">
        <v>2446751</v>
      </c>
      <c r="L102">
        <v>2518648</v>
      </c>
      <c r="M102">
        <v>2593057</v>
      </c>
      <c r="N102">
        <v>2670289</v>
      </c>
      <c r="O102">
        <v>2750715</v>
      </c>
      <c r="P102">
        <v>2834616</v>
      </c>
      <c r="Q102">
        <v>2922064</v>
      </c>
      <c r="R102">
        <v>3011459</v>
      </c>
      <c r="S102">
        <v>3099836</v>
      </c>
      <c r="T102">
        <v>3193234</v>
      </c>
      <c r="U102">
        <v>3294457</v>
      </c>
      <c r="V102">
        <v>3398655</v>
      </c>
      <c r="W102">
        <v>3505463</v>
      </c>
      <c r="X102">
        <v>3614981</v>
      </c>
      <c r="Y102">
        <v>3727173</v>
      </c>
      <c r="Z102">
        <v>3841778</v>
      </c>
      <c r="AA102">
        <v>3958728</v>
      </c>
      <c r="AB102">
        <v>4078174</v>
      </c>
      <c r="AC102">
        <v>4199850</v>
      </c>
      <c r="AD102">
        <v>4323342</v>
      </c>
      <c r="AE102">
        <v>4448899</v>
      </c>
      <c r="AF102">
        <v>4576910</v>
      </c>
      <c r="AG102">
        <v>4707677</v>
      </c>
      <c r="AH102">
        <v>4841838</v>
      </c>
      <c r="AI102">
        <v>4980488</v>
      </c>
      <c r="AJ102">
        <v>5123792</v>
      </c>
      <c r="AK102">
        <v>5271431</v>
      </c>
      <c r="AL102">
        <v>5423249</v>
      </c>
      <c r="AM102">
        <v>5579242</v>
      </c>
      <c r="AN102">
        <v>5739637</v>
      </c>
      <c r="AO102">
        <v>5903954</v>
      </c>
      <c r="AP102">
        <v>6071454</v>
      </c>
      <c r="AQ102">
        <v>6234431</v>
      </c>
      <c r="AR102">
        <v>6400463</v>
      </c>
      <c r="AS102">
        <v>6577773</v>
      </c>
      <c r="AT102">
        <v>6757993</v>
      </c>
      <c r="AU102">
        <v>6938859</v>
      </c>
      <c r="AV102">
        <v>7119213</v>
      </c>
      <c r="AW102">
        <v>7298994</v>
      </c>
      <c r="AX102">
        <v>7478355</v>
      </c>
      <c r="AY102">
        <v>7656832</v>
      </c>
      <c r="AZ102">
        <v>7834798</v>
      </c>
      <c r="BA102">
        <v>8012587</v>
      </c>
      <c r="BB102">
        <v>8189899</v>
      </c>
      <c r="BC102">
        <v>8365878</v>
      </c>
      <c r="BD102">
        <v>8540583</v>
      </c>
      <c r="BE102">
        <v>8715076</v>
      </c>
      <c r="BF102">
        <v>8889278</v>
      </c>
      <c r="BG102">
        <v>9063122</v>
      </c>
      <c r="BH102">
        <v>9237305</v>
      </c>
      <c r="BI102">
        <v>9412380</v>
      </c>
      <c r="BJ102">
        <v>9588137</v>
      </c>
      <c r="BK102">
        <v>9765210</v>
      </c>
      <c r="BL102">
        <v>9943633</v>
      </c>
      <c r="BM102">
        <v>10119640</v>
      </c>
      <c r="BN102">
        <v>10289877</v>
      </c>
      <c r="BO102">
        <v>10463872</v>
      </c>
      <c r="BP102">
        <v>10644851</v>
      </c>
      <c r="BQ102">
        <v>10825703</v>
      </c>
      <c r="BR102">
        <v>11005850</v>
      </c>
    </row>
    <row r="103" spans="1:70" x14ac:dyDescent="0.35">
      <c r="A103" t="s">
        <v>478</v>
      </c>
      <c r="B103" t="s">
        <v>479</v>
      </c>
      <c r="C103" t="s">
        <v>295</v>
      </c>
      <c r="D103" t="s">
        <v>296</v>
      </c>
      <c r="E103">
        <v>163650527</v>
      </c>
      <c r="F103">
        <v>167634887</v>
      </c>
      <c r="G103">
        <v>171771666</v>
      </c>
      <c r="H103">
        <v>176063263</v>
      </c>
      <c r="I103">
        <v>180533637</v>
      </c>
      <c r="J103">
        <v>185190461</v>
      </c>
      <c r="K103">
        <v>190003803</v>
      </c>
      <c r="L103">
        <v>195028244</v>
      </c>
      <c r="M103">
        <v>200292439</v>
      </c>
      <c r="N103">
        <v>205774495</v>
      </c>
      <c r="O103">
        <v>211454215</v>
      </c>
      <c r="P103">
        <v>217246524</v>
      </c>
      <c r="Q103">
        <v>223088699</v>
      </c>
      <c r="R103">
        <v>229237164</v>
      </c>
      <c r="S103">
        <v>235684468</v>
      </c>
      <c r="T103">
        <v>242233324</v>
      </c>
      <c r="U103">
        <v>248919701</v>
      </c>
      <c r="V103">
        <v>255589260</v>
      </c>
      <c r="W103">
        <v>262863865</v>
      </c>
      <c r="X103">
        <v>270444254</v>
      </c>
      <c r="Y103">
        <v>276998528</v>
      </c>
      <c r="Z103">
        <v>283121768</v>
      </c>
      <c r="AA103">
        <v>290318160</v>
      </c>
      <c r="AB103">
        <v>298410440</v>
      </c>
      <c r="AC103">
        <v>306716808</v>
      </c>
      <c r="AD103">
        <v>315183207</v>
      </c>
      <c r="AE103">
        <v>323773389</v>
      </c>
      <c r="AF103">
        <v>332757056</v>
      </c>
      <c r="AG103">
        <v>342112889</v>
      </c>
      <c r="AH103">
        <v>351789420</v>
      </c>
      <c r="AI103">
        <v>361373197</v>
      </c>
      <c r="AJ103">
        <v>371118724</v>
      </c>
      <c r="AK103">
        <v>382206581</v>
      </c>
      <c r="AL103">
        <v>394532014</v>
      </c>
      <c r="AM103">
        <v>406616961</v>
      </c>
      <c r="AN103">
        <v>418529718</v>
      </c>
      <c r="AO103">
        <v>430720216</v>
      </c>
      <c r="AP103">
        <v>442909917</v>
      </c>
      <c r="AQ103">
        <v>455629985</v>
      </c>
      <c r="AR103">
        <v>468742376</v>
      </c>
      <c r="AS103">
        <v>481628012</v>
      </c>
      <c r="AT103">
        <v>494824112</v>
      </c>
      <c r="AU103">
        <v>509293837</v>
      </c>
      <c r="AV103">
        <v>524375932</v>
      </c>
      <c r="AW103">
        <v>539388313</v>
      </c>
      <c r="AX103">
        <v>554927452</v>
      </c>
      <c r="AY103">
        <v>571013586</v>
      </c>
      <c r="AZ103">
        <v>586992483</v>
      </c>
      <c r="BA103">
        <v>603575028</v>
      </c>
      <c r="BB103">
        <v>620916734</v>
      </c>
      <c r="BC103">
        <v>638389596</v>
      </c>
      <c r="BD103">
        <v>656367599</v>
      </c>
      <c r="BE103">
        <v>674950539</v>
      </c>
      <c r="BF103">
        <v>694136340</v>
      </c>
      <c r="BG103">
        <v>714234635</v>
      </c>
      <c r="BH103">
        <v>734837721</v>
      </c>
      <c r="BI103">
        <v>756237630</v>
      </c>
      <c r="BJ103">
        <v>778657210</v>
      </c>
      <c r="BK103">
        <v>801220102</v>
      </c>
      <c r="BL103">
        <v>823805910</v>
      </c>
      <c r="BM103">
        <v>846861642</v>
      </c>
      <c r="BN103">
        <v>869987833</v>
      </c>
      <c r="BO103">
        <v>892885172</v>
      </c>
      <c r="BP103">
        <v>916223767</v>
      </c>
      <c r="BQ103">
        <v>940304348</v>
      </c>
      <c r="BR103">
        <v>965148593</v>
      </c>
    </row>
    <row r="104" spans="1:70" x14ac:dyDescent="0.35">
      <c r="A104" t="s">
        <v>480</v>
      </c>
      <c r="B104" t="s">
        <v>481</v>
      </c>
      <c r="C104" t="s">
        <v>295</v>
      </c>
      <c r="D104" t="s">
        <v>296</v>
      </c>
      <c r="E104">
        <v>4140181</v>
      </c>
      <c r="F104">
        <v>4167292</v>
      </c>
      <c r="G104">
        <v>4196712</v>
      </c>
      <c r="H104">
        <v>4225675</v>
      </c>
      <c r="I104">
        <v>4252876</v>
      </c>
      <c r="J104">
        <v>4280923</v>
      </c>
      <c r="K104">
        <v>4310701</v>
      </c>
      <c r="L104">
        <v>4338683</v>
      </c>
      <c r="M104">
        <v>4365628</v>
      </c>
      <c r="N104">
        <v>4391490</v>
      </c>
      <c r="O104">
        <v>4412252</v>
      </c>
      <c r="P104">
        <v>4431275</v>
      </c>
      <c r="Q104">
        <v>4450564</v>
      </c>
      <c r="R104">
        <v>4470161</v>
      </c>
      <c r="S104">
        <v>4490660</v>
      </c>
      <c r="T104">
        <v>4512082</v>
      </c>
      <c r="U104">
        <v>4535934</v>
      </c>
      <c r="V104">
        <v>4559571</v>
      </c>
      <c r="W104">
        <v>4581085</v>
      </c>
      <c r="X104">
        <v>4594778</v>
      </c>
      <c r="Y104">
        <v>4599782</v>
      </c>
      <c r="Z104">
        <v>4611509</v>
      </c>
      <c r="AA104">
        <v>4634234</v>
      </c>
      <c r="AB104">
        <v>4658254</v>
      </c>
      <c r="AC104">
        <v>4680285</v>
      </c>
      <c r="AD104">
        <v>4701417</v>
      </c>
      <c r="AE104">
        <v>4721446</v>
      </c>
      <c r="AF104">
        <v>4739745</v>
      </c>
      <c r="AG104">
        <v>4755207</v>
      </c>
      <c r="AH104">
        <v>4767260</v>
      </c>
      <c r="AI104">
        <v>4777368</v>
      </c>
      <c r="AJ104">
        <v>4689022</v>
      </c>
      <c r="AK104">
        <v>4575818</v>
      </c>
      <c r="AL104">
        <v>4600463</v>
      </c>
      <c r="AM104">
        <v>4652024</v>
      </c>
      <c r="AN104">
        <v>4620030</v>
      </c>
      <c r="AO104">
        <v>4557097</v>
      </c>
      <c r="AP104">
        <v>4534920</v>
      </c>
      <c r="AQ104">
        <v>4532135</v>
      </c>
      <c r="AR104">
        <v>4512597</v>
      </c>
      <c r="AS104">
        <v>4468302</v>
      </c>
      <c r="AT104">
        <v>4299642</v>
      </c>
      <c r="AU104">
        <v>4302174</v>
      </c>
      <c r="AV104">
        <v>4303399</v>
      </c>
      <c r="AW104">
        <v>4304600</v>
      </c>
      <c r="AX104">
        <v>4310145</v>
      </c>
      <c r="AY104">
        <v>4311159</v>
      </c>
      <c r="AZ104">
        <v>4310217</v>
      </c>
      <c r="BA104">
        <v>4309705</v>
      </c>
      <c r="BB104">
        <v>4305181</v>
      </c>
      <c r="BC104">
        <v>4295427</v>
      </c>
      <c r="BD104">
        <v>4280622</v>
      </c>
      <c r="BE104">
        <v>4260368</v>
      </c>
      <c r="BF104">
        <v>4233922</v>
      </c>
      <c r="BG104">
        <v>4201598</v>
      </c>
      <c r="BH104">
        <v>4151725</v>
      </c>
      <c r="BI104">
        <v>4106867</v>
      </c>
      <c r="BJ104">
        <v>4041407</v>
      </c>
      <c r="BK104">
        <v>3988775</v>
      </c>
      <c r="BL104">
        <v>3949390</v>
      </c>
      <c r="BM104">
        <v>3914206</v>
      </c>
      <c r="BN104">
        <v>3878981</v>
      </c>
      <c r="BO104">
        <v>3855641</v>
      </c>
      <c r="BP104">
        <v>3859686</v>
      </c>
      <c r="BQ104">
        <v>3866200</v>
      </c>
      <c r="BR104">
        <v>3876200</v>
      </c>
    </row>
    <row r="105" spans="1:70" x14ac:dyDescent="0.35">
      <c r="A105" t="s">
        <v>482</v>
      </c>
      <c r="B105" t="s">
        <v>483</v>
      </c>
      <c r="C105" t="s">
        <v>295</v>
      </c>
      <c r="D105" t="s">
        <v>296</v>
      </c>
      <c r="E105">
        <v>3858443</v>
      </c>
      <c r="F105">
        <v>3929030</v>
      </c>
      <c r="G105">
        <v>4001575</v>
      </c>
      <c r="H105">
        <v>4073068</v>
      </c>
      <c r="I105">
        <v>4146244</v>
      </c>
      <c r="J105">
        <v>4223820</v>
      </c>
      <c r="K105">
        <v>4302639</v>
      </c>
      <c r="L105">
        <v>4382999</v>
      </c>
      <c r="M105">
        <v>4465328</v>
      </c>
      <c r="N105">
        <v>4549334</v>
      </c>
      <c r="O105">
        <v>4635124</v>
      </c>
      <c r="P105">
        <v>4723244</v>
      </c>
      <c r="Q105">
        <v>4813868</v>
      </c>
      <c r="R105">
        <v>4906743</v>
      </c>
      <c r="S105">
        <v>5001796</v>
      </c>
      <c r="T105">
        <v>5099086</v>
      </c>
      <c r="U105">
        <v>5198357</v>
      </c>
      <c r="V105">
        <v>5299476</v>
      </c>
      <c r="W105">
        <v>5402580</v>
      </c>
      <c r="X105">
        <v>5507590</v>
      </c>
      <c r="Y105">
        <v>5614493</v>
      </c>
      <c r="Z105">
        <v>5723725</v>
      </c>
      <c r="AA105">
        <v>5835937</v>
      </c>
      <c r="AB105">
        <v>5951096</v>
      </c>
      <c r="AC105">
        <v>6069230</v>
      </c>
      <c r="AD105">
        <v>6190862</v>
      </c>
      <c r="AE105">
        <v>6316122</v>
      </c>
      <c r="AF105">
        <v>6445123</v>
      </c>
      <c r="AG105">
        <v>6578145</v>
      </c>
      <c r="AH105">
        <v>6714730</v>
      </c>
      <c r="AI105">
        <v>6854441</v>
      </c>
      <c r="AJ105">
        <v>6995450</v>
      </c>
      <c r="AK105">
        <v>7136571</v>
      </c>
      <c r="AL105">
        <v>7278181</v>
      </c>
      <c r="AM105">
        <v>7419771</v>
      </c>
      <c r="AN105">
        <v>7562546</v>
      </c>
      <c r="AO105">
        <v>7707557</v>
      </c>
      <c r="AP105">
        <v>7854298</v>
      </c>
      <c r="AQ105">
        <v>8002143</v>
      </c>
      <c r="AR105">
        <v>8151296</v>
      </c>
      <c r="AS105">
        <v>8303151</v>
      </c>
      <c r="AT105">
        <v>8455918</v>
      </c>
      <c r="AU105">
        <v>8607641</v>
      </c>
      <c r="AV105">
        <v>8759912</v>
      </c>
      <c r="AW105">
        <v>8910263</v>
      </c>
      <c r="AX105">
        <v>9061273</v>
      </c>
      <c r="AY105">
        <v>9216562</v>
      </c>
      <c r="AZ105">
        <v>9373296</v>
      </c>
      <c r="BA105">
        <v>9530774</v>
      </c>
      <c r="BB105">
        <v>9689581</v>
      </c>
      <c r="BC105">
        <v>9803294</v>
      </c>
      <c r="BD105">
        <v>9914904</v>
      </c>
      <c r="BE105">
        <v>10069771</v>
      </c>
      <c r="BF105">
        <v>10222362</v>
      </c>
      <c r="BG105">
        <v>10373235</v>
      </c>
      <c r="BH105">
        <v>10523242</v>
      </c>
      <c r="BI105">
        <v>10671457</v>
      </c>
      <c r="BJ105">
        <v>10817754</v>
      </c>
      <c r="BK105">
        <v>10962362</v>
      </c>
      <c r="BL105">
        <v>11105163</v>
      </c>
      <c r="BM105">
        <v>11243848</v>
      </c>
      <c r="BN105">
        <v>11374586</v>
      </c>
      <c r="BO105">
        <v>11503606</v>
      </c>
      <c r="BP105">
        <v>11637398</v>
      </c>
      <c r="BQ105">
        <v>11772557</v>
      </c>
      <c r="BR105">
        <v>11906095</v>
      </c>
    </row>
    <row r="106" spans="1:70" x14ac:dyDescent="0.35">
      <c r="A106" t="s">
        <v>484</v>
      </c>
      <c r="B106" t="s">
        <v>485</v>
      </c>
      <c r="C106" t="s">
        <v>295</v>
      </c>
      <c r="D106" t="s">
        <v>296</v>
      </c>
      <c r="E106">
        <v>9983512</v>
      </c>
      <c r="F106">
        <v>10027958</v>
      </c>
      <c r="G106">
        <v>10060825</v>
      </c>
      <c r="H106">
        <v>10087947</v>
      </c>
      <c r="I106">
        <v>10119835</v>
      </c>
      <c r="J106">
        <v>10147935</v>
      </c>
      <c r="K106">
        <v>10178653</v>
      </c>
      <c r="L106">
        <v>10216604</v>
      </c>
      <c r="M106">
        <v>10255815</v>
      </c>
      <c r="N106">
        <v>10298723</v>
      </c>
      <c r="O106">
        <v>10337910</v>
      </c>
      <c r="P106">
        <v>10367537</v>
      </c>
      <c r="Q106">
        <v>10398489</v>
      </c>
      <c r="R106">
        <v>10432055</v>
      </c>
      <c r="S106">
        <v>10478720</v>
      </c>
      <c r="T106">
        <v>10540525</v>
      </c>
      <c r="U106">
        <v>10598677</v>
      </c>
      <c r="V106">
        <v>10648031</v>
      </c>
      <c r="W106">
        <v>10684822</v>
      </c>
      <c r="X106">
        <v>10704152</v>
      </c>
      <c r="Y106">
        <v>10711122</v>
      </c>
      <c r="Z106">
        <v>10711848</v>
      </c>
      <c r="AA106">
        <v>10705535</v>
      </c>
      <c r="AB106">
        <v>10689463</v>
      </c>
      <c r="AC106">
        <v>10668095</v>
      </c>
      <c r="AD106">
        <v>10648713</v>
      </c>
      <c r="AE106">
        <v>10630564</v>
      </c>
      <c r="AF106">
        <v>10612741</v>
      </c>
      <c r="AG106">
        <v>10596487</v>
      </c>
      <c r="AH106">
        <v>10481719</v>
      </c>
      <c r="AI106">
        <v>10373988</v>
      </c>
      <c r="AJ106">
        <v>10373400</v>
      </c>
      <c r="AK106">
        <v>10369341</v>
      </c>
      <c r="AL106">
        <v>10357523</v>
      </c>
      <c r="AM106">
        <v>10343355</v>
      </c>
      <c r="AN106">
        <v>10328965</v>
      </c>
      <c r="AO106">
        <v>10311238</v>
      </c>
      <c r="AP106">
        <v>10290486</v>
      </c>
      <c r="AQ106">
        <v>10266570</v>
      </c>
      <c r="AR106">
        <v>10237530</v>
      </c>
      <c r="AS106">
        <v>10210971</v>
      </c>
      <c r="AT106">
        <v>10187576</v>
      </c>
      <c r="AU106">
        <v>10158608</v>
      </c>
      <c r="AV106">
        <v>10129552</v>
      </c>
      <c r="AW106">
        <v>10107146</v>
      </c>
      <c r="AX106">
        <v>10087065</v>
      </c>
      <c r="AY106">
        <v>10071370</v>
      </c>
      <c r="AZ106">
        <v>10055780</v>
      </c>
      <c r="BA106">
        <v>10038188</v>
      </c>
      <c r="BB106">
        <v>10022650</v>
      </c>
      <c r="BC106">
        <v>10000023</v>
      </c>
      <c r="BD106">
        <v>9971727</v>
      </c>
      <c r="BE106">
        <v>9920362</v>
      </c>
      <c r="BF106">
        <v>9872734</v>
      </c>
      <c r="BG106">
        <v>9833038</v>
      </c>
      <c r="BH106">
        <v>9797755</v>
      </c>
      <c r="BI106">
        <v>9759755</v>
      </c>
      <c r="BJ106">
        <v>9726756</v>
      </c>
      <c r="BK106">
        <v>9706964</v>
      </c>
      <c r="BL106">
        <v>9694824</v>
      </c>
      <c r="BM106">
        <v>9670419</v>
      </c>
      <c r="BN106">
        <v>9630932</v>
      </c>
      <c r="BO106">
        <v>9605074</v>
      </c>
      <c r="BP106">
        <v>9592186</v>
      </c>
      <c r="BQ106">
        <v>9562065</v>
      </c>
      <c r="BR106">
        <v>9514251</v>
      </c>
    </row>
    <row r="107" spans="1:70" x14ac:dyDescent="0.35">
      <c r="A107" t="s">
        <v>486</v>
      </c>
      <c r="B107" t="s">
        <v>487</v>
      </c>
      <c r="C107" t="s">
        <v>295</v>
      </c>
      <c r="D107" t="s">
        <v>296</v>
      </c>
      <c r="E107">
        <v>1893704624</v>
      </c>
      <c r="F107">
        <v>1915613080</v>
      </c>
      <c r="G107">
        <v>1950274734</v>
      </c>
      <c r="H107">
        <v>1996753344</v>
      </c>
      <c r="I107">
        <v>2043309631</v>
      </c>
      <c r="J107">
        <v>2090209567</v>
      </c>
      <c r="K107">
        <v>2139608511</v>
      </c>
      <c r="L107">
        <v>2188950141</v>
      </c>
      <c r="M107">
        <v>2239610101</v>
      </c>
      <c r="N107">
        <v>2292098651</v>
      </c>
      <c r="O107">
        <v>2346056161</v>
      </c>
      <c r="P107">
        <v>2401008150</v>
      </c>
      <c r="Q107">
        <v>2454764228</v>
      </c>
      <c r="R107">
        <v>2508370507</v>
      </c>
      <c r="S107">
        <v>2561343989</v>
      </c>
      <c r="T107">
        <v>2613194091</v>
      </c>
      <c r="U107">
        <v>2664387118</v>
      </c>
      <c r="V107">
        <v>2714845767</v>
      </c>
      <c r="W107">
        <v>2765565797</v>
      </c>
      <c r="X107">
        <v>2816995104</v>
      </c>
      <c r="Y107">
        <v>2869277824</v>
      </c>
      <c r="Z107">
        <v>2923255528</v>
      </c>
      <c r="AA107">
        <v>2980033813</v>
      </c>
      <c r="AB107">
        <v>3037252917</v>
      </c>
      <c r="AC107">
        <v>3094477559</v>
      </c>
      <c r="AD107">
        <v>3152581662</v>
      </c>
      <c r="AE107">
        <v>3212177926</v>
      </c>
      <c r="AF107">
        <v>3273388723</v>
      </c>
      <c r="AG107">
        <v>3334875641</v>
      </c>
      <c r="AH107">
        <v>3395765359</v>
      </c>
      <c r="AI107">
        <v>3455533853</v>
      </c>
      <c r="AJ107">
        <v>3513390696</v>
      </c>
      <c r="AK107">
        <v>3568890021</v>
      </c>
      <c r="AL107">
        <v>3622924380</v>
      </c>
      <c r="AM107">
        <v>3675872938</v>
      </c>
      <c r="AN107">
        <v>3728290191</v>
      </c>
      <c r="AO107">
        <v>3780446473</v>
      </c>
      <c r="AP107">
        <v>3832391543</v>
      </c>
      <c r="AQ107">
        <v>3884078902</v>
      </c>
      <c r="AR107">
        <v>3934521819</v>
      </c>
      <c r="AS107">
        <v>3983328255</v>
      </c>
      <c r="AT107">
        <v>4031080605</v>
      </c>
      <c r="AU107">
        <v>4077229003</v>
      </c>
      <c r="AV107">
        <v>4122775918</v>
      </c>
      <c r="AW107">
        <v>4168676771</v>
      </c>
      <c r="AX107">
        <v>4214082145</v>
      </c>
      <c r="AY107">
        <v>4258827055</v>
      </c>
      <c r="AZ107">
        <v>4302067550</v>
      </c>
      <c r="BA107">
        <v>4346234014</v>
      </c>
      <c r="BB107">
        <v>4391389527</v>
      </c>
      <c r="BC107">
        <v>4436714947</v>
      </c>
      <c r="BD107">
        <v>4483152627</v>
      </c>
      <c r="BE107">
        <v>4532100585</v>
      </c>
      <c r="BF107">
        <v>4581958556</v>
      </c>
      <c r="BG107">
        <v>4630607878</v>
      </c>
      <c r="BH107">
        <v>4676773551</v>
      </c>
      <c r="BI107">
        <v>4721566970</v>
      </c>
      <c r="BJ107">
        <v>4765773411</v>
      </c>
      <c r="BK107">
        <v>4806981820</v>
      </c>
      <c r="BL107">
        <v>4845075024</v>
      </c>
      <c r="BM107">
        <v>4878296727</v>
      </c>
      <c r="BN107">
        <v>4905212516</v>
      </c>
      <c r="BO107">
        <v>4928196300</v>
      </c>
      <c r="BP107">
        <v>4952209753</v>
      </c>
      <c r="BQ107">
        <v>4979670326</v>
      </c>
      <c r="BR107">
        <v>5006926951</v>
      </c>
    </row>
    <row r="108" spans="1:70" x14ac:dyDescent="0.35">
      <c r="A108" t="s">
        <v>488</v>
      </c>
      <c r="B108" t="s">
        <v>489</v>
      </c>
      <c r="C108" t="s">
        <v>295</v>
      </c>
      <c r="D108" t="s">
        <v>296</v>
      </c>
      <c r="E108">
        <v>2289192009</v>
      </c>
      <c r="F108">
        <v>2321079191</v>
      </c>
      <c r="G108">
        <v>2366117598</v>
      </c>
      <c r="H108">
        <v>2423348992</v>
      </c>
      <c r="I108">
        <v>2481064211</v>
      </c>
      <c r="J108">
        <v>2539546161</v>
      </c>
      <c r="K108">
        <v>2600884985</v>
      </c>
      <c r="L108">
        <v>2662591460</v>
      </c>
      <c r="M108">
        <v>2726076557</v>
      </c>
      <c r="N108">
        <v>2791761779</v>
      </c>
      <c r="O108">
        <v>2859028181</v>
      </c>
      <c r="P108">
        <v>2926853813</v>
      </c>
      <c r="Q108">
        <v>2993927780</v>
      </c>
      <c r="R108">
        <v>3062162367</v>
      </c>
      <c r="S108">
        <v>3130311063</v>
      </c>
      <c r="T108">
        <v>3197383499</v>
      </c>
      <c r="U108">
        <v>3263961394</v>
      </c>
      <c r="V108">
        <v>3330100473</v>
      </c>
      <c r="W108">
        <v>3397402860</v>
      </c>
      <c r="X108">
        <v>3466523766</v>
      </c>
      <c r="Y108">
        <v>3536825508</v>
      </c>
      <c r="Z108">
        <v>3608956066</v>
      </c>
      <c r="AA108">
        <v>3684890566</v>
      </c>
      <c r="AB108">
        <v>3761919539</v>
      </c>
      <c r="AC108">
        <v>3839069498</v>
      </c>
      <c r="AD108">
        <v>3917755734</v>
      </c>
      <c r="AE108">
        <v>3998473498</v>
      </c>
      <c r="AF108">
        <v>4081329289</v>
      </c>
      <c r="AG108">
        <v>4164744262</v>
      </c>
      <c r="AH108">
        <v>4247963641</v>
      </c>
      <c r="AI108">
        <v>4330405013</v>
      </c>
      <c r="AJ108">
        <v>4411294822</v>
      </c>
      <c r="AK108">
        <v>4491023184</v>
      </c>
      <c r="AL108">
        <v>4570457550</v>
      </c>
      <c r="AM108">
        <v>4648924378</v>
      </c>
      <c r="AN108">
        <v>4727266098</v>
      </c>
      <c r="AO108">
        <v>4805912319</v>
      </c>
      <c r="AP108">
        <v>4884445385</v>
      </c>
      <c r="AQ108">
        <v>4962944802</v>
      </c>
      <c r="AR108">
        <v>5040311234</v>
      </c>
      <c r="AS108">
        <v>5116367192</v>
      </c>
      <c r="AT108">
        <v>5191975532</v>
      </c>
      <c r="AU108">
        <v>5266759631</v>
      </c>
      <c r="AV108">
        <v>5341441991</v>
      </c>
      <c r="AW108">
        <v>5416713041</v>
      </c>
      <c r="AX108">
        <v>5492049553</v>
      </c>
      <c r="AY108">
        <v>5567795358</v>
      </c>
      <c r="AZ108">
        <v>5643066022</v>
      </c>
      <c r="BA108">
        <v>5719633233</v>
      </c>
      <c r="BB108">
        <v>5797573486</v>
      </c>
      <c r="BC108">
        <v>5876238780</v>
      </c>
      <c r="BD108">
        <v>5956303101</v>
      </c>
      <c r="BE108">
        <v>6038511525</v>
      </c>
      <c r="BF108">
        <v>6119970296</v>
      </c>
      <c r="BG108">
        <v>6201072972</v>
      </c>
      <c r="BH108">
        <v>6280370137</v>
      </c>
      <c r="BI108">
        <v>6359496256</v>
      </c>
      <c r="BJ108">
        <v>6439279067</v>
      </c>
      <c r="BK108">
        <v>6517257782</v>
      </c>
      <c r="BL108">
        <v>6593373309</v>
      </c>
      <c r="BM108">
        <v>6665588686</v>
      </c>
      <c r="BN108">
        <v>6731708832</v>
      </c>
      <c r="BO108">
        <v>6793703268</v>
      </c>
      <c r="BP108">
        <v>6857438587</v>
      </c>
      <c r="BQ108">
        <v>6925362193</v>
      </c>
      <c r="BR108">
        <v>6993790788</v>
      </c>
    </row>
    <row r="109" spans="1:70" x14ac:dyDescent="0.35">
      <c r="A109" t="s">
        <v>490</v>
      </c>
      <c r="B109" t="s">
        <v>491</v>
      </c>
      <c r="C109" t="s">
        <v>295</v>
      </c>
      <c r="D109" t="s">
        <v>296</v>
      </c>
      <c r="E109">
        <v>395487385</v>
      </c>
      <c r="F109">
        <v>405466111</v>
      </c>
      <c r="G109">
        <v>415842864</v>
      </c>
      <c r="H109">
        <v>426595648</v>
      </c>
      <c r="I109">
        <v>437754580</v>
      </c>
      <c r="J109">
        <v>449336594</v>
      </c>
      <c r="K109">
        <v>461276474</v>
      </c>
      <c r="L109">
        <v>473641319</v>
      </c>
      <c r="M109">
        <v>486466456</v>
      </c>
      <c r="N109">
        <v>499663128</v>
      </c>
      <c r="O109">
        <v>512972020</v>
      </c>
      <c r="P109">
        <v>525845663</v>
      </c>
      <c r="Q109">
        <v>539163552</v>
      </c>
      <c r="R109">
        <v>553791860</v>
      </c>
      <c r="S109">
        <v>568967074</v>
      </c>
      <c r="T109">
        <v>584189408</v>
      </c>
      <c r="U109">
        <v>599574276</v>
      </c>
      <c r="V109">
        <v>615254706</v>
      </c>
      <c r="W109">
        <v>631837063</v>
      </c>
      <c r="X109">
        <v>649528662</v>
      </c>
      <c r="Y109">
        <v>667547684</v>
      </c>
      <c r="Z109">
        <v>685700538</v>
      </c>
      <c r="AA109">
        <v>704856753</v>
      </c>
      <c r="AB109">
        <v>724666622</v>
      </c>
      <c r="AC109">
        <v>744591939</v>
      </c>
      <c r="AD109">
        <v>765174072</v>
      </c>
      <c r="AE109">
        <v>786295572</v>
      </c>
      <c r="AF109">
        <v>807940566</v>
      </c>
      <c r="AG109">
        <v>829868621</v>
      </c>
      <c r="AH109">
        <v>852198282</v>
      </c>
      <c r="AI109">
        <v>874871160</v>
      </c>
      <c r="AJ109">
        <v>897904126</v>
      </c>
      <c r="AK109">
        <v>922133163</v>
      </c>
      <c r="AL109">
        <v>947533170</v>
      </c>
      <c r="AM109">
        <v>973051440</v>
      </c>
      <c r="AN109">
        <v>998975907</v>
      </c>
      <c r="AO109">
        <v>1025465846</v>
      </c>
      <c r="AP109">
        <v>1052053842</v>
      </c>
      <c r="AQ109">
        <v>1078865900</v>
      </c>
      <c r="AR109">
        <v>1105789415</v>
      </c>
      <c r="AS109">
        <v>1133038937</v>
      </c>
      <c r="AT109">
        <v>1160894927</v>
      </c>
      <c r="AU109">
        <v>1189530628</v>
      </c>
      <c r="AV109">
        <v>1218666073</v>
      </c>
      <c r="AW109">
        <v>1248036270</v>
      </c>
      <c r="AX109">
        <v>1277967408</v>
      </c>
      <c r="AY109">
        <v>1308968303</v>
      </c>
      <c r="AZ109">
        <v>1340998472</v>
      </c>
      <c r="BA109">
        <v>1373399219</v>
      </c>
      <c r="BB109">
        <v>1406183959</v>
      </c>
      <c r="BC109">
        <v>1439523833</v>
      </c>
      <c r="BD109">
        <v>1473150474</v>
      </c>
      <c r="BE109">
        <v>1506410940</v>
      </c>
      <c r="BF109">
        <v>1538011740</v>
      </c>
      <c r="BG109">
        <v>1570465094</v>
      </c>
      <c r="BH109">
        <v>1603596586</v>
      </c>
      <c r="BI109">
        <v>1637929286</v>
      </c>
      <c r="BJ109">
        <v>1673505656</v>
      </c>
      <c r="BK109">
        <v>1710275962</v>
      </c>
      <c r="BL109">
        <v>1748298285</v>
      </c>
      <c r="BM109">
        <v>1787291959</v>
      </c>
      <c r="BN109">
        <v>1826496316</v>
      </c>
      <c r="BO109">
        <v>1865506968</v>
      </c>
      <c r="BP109">
        <v>1905228834</v>
      </c>
      <c r="BQ109">
        <v>1945691867</v>
      </c>
      <c r="BR109">
        <v>1986863837</v>
      </c>
    </row>
    <row r="110" spans="1:70" x14ac:dyDescent="0.35">
      <c r="A110" t="s">
        <v>492</v>
      </c>
      <c r="B110" t="s">
        <v>493</v>
      </c>
      <c r="C110" t="s">
        <v>295</v>
      </c>
      <c r="D110" t="s">
        <v>296</v>
      </c>
      <c r="E110">
        <v>124475467</v>
      </c>
      <c r="F110">
        <v>127688784</v>
      </c>
      <c r="G110">
        <v>131049320</v>
      </c>
      <c r="H110">
        <v>134563454</v>
      </c>
      <c r="I110">
        <v>138208407</v>
      </c>
      <c r="J110">
        <v>141992226</v>
      </c>
      <c r="K110">
        <v>145904459</v>
      </c>
      <c r="L110">
        <v>149923848</v>
      </c>
      <c r="M110">
        <v>154080039</v>
      </c>
      <c r="N110">
        <v>158393968</v>
      </c>
      <c r="O110">
        <v>162852517</v>
      </c>
      <c r="P110">
        <v>167356115</v>
      </c>
      <c r="Q110">
        <v>172011394</v>
      </c>
      <c r="R110">
        <v>176954946</v>
      </c>
      <c r="S110">
        <v>182138604</v>
      </c>
      <c r="T110">
        <v>187586058</v>
      </c>
      <c r="U110">
        <v>193252681</v>
      </c>
      <c r="V110">
        <v>199165729</v>
      </c>
      <c r="W110">
        <v>205318127</v>
      </c>
      <c r="X110">
        <v>211887858</v>
      </c>
      <c r="Y110">
        <v>219552133</v>
      </c>
      <c r="Z110">
        <v>227625217</v>
      </c>
      <c r="AA110">
        <v>235282858</v>
      </c>
      <c r="AB110">
        <v>242589635</v>
      </c>
      <c r="AC110">
        <v>249868265</v>
      </c>
      <c r="AD110">
        <v>257661913</v>
      </c>
      <c r="AE110">
        <v>265801351</v>
      </c>
      <c r="AF110">
        <v>274161638</v>
      </c>
      <c r="AG110">
        <v>282708012</v>
      </c>
      <c r="AH110">
        <v>291381564</v>
      </c>
      <c r="AI110">
        <v>300366368</v>
      </c>
      <c r="AJ110">
        <v>309491517</v>
      </c>
      <c r="AK110">
        <v>318337815</v>
      </c>
      <c r="AL110">
        <v>327140314</v>
      </c>
      <c r="AM110">
        <v>336096421</v>
      </c>
      <c r="AN110">
        <v>345327214</v>
      </c>
      <c r="AO110">
        <v>354861820</v>
      </c>
      <c r="AP110">
        <v>364489851</v>
      </c>
      <c r="AQ110">
        <v>374262946</v>
      </c>
      <c r="AR110">
        <v>384018319</v>
      </c>
      <c r="AS110">
        <v>394129957</v>
      </c>
      <c r="AT110">
        <v>404662385</v>
      </c>
      <c r="AU110">
        <v>414935066</v>
      </c>
      <c r="AV110">
        <v>425311302</v>
      </c>
      <c r="AW110">
        <v>436147454</v>
      </c>
      <c r="AX110">
        <v>447132945</v>
      </c>
      <c r="AY110">
        <v>458394453</v>
      </c>
      <c r="AZ110">
        <v>470476526</v>
      </c>
      <c r="BA110">
        <v>482975881</v>
      </c>
      <c r="BB110">
        <v>495610570</v>
      </c>
      <c r="BC110">
        <v>508422508</v>
      </c>
      <c r="BD110">
        <v>520984443</v>
      </c>
      <c r="BE110">
        <v>532980174</v>
      </c>
      <c r="BF110">
        <v>544442648</v>
      </c>
      <c r="BG110">
        <v>555868551</v>
      </c>
      <c r="BH110">
        <v>567234056</v>
      </c>
      <c r="BI110">
        <v>578463670</v>
      </c>
      <c r="BJ110">
        <v>590024074</v>
      </c>
      <c r="BK110">
        <v>601951913</v>
      </c>
      <c r="BL110">
        <v>614017319</v>
      </c>
      <c r="BM110">
        <v>626440308</v>
      </c>
      <c r="BN110">
        <v>639196319</v>
      </c>
      <c r="BO110">
        <v>651895919</v>
      </c>
      <c r="BP110">
        <v>664395892</v>
      </c>
      <c r="BQ110">
        <v>676957651</v>
      </c>
      <c r="BR110">
        <v>689783382</v>
      </c>
    </row>
    <row r="111" spans="1:70" x14ac:dyDescent="0.35">
      <c r="A111" t="s">
        <v>494</v>
      </c>
      <c r="B111" t="s">
        <v>495</v>
      </c>
      <c r="C111" t="s">
        <v>295</v>
      </c>
      <c r="D111" t="s">
        <v>296</v>
      </c>
      <c r="E111">
        <v>88296070</v>
      </c>
      <c r="F111">
        <v>90791249</v>
      </c>
      <c r="G111">
        <v>93375850</v>
      </c>
      <c r="H111">
        <v>96051424</v>
      </c>
      <c r="I111">
        <v>98833749</v>
      </c>
      <c r="J111">
        <v>101365130</v>
      </c>
      <c r="K111">
        <v>103792754</v>
      </c>
      <c r="L111">
        <v>106526393</v>
      </c>
      <c r="M111">
        <v>109450006</v>
      </c>
      <c r="N111">
        <v>112517639</v>
      </c>
      <c r="O111">
        <v>115657495</v>
      </c>
      <c r="P111">
        <v>118833702</v>
      </c>
      <c r="Q111">
        <v>122039841</v>
      </c>
      <c r="R111">
        <v>125288515</v>
      </c>
      <c r="S111">
        <v>128555045</v>
      </c>
      <c r="T111">
        <v>131843848</v>
      </c>
      <c r="U111">
        <v>135173655</v>
      </c>
      <c r="V111">
        <v>138533541</v>
      </c>
      <c r="W111">
        <v>141953163</v>
      </c>
      <c r="X111">
        <v>145434834</v>
      </c>
      <c r="Y111">
        <v>148950540</v>
      </c>
      <c r="Z111">
        <v>152485035</v>
      </c>
      <c r="AA111">
        <v>156052152</v>
      </c>
      <c r="AB111">
        <v>159651381</v>
      </c>
      <c r="AC111">
        <v>163251124</v>
      </c>
      <c r="AD111">
        <v>166776185</v>
      </c>
      <c r="AE111">
        <v>170175065</v>
      </c>
      <c r="AF111">
        <v>173511154</v>
      </c>
      <c r="AG111">
        <v>176855065</v>
      </c>
      <c r="AH111">
        <v>180201630</v>
      </c>
      <c r="AI111">
        <v>183501098</v>
      </c>
      <c r="AJ111">
        <v>186778238</v>
      </c>
      <c r="AK111">
        <v>190043744</v>
      </c>
      <c r="AL111">
        <v>193305168</v>
      </c>
      <c r="AM111">
        <v>196591828</v>
      </c>
      <c r="AN111">
        <v>199888057</v>
      </c>
      <c r="AO111">
        <v>203204348</v>
      </c>
      <c r="AP111">
        <v>206536095</v>
      </c>
      <c r="AQ111">
        <v>209826788</v>
      </c>
      <c r="AR111">
        <v>213004668</v>
      </c>
      <c r="AS111">
        <v>216077790</v>
      </c>
      <c r="AT111">
        <v>219097902</v>
      </c>
      <c r="AU111">
        <v>222088495</v>
      </c>
      <c r="AV111">
        <v>225048008</v>
      </c>
      <c r="AW111">
        <v>227926649</v>
      </c>
      <c r="AX111">
        <v>230871650</v>
      </c>
      <c r="AY111">
        <v>233951652</v>
      </c>
      <c r="AZ111">
        <v>237062337</v>
      </c>
      <c r="BA111">
        <v>240157903</v>
      </c>
      <c r="BB111">
        <v>243220028</v>
      </c>
      <c r="BC111">
        <v>246305322</v>
      </c>
      <c r="BD111">
        <v>249470032</v>
      </c>
      <c r="BE111">
        <v>252698525</v>
      </c>
      <c r="BF111">
        <v>255852467</v>
      </c>
      <c r="BG111">
        <v>258877399</v>
      </c>
      <c r="BH111">
        <v>261799249</v>
      </c>
      <c r="BI111">
        <v>264627418</v>
      </c>
      <c r="BJ111">
        <v>267346658</v>
      </c>
      <c r="BK111">
        <v>269951846</v>
      </c>
      <c r="BL111">
        <v>272489381</v>
      </c>
      <c r="BM111">
        <v>274814866</v>
      </c>
      <c r="BN111">
        <v>276758053</v>
      </c>
      <c r="BO111">
        <v>278830529</v>
      </c>
      <c r="BP111">
        <v>281190067</v>
      </c>
      <c r="BQ111">
        <v>283487931</v>
      </c>
      <c r="BR111">
        <v>285721236</v>
      </c>
    </row>
    <row r="112" spans="1:70" x14ac:dyDescent="0.35">
      <c r="A112" t="s">
        <v>496</v>
      </c>
      <c r="B112" t="s">
        <v>497</v>
      </c>
      <c r="C112" t="s">
        <v>295</v>
      </c>
      <c r="D112" t="s">
        <v>296</v>
      </c>
      <c r="E112">
        <v>271011918</v>
      </c>
      <c r="F112">
        <v>277777327</v>
      </c>
      <c r="G112">
        <v>284793544</v>
      </c>
      <c r="H112">
        <v>292032194</v>
      </c>
      <c r="I112">
        <v>299546173</v>
      </c>
      <c r="J112">
        <v>307344368</v>
      </c>
      <c r="K112">
        <v>315372015</v>
      </c>
      <c r="L112">
        <v>323717471</v>
      </c>
      <c r="M112">
        <v>332386417</v>
      </c>
      <c r="N112">
        <v>341269160</v>
      </c>
      <c r="O112">
        <v>350119503</v>
      </c>
      <c r="P112">
        <v>358489548</v>
      </c>
      <c r="Q112">
        <v>367152158</v>
      </c>
      <c r="R112">
        <v>376836914</v>
      </c>
      <c r="S112">
        <v>386828470</v>
      </c>
      <c r="T112">
        <v>396603350</v>
      </c>
      <c r="U112">
        <v>406321595</v>
      </c>
      <c r="V112">
        <v>416088977</v>
      </c>
      <c r="W112">
        <v>426518936</v>
      </c>
      <c r="X112">
        <v>437640804</v>
      </c>
      <c r="Y112">
        <v>447995551</v>
      </c>
      <c r="Z112">
        <v>458075321</v>
      </c>
      <c r="AA112">
        <v>469573895</v>
      </c>
      <c r="AB112">
        <v>482076987</v>
      </c>
      <c r="AC112">
        <v>494723674</v>
      </c>
      <c r="AD112">
        <v>507512159</v>
      </c>
      <c r="AE112">
        <v>520494221</v>
      </c>
      <c r="AF112">
        <v>533778928</v>
      </c>
      <c r="AG112">
        <v>547160609</v>
      </c>
      <c r="AH112">
        <v>560816718</v>
      </c>
      <c r="AI112">
        <v>574504792</v>
      </c>
      <c r="AJ112">
        <v>588412609</v>
      </c>
      <c r="AK112">
        <v>603795348</v>
      </c>
      <c r="AL112">
        <v>620392856</v>
      </c>
      <c r="AM112">
        <v>636955019</v>
      </c>
      <c r="AN112">
        <v>653648693</v>
      </c>
      <c r="AO112">
        <v>670604026</v>
      </c>
      <c r="AP112">
        <v>687563991</v>
      </c>
      <c r="AQ112">
        <v>704602954</v>
      </c>
      <c r="AR112">
        <v>721771096</v>
      </c>
      <c r="AS112">
        <v>738908980</v>
      </c>
      <c r="AT112">
        <v>756232542</v>
      </c>
      <c r="AU112">
        <v>774595562</v>
      </c>
      <c r="AV112">
        <v>793354771</v>
      </c>
      <c r="AW112">
        <v>811888816</v>
      </c>
      <c r="AX112">
        <v>830834463</v>
      </c>
      <c r="AY112">
        <v>850573850</v>
      </c>
      <c r="AZ112">
        <v>870521946</v>
      </c>
      <c r="BA112">
        <v>890423338</v>
      </c>
      <c r="BB112">
        <v>910573389</v>
      </c>
      <c r="BC112">
        <v>931101325</v>
      </c>
      <c r="BD112">
        <v>952166031</v>
      </c>
      <c r="BE112">
        <v>973430766</v>
      </c>
      <c r="BF112">
        <v>993569092</v>
      </c>
      <c r="BG112">
        <v>1014596543</v>
      </c>
      <c r="BH112">
        <v>1036362530</v>
      </c>
      <c r="BI112">
        <v>1059465616</v>
      </c>
      <c r="BJ112">
        <v>1083481582</v>
      </c>
      <c r="BK112">
        <v>1108324049</v>
      </c>
      <c r="BL112">
        <v>1134280966</v>
      </c>
      <c r="BM112">
        <v>1160851651</v>
      </c>
      <c r="BN112">
        <v>1187299997</v>
      </c>
      <c r="BO112">
        <v>1213611049</v>
      </c>
      <c r="BP112">
        <v>1240832942</v>
      </c>
      <c r="BQ112">
        <v>1268734216</v>
      </c>
      <c r="BR112">
        <v>1297080455</v>
      </c>
    </row>
    <row r="113" spans="1:70" x14ac:dyDescent="0.35">
      <c r="A113" t="s">
        <v>498</v>
      </c>
      <c r="B113" t="s">
        <v>499</v>
      </c>
      <c r="C113" t="s">
        <v>295</v>
      </c>
      <c r="D113" t="s">
        <v>296</v>
      </c>
      <c r="E113">
        <v>48868</v>
      </c>
      <c r="F113">
        <v>48451</v>
      </c>
      <c r="G113">
        <v>48688</v>
      </c>
      <c r="H113">
        <v>49151</v>
      </c>
      <c r="I113">
        <v>49625</v>
      </c>
      <c r="J113">
        <v>50090</v>
      </c>
      <c r="K113">
        <v>50749</v>
      </c>
      <c r="L113">
        <v>51741</v>
      </c>
      <c r="M113">
        <v>52891</v>
      </c>
      <c r="N113">
        <v>54074</v>
      </c>
      <c r="O113">
        <v>55300</v>
      </c>
      <c r="P113">
        <v>56427</v>
      </c>
      <c r="Q113">
        <v>57367</v>
      </c>
      <c r="R113">
        <v>58256</v>
      </c>
      <c r="S113">
        <v>59139</v>
      </c>
      <c r="T113">
        <v>59959</v>
      </c>
      <c r="U113">
        <v>60750</v>
      </c>
      <c r="V113">
        <v>61566</v>
      </c>
      <c r="W113">
        <v>62398</v>
      </c>
      <c r="X113">
        <v>63239</v>
      </c>
      <c r="Y113">
        <v>64076</v>
      </c>
      <c r="Z113">
        <v>64596</v>
      </c>
      <c r="AA113">
        <v>64686</v>
      </c>
      <c r="AB113">
        <v>64630</v>
      </c>
      <c r="AC113">
        <v>64528</v>
      </c>
      <c r="AD113">
        <v>64401</v>
      </c>
      <c r="AE113">
        <v>64695</v>
      </c>
      <c r="AF113">
        <v>65597</v>
      </c>
      <c r="AG113">
        <v>66680</v>
      </c>
      <c r="AH113">
        <v>67790</v>
      </c>
      <c r="AI113">
        <v>68916</v>
      </c>
      <c r="AJ113">
        <v>69808</v>
      </c>
      <c r="AK113">
        <v>70353</v>
      </c>
      <c r="AL113">
        <v>70772</v>
      </c>
      <c r="AM113">
        <v>71168</v>
      </c>
      <c r="AN113">
        <v>71513</v>
      </c>
      <c r="AO113">
        <v>72047</v>
      </c>
      <c r="AP113">
        <v>72909</v>
      </c>
      <c r="AQ113">
        <v>73861</v>
      </c>
      <c r="AR113">
        <v>74790</v>
      </c>
      <c r="AS113">
        <v>75659</v>
      </c>
      <c r="AT113">
        <v>76476</v>
      </c>
      <c r="AU113">
        <v>77275</v>
      </c>
      <c r="AV113">
        <v>78049</v>
      </c>
      <c r="AW113">
        <v>78792</v>
      </c>
      <c r="AX113">
        <v>79516</v>
      </c>
      <c r="AY113">
        <v>80294</v>
      </c>
      <c r="AZ113">
        <v>81147</v>
      </c>
      <c r="BA113">
        <v>82029</v>
      </c>
      <c r="BB113">
        <v>82939</v>
      </c>
      <c r="BC113">
        <v>83873</v>
      </c>
      <c r="BD113">
        <v>84382</v>
      </c>
      <c r="BE113">
        <v>84335</v>
      </c>
      <c r="BF113">
        <v>84141</v>
      </c>
      <c r="BG113">
        <v>83892</v>
      </c>
      <c r="BH113">
        <v>83593</v>
      </c>
      <c r="BI113">
        <v>83466</v>
      </c>
      <c r="BJ113">
        <v>83609</v>
      </c>
      <c r="BK113">
        <v>83805</v>
      </c>
      <c r="BL113">
        <v>83957</v>
      </c>
      <c r="BM113">
        <v>84064</v>
      </c>
      <c r="BN113">
        <v>84106</v>
      </c>
      <c r="BO113">
        <v>84132</v>
      </c>
      <c r="BP113">
        <v>84165</v>
      </c>
      <c r="BQ113">
        <v>84160</v>
      </c>
      <c r="BR113">
        <v>84118</v>
      </c>
    </row>
    <row r="114" spans="1:70" x14ac:dyDescent="0.35">
      <c r="A114" t="s">
        <v>500</v>
      </c>
      <c r="B114" t="s">
        <v>501</v>
      </c>
      <c r="C114" t="s">
        <v>295</v>
      </c>
      <c r="D114" t="s">
        <v>296</v>
      </c>
      <c r="E114">
        <v>435990338</v>
      </c>
      <c r="F114">
        <v>446564729</v>
      </c>
      <c r="G114">
        <v>457283090</v>
      </c>
      <c r="H114">
        <v>468138575</v>
      </c>
      <c r="I114">
        <v>479229598</v>
      </c>
      <c r="J114">
        <v>490140146</v>
      </c>
      <c r="K114">
        <v>500740247</v>
      </c>
      <c r="L114">
        <v>511606372</v>
      </c>
      <c r="M114">
        <v>522716889</v>
      </c>
      <c r="N114">
        <v>533880544</v>
      </c>
      <c r="O114">
        <v>545864268</v>
      </c>
      <c r="P114">
        <v>558096387</v>
      </c>
      <c r="Q114">
        <v>570482142</v>
      </c>
      <c r="R114">
        <v>583465598</v>
      </c>
      <c r="S114">
        <v>597041391</v>
      </c>
      <c r="T114">
        <v>611309535</v>
      </c>
      <c r="U114">
        <v>625861883</v>
      </c>
      <c r="V114">
        <v>640801103</v>
      </c>
      <c r="W114">
        <v>655728229</v>
      </c>
      <c r="X114">
        <v>671155747</v>
      </c>
      <c r="Y114">
        <v>687354025</v>
      </c>
      <c r="Z114">
        <v>703696250</v>
      </c>
      <c r="AA114">
        <v>720313473</v>
      </c>
      <c r="AB114">
        <v>737372681</v>
      </c>
      <c r="AC114">
        <v>754875449</v>
      </c>
      <c r="AD114">
        <v>772647793</v>
      </c>
      <c r="AE114">
        <v>790689978</v>
      </c>
      <c r="AF114">
        <v>808931270</v>
      </c>
      <c r="AG114">
        <v>827342990</v>
      </c>
      <c r="AH114">
        <v>846039529</v>
      </c>
      <c r="AI114">
        <v>864972221</v>
      </c>
      <c r="AJ114">
        <v>883927600</v>
      </c>
      <c r="AK114">
        <v>902957070</v>
      </c>
      <c r="AL114">
        <v>922118387</v>
      </c>
      <c r="AM114">
        <v>941163767</v>
      </c>
      <c r="AN114">
        <v>960301044</v>
      </c>
      <c r="AO114">
        <v>979678458</v>
      </c>
      <c r="AP114">
        <v>999133762</v>
      </c>
      <c r="AQ114">
        <v>1018665080</v>
      </c>
      <c r="AR114">
        <v>1038225823</v>
      </c>
      <c r="AS114">
        <v>1057922733</v>
      </c>
      <c r="AT114">
        <v>1077898575</v>
      </c>
      <c r="AU114">
        <v>1097600380</v>
      </c>
      <c r="AV114">
        <v>1116803006</v>
      </c>
      <c r="AW114">
        <v>1135991513</v>
      </c>
      <c r="AX114">
        <v>1154676322</v>
      </c>
      <c r="AY114">
        <v>1172878890</v>
      </c>
      <c r="AZ114">
        <v>1190676021</v>
      </c>
      <c r="BA114">
        <v>1207930964</v>
      </c>
      <c r="BB114">
        <v>1225524753</v>
      </c>
      <c r="BC114">
        <v>1243481564</v>
      </c>
      <c r="BD114">
        <v>1261224954</v>
      </c>
      <c r="BE114">
        <v>1278674502</v>
      </c>
      <c r="BF114">
        <v>1295829511</v>
      </c>
      <c r="BG114">
        <v>1312277191</v>
      </c>
      <c r="BH114">
        <v>1328024498</v>
      </c>
      <c r="BI114">
        <v>1343944296</v>
      </c>
      <c r="BJ114">
        <v>1359657400</v>
      </c>
      <c r="BK114">
        <v>1374659064</v>
      </c>
      <c r="BL114">
        <v>1389030312</v>
      </c>
      <c r="BM114">
        <v>1402617695</v>
      </c>
      <c r="BN114">
        <v>1414203896</v>
      </c>
      <c r="BO114">
        <v>1425423212</v>
      </c>
      <c r="BP114">
        <v>1438069596</v>
      </c>
      <c r="BQ114">
        <v>1450935791</v>
      </c>
      <c r="BR114">
        <v>1463865525</v>
      </c>
    </row>
    <row r="115" spans="1:70" x14ac:dyDescent="0.35">
      <c r="A115" t="s">
        <v>502</v>
      </c>
      <c r="B115" t="s">
        <v>503</v>
      </c>
      <c r="C115" t="s">
        <v>295</v>
      </c>
      <c r="D115" t="s">
        <v>296</v>
      </c>
    </row>
    <row r="116" spans="1:70" x14ac:dyDescent="0.35">
      <c r="A116" t="s">
        <v>504</v>
      </c>
      <c r="B116" t="s">
        <v>505</v>
      </c>
      <c r="C116" t="s">
        <v>295</v>
      </c>
      <c r="D116" t="s">
        <v>296</v>
      </c>
      <c r="E116">
        <v>2828600</v>
      </c>
      <c r="F116">
        <v>2824400</v>
      </c>
      <c r="G116">
        <v>2836050</v>
      </c>
      <c r="H116">
        <v>2852650</v>
      </c>
      <c r="I116">
        <v>2866550</v>
      </c>
      <c r="J116">
        <v>2877300</v>
      </c>
      <c r="K116">
        <v>2888800</v>
      </c>
      <c r="L116">
        <v>2902450</v>
      </c>
      <c r="M116">
        <v>2915550</v>
      </c>
      <c r="N116">
        <v>2932650</v>
      </c>
      <c r="O116">
        <v>2957250</v>
      </c>
      <c r="P116">
        <v>2992050</v>
      </c>
      <c r="Q116">
        <v>3036850</v>
      </c>
      <c r="R116">
        <v>3085950</v>
      </c>
      <c r="S116">
        <v>3137500</v>
      </c>
      <c r="T116">
        <v>3189550</v>
      </c>
      <c r="U116">
        <v>3238050</v>
      </c>
      <c r="V116">
        <v>3282200</v>
      </c>
      <c r="W116">
        <v>3329100</v>
      </c>
      <c r="X116">
        <v>3373750</v>
      </c>
      <c r="Y116">
        <v>3412800</v>
      </c>
      <c r="Z116">
        <v>3453000</v>
      </c>
      <c r="AA116">
        <v>3485800</v>
      </c>
      <c r="AB116">
        <v>3510600</v>
      </c>
      <c r="AC116">
        <v>3532423</v>
      </c>
      <c r="AD116">
        <v>3538082</v>
      </c>
      <c r="AE116">
        <v>3539690</v>
      </c>
      <c r="AF116">
        <v>3540057</v>
      </c>
      <c r="AG116">
        <v>3524949</v>
      </c>
      <c r="AH116">
        <v>3511009</v>
      </c>
      <c r="AI116">
        <v>3513974</v>
      </c>
      <c r="AJ116">
        <v>3534235</v>
      </c>
      <c r="AK116">
        <v>3558430</v>
      </c>
      <c r="AL116">
        <v>3576261</v>
      </c>
      <c r="AM116">
        <v>3590386</v>
      </c>
      <c r="AN116">
        <v>3608841</v>
      </c>
      <c r="AO116">
        <v>3637510</v>
      </c>
      <c r="AP116">
        <v>3674171</v>
      </c>
      <c r="AQ116">
        <v>3712696</v>
      </c>
      <c r="AR116">
        <v>3754786</v>
      </c>
      <c r="AS116">
        <v>3805174</v>
      </c>
      <c r="AT116">
        <v>3866243</v>
      </c>
      <c r="AU116">
        <v>3931947</v>
      </c>
      <c r="AV116">
        <v>3996521</v>
      </c>
      <c r="AW116">
        <v>4070262</v>
      </c>
      <c r="AX116">
        <v>4159914</v>
      </c>
      <c r="AY116">
        <v>4273591</v>
      </c>
      <c r="AZ116">
        <v>4398942</v>
      </c>
      <c r="BA116">
        <v>4489544</v>
      </c>
      <c r="BB116">
        <v>4535375</v>
      </c>
      <c r="BC116">
        <v>4560155</v>
      </c>
      <c r="BD116">
        <v>4580084</v>
      </c>
      <c r="BE116">
        <v>4599533</v>
      </c>
      <c r="BF116">
        <v>4623816</v>
      </c>
      <c r="BG116">
        <v>4657740</v>
      </c>
      <c r="BH116">
        <v>4701957</v>
      </c>
      <c r="BI116">
        <v>4762722</v>
      </c>
      <c r="BJ116">
        <v>4827445</v>
      </c>
      <c r="BK116">
        <v>4898022</v>
      </c>
      <c r="BL116">
        <v>4976456</v>
      </c>
      <c r="BM116">
        <v>5039747</v>
      </c>
      <c r="BN116">
        <v>5110585</v>
      </c>
      <c r="BO116">
        <v>5212836</v>
      </c>
      <c r="BP116">
        <v>5311538</v>
      </c>
      <c r="BQ116">
        <v>5395790</v>
      </c>
      <c r="BR116">
        <v>5484367</v>
      </c>
    </row>
    <row r="117" spans="1:70" x14ac:dyDescent="0.35">
      <c r="A117" t="s">
        <v>506</v>
      </c>
      <c r="B117" t="s">
        <v>507</v>
      </c>
      <c r="C117" t="s">
        <v>295</v>
      </c>
      <c r="D117" t="s">
        <v>296</v>
      </c>
      <c r="E117">
        <v>21470434</v>
      </c>
      <c r="F117">
        <v>22125726</v>
      </c>
      <c r="G117">
        <v>22807907</v>
      </c>
      <c r="H117">
        <v>23519005</v>
      </c>
      <c r="I117">
        <v>24262859</v>
      </c>
      <c r="J117">
        <v>25036978</v>
      </c>
      <c r="K117">
        <v>25829270</v>
      </c>
      <c r="L117">
        <v>26628432</v>
      </c>
      <c r="M117">
        <v>27437391</v>
      </c>
      <c r="N117">
        <v>28273482</v>
      </c>
      <c r="O117">
        <v>29145100</v>
      </c>
      <c r="P117">
        <v>30029071</v>
      </c>
      <c r="Q117">
        <v>30921179</v>
      </c>
      <c r="R117">
        <v>31839838</v>
      </c>
      <c r="S117">
        <v>32796463</v>
      </c>
      <c r="T117">
        <v>33802973</v>
      </c>
      <c r="U117">
        <v>34837271</v>
      </c>
      <c r="V117">
        <v>35933181</v>
      </c>
      <c r="W117">
        <v>37126535</v>
      </c>
      <c r="X117">
        <v>38424952</v>
      </c>
      <c r="Y117">
        <v>39842324</v>
      </c>
      <c r="Z117">
        <v>41989312</v>
      </c>
      <c r="AA117">
        <v>44272141</v>
      </c>
      <c r="AB117">
        <v>46029535</v>
      </c>
      <c r="AC117">
        <v>47793998</v>
      </c>
      <c r="AD117">
        <v>49582289</v>
      </c>
      <c r="AE117">
        <v>51446045</v>
      </c>
      <c r="AF117">
        <v>53323493</v>
      </c>
      <c r="AG117">
        <v>55072694</v>
      </c>
      <c r="AH117">
        <v>56704914</v>
      </c>
      <c r="AI117">
        <v>58380092</v>
      </c>
      <c r="AJ117">
        <v>59986931</v>
      </c>
      <c r="AK117">
        <v>61184983</v>
      </c>
      <c r="AL117">
        <v>61403543</v>
      </c>
      <c r="AM117">
        <v>61520598</v>
      </c>
      <c r="AN117">
        <v>62205567</v>
      </c>
      <c r="AO117">
        <v>62881300</v>
      </c>
      <c r="AP117">
        <v>63639638</v>
      </c>
      <c r="AQ117">
        <v>64519859</v>
      </c>
      <c r="AR117">
        <v>65445391</v>
      </c>
      <c r="AS117">
        <v>66418659</v>
      </c>
      <c r="AT117">
        <v>67452005</v>
      </c>
      <c r="AU117">
        <v>68011317</v>
      </c>
      <c r="AV117">
        <v>68769340</v>
      </c>
      <c r="AW117">
        <v>70256316</v>
      </c>
      <c r="AX117">
        <v>71828455</v>
      </c>
      <c r="AY117">
        <v>73392747</v>
      </c>
      <c r="AZ117">
        <v>74602648</v>
      </c>
      <c r="BA117">
        <v>75514204</v>
      </c>
      <c r="BB117">
        <v>76457825</v>
      </c>
      <c r="BC117">
        <v>77420842</v>
      </c>
      <c r="BD117">
        <v>78383598</v>
      </c>
      <c r="BE117">
        <v>79370580</v>
      </c>
      <c r="BF117">
        <v>80414686</v>
      </c>
      <c r="BG117">
        <v>81502045</v>
      </c>
      <c r="BH117">
        <v>82619362</v>
      </c>
      <c r="BI117">
        <v>83812228</v>
      </c>
      <c r="BJ117">
        <v>85026754</v>
      </c>
      <c r="BK117">
        <v>86117998</v>
      </c>
      <c r="BL117">
        <v>87051648</v>
      </c>
      <c r="BM117">
        <v>87723443</v>
      </c>
      <c r="BN117">
        <v>88455488</v>
      </c>
      <c r="BO117">
        <v>89524246</v>
      </c>
      <c r="BP117">
        <v>90608707</v>
      </c>
      <c r="BQ117">
        <v>91567738</v>
      </c>
      <c r="BR117">
        <v>92417681</v>
      </c>
    </row>
    <row r="118" spans="1:70" x14ac:dyDescent="0.35">
      <c r="A118" t="s">
        <v>508</v>
      </c>
      <c r="B118" t="s">
        <v>509</v>
      </c>
      <c r="C118" t="s">
        <v>295</v>
      </c>
      <c r="D118" t="s">
        <v>296</v>
      </c>
      <c r="E118">
        <v>7022052</v>
      </c>
      <c r="F118">
        <v>7194553</v>
      </c>
      <c r="G118">
        <v>7413875</v>
      </c>
      <c r="H118">
        <v>7667928</v>
      </c>
      <c r="I118">
        <v>7929566</v>
      </c>
      <c r="J118">
        <v>8202140</v>
      </c>
      <c r="K118">
        <v>8485104</v>
      </c>
      <c r="L118">
        <v>8778869</v>
      </c>
      <c r="M118">
        <v>9085016</v>
      </c>
      <c r="N118">
        <v>9403356</v>
      </c>
      <c r="O118">
        <v>9735611</v>
      </c>
      <c r="P118">
        <v>10077809</v>
      </c>
      <c r="Q118">
        <v>10430164</v>
      </c>
      <c r="R118">
        <v>10795869</v>
      </c>
      <c r="S118">
        <v>11167761</v>
      </c>
      <c r="T118">
        <v>11543639</v>
      </c>
      <c r="U118">
        <v>11927651</v>
      </c>
      <c r="V118">
        <v>12331046</v>
      </c>
      <c r="W118">
        <v>12753355</v>
      </c>
      <c r="X118">
        <v>13170365</v>
      </c>
      <c r="Y118">
        <v>13591992</v>
      </c>
      <c r="Z118">
        <v>14006381</v>
      </c>
      <c r="AA118">
        <v>14406083</v>
      </c>
      <c r="AB118">
        <v>14840555</v>
      </c>
      <c r="AC118">
        <v>15310733</v>
      </c>
      <c r="AD118">
        <v>15683430</v>
      </c>
      <c r="AE118">
        <v>16074145</v>
      </c>
      <c r="AF118">
        <v>16521049</v>
      </c>
      <c r="AG118">
        <v>16908819</v>
      </c>
      <c r="AH118">
        <v>17364542</v>
      </c>
      <c r="AI118">
        <v>17581206</v>
      </c>
      <c r="AJ118">
        <v>17767253</v>
      </c>
      <c r="AK118">
        <v>18300845</v>
      </c>
      <c r="AL118">
        <v>19201195</v>
      </c>
      <c r="AM118">
        <v>20139807</v>
      </c>
      <c r="AN118">
        <v>20825860</v>
      </c>
      <c r="AO118">
        <v>21501321</v>
      </c>
      <c r="AP118">
        <v>22176593</v>
      </c>
      <c r="AQ118">
        <v>22884399</v>
      </c>
      <c r="AR118">
        <v>23636527</v>
      </c>
      <c r="AS118">
        <v>24424056</v>
      </c>
      <c r="AT118">
        <v>25197840</v>
      </c>
      <c r="AU118">
        <v>26006559</v>
      </c>
      <c r="AV118">
        <v>26802659</v>
      </c>
      <c r="AW118">
        <v>27577878</v>
      </c>
      <c r="AX118">
        <v>28407448</v>
      </c>
      <c r="AY118">
        <v>28616515</v>
      </c>
      <c r="AZ118">
        <v>28391607</v>
      </c>
      <c r="BA118">
        <v>28971036</v>
      </c>
      <c r="BB118">
        <v>30058206</v>
      </c>
      <c r="BC118">
        <v>31045366</v>
      </c>
      <c r="BD118">
        <v>32161424</v>
      </c>
      <c r="BE118">
        <v>33654842</v>
      </c>
      <c r="BF118">
        <v>35281989</v>
      </c>
      <c r="BG118">
        <v>36550059</v>
      </c>
      <c r="BH118">
        <v>37560535</v>
      </c>
      <c r="BI118">
        <v>38469627</v>
      </c>
      <c r="BJ118">
        <v>39337353</v>
      </c>
      <c r="BK118">
        <v>40265624</v>
      </c>
      <c r="BL118">
        <v>41192171</v>
      </c>
      <c r="BM118">
        <v>42116605</v>
      </c>
      <c r="BN118">
        <v>43071211</v>
      </c>
      <c r="BO118">
        <v>44070551</v>
      </c>
      <c r="BP118">
        <v>45074049</v>
      </c>
      <c r="BQ118">
        <v>46042015</v>
      </c>
      <c r="BR118">
        <v>47020774</v>
      </c>
    </row>
    <row r="119" spans="1:70" x14ac:dyDescent="0.35">
      <c r="A119" t="s">
        <v>258</v>
      </c>
      <c r="B119" t="s">
        <v>510</v>
      </c>
      <c r="C119" t="s">
        <v>295</v>
      </c>
      <c r="D119" t="s">
        <v>296</v>
      </c>
      <c r="E119">
        <v>175574</v>
      </c>
      <c r="F119">
        <v>179029</v>
      </c>
      <c r="G119">
        <v>182378</v>
      </c>
      <c r="H119">
        <v>185653</v>
      </c>
      <c r="I119">
        <v>188983</v>
      </c>
      <c r="J119">
        <v>192286</v>
      </c>
      <c r="K119">
        <v>195570</v>
      </c>
      <c r="L119">
        <v>198751</v>
      </c>
      <c r="M119">
        <v>201488</v>
      </c>
      <c r="N119">
        <v>203369</v>
      </c>
      <c r="O119">
        <v>204438</v>
      </c>
      <c r="P119">
        <v>206098</v>
      </c>
      <c r="Q119">
        <v>209137</v>
      </c>
      <c r="R119">
        <v>212317</v>
      </c>
      <c r="S119">
        <v>215209</v>
      </c>
      <c r="T119">
        <v>217979</v>
      </c>
      <c r="U119">
        <v>220154</v>
      </c>
      <c r="V119">
        <v>221799</v>
      </c>
      <c r="W119">
        <v>223537</v>
      </c>
      <c r="X119">
        <v>225735</v>
      </c>
      <c r="Y119">
        <v>228138</v>
      </c>
      <c r="Z119">
        <v>230755</v>
      </c>
      <c r="AA119">
        <v>233860</v>
      </c>
      <c r="AB119">
        <v>236977</v>
      </c>
      <c r="AC119">
        <v>239511</v>
      </c>
      <c r="AD119">
        <v>241405</v>
      </c>
      <c r="AE119">
        <v>243180</v>
      </c>
      <c r="AF119">
        <v>245859</v>
      </c>
      <c r="AG119">
        <v>249740</v>
      </c>
      <c r="AH119">
        <v>252852</v>
      </c>
      <c r="AI119">
        <v>254826</v>
      </c>
      <c r="AJ119">
        <v>257797</v>
      </c>
      <c r="AK119">
        <v>261057</v>
      </c>
      <c r="AL119">
        <v>263725</v>
      </c>
      <c r="AM119">
        <v>266021</v>
      </c>
      <c r="AN119">
        <v>267468</v>
      </c>
      <c r="AO119">
        <v>268916</v>
      </c>
      <c r="AP119">
        <v>271128</v>
      </c>
      <c r="AQ119">
        <v>274047</v>
      </c>
      <c r="AR119">
        <v>277381</v>
      </c>
      <c r="AS119">
        <v>281205</v>
      </c>
      <c r="AT119">
        <v>284968</v>
      </c>
      <c r="AU119">
        <v>287523</v>
      </c>
      <c r="AV119">
        <v>289521</v>
      </c>
      <c r="AW119">
        <v>292074</v>
      </c>
      <c r="AX119">
        <v>296734</v>
      </c>
      <c r="AY119">
        <v>303782</v>
      </c>
      <c r="AZ119">
        <v>311566</v>
      </c>
      <c r="BA119">
        <v>317414</v>
      </c>
      <c r="BB119">
        <v>318499</v>
      </c>
      <c r="BC119">
        <v>318041</v>
      </c>
      <c r="BD119">
        <v>319014</v>
      </c>
      <c r="BE119">
        <v>320716</v>
      </c>
      <c r="BF119">
        <v>323764</v>
      </c>
      <c r="BG119">
        <v>327386</v>
      </c>
      <c r="BH119">
        <v>330815</v>
      </c>
      <c r="BI119">
        <v>335439</v>
      </c>
      <c r="BJ119">
        <v>343400</v>
      </c>
      <c r="BK119">
        <v>352721</v>
      </c>
      <c r="BL119">
        <v>360563</v>
      </c>
      <c r="BM119">
        <v>366463</v>
      </c>
      <c r="BN119">
        <v>372520</v>
      </c>
      <c r="BO119">
        <v>382003</v>
      </c>
      <c r="BP119">
        <v>385663</v>
      </c>
      <c r="BQ119">
        <v>386506</v>
      </c>
      <c r="BR119">
        <v>392404</v>
      </c>
    </row>
    <row r="120" spans="1:70" x14ac:dyDescent="0.35">
      <c r="A120" t="s">
        <v>511</v>
      </c>
      <c r="B120" t="s">
        <v>512</v>
      </c>
      <c r="C120" t="s">
        <v>295</v>
      </c>
      <c r="D120" t="s">
        <v>296</v>
      </c>
      <c r="E120">
        <v>2114020</v>
      </c>
      <c r="F120">
        <v>2185000</v>
      </c>
      <c r="G120">
        <v>2293000</v>
      </c>
      <c r="H120">
        <v>2379000</v>
      </c>
      <c r="I120">
        <v>2475000</v>
      </c>
      <c r="J120">
        <v>2563000</v>
      </c>
      <c r="K120">
        <v>2629000</v>
      </c>
      <c r="L120">
        <v>2745000</v>
      </c>
      <c r="M120">
        <v>2803000</v>
      </c>
      <c r="N120">
        <v>2877000</v>
      </c>
      <c r="O120">
        <v>2974000</v>
      </c>
      <c r="P120">
        <v>3069000</v>
      </c>
      <c r="Q120">
        <v>3148000</v>
      </c>
      <c r="R120">
        <v>3278000</v>
      </c>
      <c r="S120">
        <v>3377000</v>
      </c>
      <c r="T120">
        <v>3455000</v>
      </c>
      <c r="U120">
        <v>3533000</v>
      </c>
      <c r="V120">
        <v>3613000</v>
      </c>
      <c r="W120">
        <v>3690000</v>
      </c>
      <c r="X120">
        <v>3786000</v>
      </c>
      <c r="Y120">
        <v>3878000</v>
      </c>
      <c r="Z120">
        <v>3956000</v>
      </c>
      <c r="AA120">
        <v>4031000</v>
      </c>
      <c r="AB120">
        <v>4105000</v>
      </c>
      <c r="AC120">
        <v>4159000</v>
      </c>
      <c r="AD120">
        <v>4233000</v>
      </c>
      <c r="AE120">
        <v>4299000</v>
      </c>
      <c r="AF120">
        <v>4369000</v>
      </c>
      <c r="AG120">
        <v>4442000</v>
      </c>
      <c r="AH120">
        <v>4518000</v>
      </c>
      <c r="AI120">
        <v>4660000</v>
      </c>
      <c r="AJ120">
        <v>4949000</v>
      </c>
      <c r="AK120">
        <v>5123000</v>
      </c>
      <c r="AL120">
        <v>5261000</v>
      </c>
      <c r="AM120">
        <v>5399000</v>
      </c>
      <c r="AN120">
        <v>5545000</v>
      </c>
      <c r="AO120">
        <v>5692000</v>
      </c>
      <c r="AP120">
        <v>5836000</v>
      </c>
      <c r="AQ120">
        <v>5971000</v>
      </c>
      <c r="AR120">
        <v>6125000</v>
      </c>
      <c r="AS120">
        <v>6289000</v>
      </c>
      <c r="AT120">
        <v>6439000</v>
      </c>
      <c r="AU120">
        <v>6570000</v>
      </c>
      <c r="AV120">
        <v>6689700</v>
      </c>
      <c r="AW120">
        <v>6809000</v>
      </c>
      <c r="AX120">
        <v>6930100</v>
      </c>
      <c r="AY120">
        <v>7053700</v>
      </c>
      <c r="AZ120">
        <v>7180100</v>
      </c>
      <c r="BA120">
        <v>7308800</v>
      </c>
      <c r="BB120">
        <v>7485600</v>
      </c>
      <c r="BC120">
        <v>7623600</v>
      </c>
      <c r="BD120">
        <v>7765800</v>
      </c>
      <c r="BE120">
        <v>7910500</v>
      </c>
      <c r="BF120">
        <v>8059500</v>
      </c>
      <c r="BG120">
        <v>8215700</v>
      </c>
      <c r="BH120">
        <v>8380100</v>
      </c>
      <c r="BI120">
        <v>8546000</v>
      </c>
      <c r="BJ120">
        <v>8713300</v>
      </c>
      <c r="BK120">
        <v>8882800</v>
      </c>
      <c r="BL120">
        <v>9054000</v>
      </c>
      <c r="BM120">
        <v>9215100</v>
      </c>
      <c r="BN120">
        <v>9371400</v>
      </c>
      <c r="BO120">
        <v>9557500</v>
      </c>
      <c r="BP120">
        <v>9849000</v>
      </c>
      <c r="BQ120">
        <v>10002200</v>
      </c>
      <c r="BR120">
        <v>10122800</v>
      </c>
    </row>
    <row r="121" spans="1:70" x14ac:dyDescent="0.35">
      <c r="A121" t="s">
        <v>260</v>
      </c>
      <c r="B121" t="s">
        <v>513</v>
      </c>
      <c r="C121" t="s">
        <v>295</v>
      </c>
      <c r="D121" t="s">
        <v>296</v>
      </c>
      <c r="E121">
        <v>50199700</v>
      </c>
      <c r="F121">
        <v>50536350</v>
      </c>
      <c r="G121">
        <v>50879450</v>
      </c>
      <c r="H121">
        <v>51252000</v>
      </c>
      <c r="I121">
        <v>51675350</v>
      </c>
      <c r="J121">
        <v>52112350</v>
      </c>
      <c r="K121">
        <v>52519000</v>
      </c>
      <c r="L121">
        <v>52900500</v>
      </c>
      <c r="M121">
        <v>53235750</v>
      </c>
      <c r="N121">
        <v>53537950</v>
      </c>
      <c r="O121">
        <v>53821850</v>
      </c>
      <c r="P121">
        <v>54073490</v>
      </c>
      <c r="Q121">
        <v>54381345</v>
      </c>
      <c r="R121">
        <v>54751406</v>
      </c>
      <c r="S121">
        <v>55110868</v>
      </c>
      <c r="T121">
        <v>55441001</v>
      </c>
      <c r="U121">
        <v>55718260</v>
      </c>
      <c r="V121">
        <v>55955411</v>
      </c>
      <c r="W121">
        <v>56155143</v>
      </c>
      <c r="X121">
        <v>56317749</v>
      </c>
      <c r="Y121">
        <v>56433883</v>
      </c>
      <c r="Z121">
        <v>56501675</v>
      </c>
      <c r="AA121">
        <v>56543548</v>
      </c>
      <c r="AB121">
        <v>56564074</v>
      </c>
      <c r="AC121">
        <v>56576718</v>
      </c>
      <c r="AD121">
        <v>56593071</v>
      </c>
      <c r="AE121">
        <v>56596155</v>
      </c>
      <c r="AF121">
        <v>56601931</v>
      </c>
      <c r="AG121">
        <v>56629288</v>
      </c>
      <c r="AH121">
        <v>56671781</v>
      </c>
      <c r="AI121">
        <v>56719240</v>
      </c>
      <c r="AJ121">
        <v>56758521</v>
      </c>
      <c r="AK121">
        <v>56797087</v>
      </c>
      <c r="AL121">
        <v>56831821</v>
      </c>
      <c r="AM121">
        <v>56843400</v>
      </c>
      <c r="AN121">
        <v>56844303</v>
      </c>
      <c r="AO121">
        <v>56860281</v>
      </c>
      <c r="AP121">
        <v>56890372</v>
      </c>
      <c r="AQ121">
        <v>56906744</v>
      </c>
      <c r="AR121">
        <v>56916317</v>
      </c>
      <c r="AS121">
        <v>56942108</v>
      </c>
      <c r="AT121">
        <v>56976981</v>
      </c>
      <c r="AU121">
        <v>57089824</v>
      </c>
      <c r="AV121">
        <v>57399184</v>
      </c>
      <c r="AW121">
        <v>57828179</v>
      </c>
      <c r="AX121">
        <v>58166682</v>
      </c>
      <c r="AY121">
        <v>58399861</v>
      </c>
      <c r="AZ121">
        <v>58756247</v>
      </c>
      <c r="BA121">
        <v>59211181</v>
      </c>
      <c r="BB121">
        <v>59555454</v>
      </c>
      <c r="BC121">
        <v>59819407</v>
      </c>
      <c r="BD121">
        <v>60026841</v>
      </c>
      <c r="BE121">
        <v>60191247</v>
      </c>
      <c r="BF121">
        <v>60311613</v>
      </c>
      <c r="BG121">
        <v>60320707</v>
      </c>
      <c r="BH121">
        <v>60229605</v>
      </c>
      <c r="BI121">
        <v>60115223</v>
      </c>
      <c r="BJ121">
        <v>60002252</v>
      </c>
      <c r="BK121">
        <v>59877221</v>
      </c>
      <c r="BL121">
        <v>59729081</v>
      </c>
      <c r="BM121">
        <v>59438851</v>
      </c>
      <c r="BN121">
        <v>59133173</v>
      </c>
      <c r="BO121">
        <v>59013667</v>
      </c>
      <c r="BP121">
        <v>58984216</v>
      </c>
      <c r="BQ121">
        <v>58952704</v>
      </c>
      <c r="BR121">
        <v>58915656</v>
      </c>
    </row>
    <row r="122" spans="1:70" x14ac:dyDescent="0.35">
      <c r="A122" t="s">
        <v>514</v>
      </c>
      <c r="B122" t="s">
        <v>515</v>
      </c>
      <c r="C122" t="s">
        <v>295</v>
      </c>
      <c r="D122" t="s">
        <v>296</v>
      </c>
      <c r="E122">
        <v>1650005</v>
      </c>
      <c r="F122">
        <v>1673261</v>
      </c>
      <c r="G122">
        <v>1696932</v>
      </c>
      <c r="H122">
        <v>1721099</v>
      </c>
      <c r="I122">
        <v>1745568</v>
      </c>
      <c r="J122">
        <v>1769192</v>
      </c>
      <c r="K122">
        <v>1791475</v>
      </c>
      <c r="L122">
        <v>1812865</v>
      </c>
      <c r="M122">
        <v>1833765</v>
      </c>
      <c r="N122">
        <v>1855127</v>
      </c>
      <c r="O122">
        <v>1878196</v>
      </c>
      <c r="P122">
        <v>1903728</v>
      </c>
      <c r="Q122">
        <v>1931542</v>
      </c>
      <c r="R122">
        <v>1961219</v>
      </c>
      <c r="S122">
        <v>1990906</v>
      </c>
      <c r="T122">
        <v>2018981</v>
      </c>
      <c r="U122">
        <v>2045578</v>
      </c>
      <c r="V122">
        <v>2070657</v>
      </c>
      <c r="W122">
        <v>2094836</v>
      </c>
      <c r="X122">
        <v>2119486</v>
      </c>
      <c r="Y122">
        <v>2145658</v>
      </c>
      <c r="Z122">
        <v>2173818</v>
      </c>
      <c r="AA122">
        <v>2203889</v>
      </c>
      <c r="AB122">
        <v>2234832</v>
      </c>
      <c r="AC122">
        <v>2264562</v>
      </c>
      <c r="AD122">
        <v>2290656</v>
      </c>
      <c r="AE122">
        <v>2312125</v>
      </c>
      <c r="AF122">
        <v>2329813</v>
      </c>
      <c r="AG122">
        <v>2345777</v>
      </c>
      <c r="AH122">
        <v>2361916</v>
      </c>
      <c r="AI122">
        <v>2379877</v>
      </c>
      <c r="AJ122">
        <v>2400869</v>
      </c>
      <c r="AK122">
        <v>2424701</v>
      </c>
      <c r="AL122">
        <v>2449916</v>
      </c>
      <c r="AM122">
        <v>2475220</v>
      </c>
      <c r="AN122">
        <v>2500151</v>
      </c>
      <c r="AO122">
        <v>2524463</v>
      </c>
      <c r="AP122">
        <v>2547848</v>
      </c>
      <c r="AQ122">
        <v>2569736</v>
      </c>
      <c r="AR122">
        <v>2589795</v>
      </c>
      <c r="AS122">
        <v>2607826</v>
      </c>
      <c r="AT122">
        <v>2624403</v>
      </c>
      <c r="AU122">
        <v>2640572</v>
      </c>
      <c r="AV122">
        <v>2656623</v>
      </c>
      <c r="AW122">
        <v>2672225</v>
      </c>
      <c r="AX122">
        <v>2687066</v>
      </c>
      <c r="AY122">
        <v>2700968</v>
      </c>
      <c r="AZ122">
        <v>2713800</v>
      </c>
      <c r="BA122">
        <v>2725635</v>
      </c>
      <c r="BB122">
        <v>2736995</v>
      </c>
      <c r="BC122">
        <v>2748568</v>
      </c>
      <c r="BD122">
        <v>2760494</v>
      </c>
      <c r="BE122">
        <v>2772430</v>
      </c>
      <c r="BF122">
        <v>2783687</v>
      </c>
      <c r="BG122">
        <v>2793749</v>
      </c>
      <c r="BH122">
        <v>2802534</v>
      </c>
      <c r="BI122">
        <v>2809915</v>
      </c>
      <c r="BJ122">
        <v>2815764</v>
      </c>
      <c r="BK122">
        <v>2820097</v>
      </c>
      <c r="BL122">
        <v>2823271</v>
      </c>
      <c r="BM122">
        <v>2830739</v>
      </c>
      <c r="BN122">
        <v>2837682</v>
      </c>
      <c r="BO122">
        <v>2839144</v>
      </c>
      <c r="BP122">
        <v>2839786</v>
      </c>
      <c r="BQ122">
        <v>2839175</v>
      </c>
      <c r="BR122">
        <v>2837077</v>
      </c>
    </row>
    <row r="123" spans="1:70" x14ac:dyDescent="0.35">
      <c r="A123" t="s">
        <v>516</v>
      </c>
      <c r="B123" t="s">
        <v>517</v>
      </c>
      <c r="C123" t="s">
        <v>295</v>
      </c>
      <c r="D123" t="s">
        <v>296</v>
      </c>
      <c r="E123">
        <v>853471</v>
      </c>
      <c r="F123">
        <v>897591</v>
      </c>
      <c r="G123">
        <v>940554</v>
      </c>
      <c r="H123">
        <v>984714</v>
      </c>
      <c r="I123">
        <v>1035640</v>
      </c>
      <c r="J123">
        <v>1099440</v>
      </c>
      <c r="K123">
        <v>1178360</v>
      </c>
      <c r="L123">
        <v>1271183</v>
      </c>
      <c r="M123">
        <v>1372460</v>
      </c>
      <c r="N123">
        <v>1473100</v>
      </c>
      <c r="O123">
        <v>1565163</v>
      </c>
      <c r="P123">
        <v>1645145</v>
      </c>
      <c r="Q123">
        <v>1714555</v>
      </c>
      <c r="R123">
        <v>1778094</v>
      </c>
      <c r="S123">
        <v>1839182</v>
      </c>
      <c r="T123">
        <v>1899055</v>
      </c>
      <c r="U123">
        <v>1958177</v>
      </c>
      <c r="V123">
        <v>2019002</v>
      </c>
      <c r="W123">
        <v>2083595</v>
      </c>
      <c r="X123">
        <v>2153882</v>
      </c>
      <c r="Y123">
        <v>2234186</v>
      </c>
      <c r="Z123">
        <v>2325517</v>
      </c>
      <c r="AA123">
        <v>2426927</v>
      </c>
      <c r="AB123">
        <v>2537307</v>
      </c>
      <c r="AC123">
        <v>2654688</v>
      </c>
      <c r="AD123">
        <v>2778810</v>
      </c>
      <c r="AE123">
        <v>2909887</v>
      </c>
      <c r="AF123">
        <v>3047634</v>
      </c>
      <c r="AG123">
        <v>3193039</v>
      </c>
      <c r="AH123">
        <v>3349627</v>
      </c>
      <c r="AI123">
        <v>3621908</v>
      </c>
      <c r="AJ123">
        <v>3915149</v>
      </c>
      <c r="AK123">
        <v>4127693</v>
      </c>
      <c r="AL123">
        <v>4348020</v>
      </c>
      <c r="AM123">
        <v>4561406</v>
      </c>
      <c r="AN123">
        <v>4752096</v>
      </c>
      <c r="AO123">
        <v>4912516</v>
      </c>
      <c r="AP123">
        <v>5046285</v>
      </c>
      <c r="AQ123">
        <v>5164284</v>
      </c>
      <c r="AR123">
        <v>5276444</v>
      </c>
      <c r="AS123">
        <v>5386945</v>
      </c>
      <c r="AT123">
        <v>5498894</v>
      </c>
      <c r="AU123">
        <v>5616066</v>
      </c>
      <c r="AV123">
        <v>5741828</v>
      </c>
      <c r="AW123">
        <v>5882061</v>
      </c>
      <c r="AX123">
        <v>6029587</v>
      </c>
      <c r="AY123">
        <v>6427371</v>
      </c>
      <c r="AZ123">
        <v>6827227</v>
      </c>
      <c r="BA123">
        <v>6989866</v>
      </c>
      <c r="BB123">
        <v>7141753</v>
      </c>
      <c r="BC123">
        <v>7297043</v>
      </c>
      <c r="BD123">
        <v>7480424</v>
      </c>
      <c r="BE123">
        <v>7587127</v>
      </c>
      <c r="BF123">
        <v>7991809</v>
      </c>
      <c r="BG123">
        <v>8791710</v>
      </c>
      <c r="BH123">
        <v>9544729</v>
      </c>
      <c r="BI123">
        <v>10006367</v>
      </c>
      <c r="BJ123">
        <v>10234226</v>
      </c>
      <c r="BK123">
        <v>10462306</v>
      </c>
      <c r="BL123">
        <v>10671891</v>
      </c>
      <c r="BM123">
        <v>10865228</v>
      </c>
      <c r="BN123">
        <v>11066356</v>
      </c>
      <c r="BO123">
        <v>11256263</v>
      </c>
      <c r="BP123">
        <v>11439213</v>
      </c>
      <c r="BQ123">
        <v>11552876</v>
      </c>
      <c r="BR123">
        <v>11520684</v>
      </c>
    </row>
    <row r="124" spans="1:70" x14ac:dyDescent="0.35">
      <c r="A124" t="s">
        <v>263</v>
      </c>
      <c r="B124" t="s">
        <v>518</v>
      </c>
      <c r="C124" t="s">
        <v>295</v>
      </c>
      <c r="D124" t="s">
        <v>296</v>
      </c>
      <c r="E124">
        <v>93216000</v>
      </c>
      <c r="F124">
        <v>94055000</v>
      </c>
      <c r="G124">
        <v>94933000</v>
      </c>
      <c r="H124">
        <v>95900000</v>
      </c>
      <c r="I124">
        <v>96903000</v>
      </c>
      <c r="J124">
        <v>97952000</v>
      </c>
      <c r="K124">
        <v>98851000</v>
      </c>
      <c r="L124">
        <v>99879000</v>
      </c>
      <c r="M124">
        <v>101011000</v>
      </c>
      <c r="N124">
        <v>102219000</v>
      </c>
      <c r="O124">
        <v>103403000</v>
      </c>
      <c r="P124">
        <v>105697000</v>
      </c>
      <c r="Q124">
        <v>107188000</v>
      </c>
      <c r="R124">
        <v>108707000</v>
      </c>
      <c r="S124">
        <v>110162000</v>
      </c>
      <c r="T124">
        <v>111573000</v>
      </c>
      <c r="U124">
        <v>112775000</v>
      </c>
      <c r="V124">
        <v>113872000</v>
      </c>
      <c r="W124">
        <v>114913000</v>
      </c>
      <c r="X124">
        <v>115890000</v>
      </c>
      <c r="Y124">
        <v>116807000</v>
      </c>
      <c r="Z124">
        <v>117661000</v>
      </c>
      <c r="AA124">
        <v>118480000</v>
      </c>
      <c r="AB124">
        <v>119307000</v>
      </c>
      <c r="AC124">
        <v>120083000</v>
      </c>
      <c r="AD124">
        <v>120837000</v>
      </c>
      <c r="AE124">
        <v>121482000</v>
      </c>
      <c r="AF124">
        <v>122069000</v>
      </c>
      <c r="AG124">
        <v>122578000</v>
      </c>
      <c r="AH124">
        <v>123069000</v>
      </c>
      <c r="AI124">
        <v>123478000</v>
      </c>
      <c r="AJ124">
        <v>123964000</v>
      </c>
      <c r="AK124">
        <v>124425000</v>
      </c>
      <c r="AL124">
        <v>124829000</v>
      </c>
      <c r="AM124">
        <v>125178000</v>
      </c>
      <c r="AN124">
        <v>125472000</v>
      </c>
      <c r="AO124">
        <v>125757000</v>
      </c>
      <c r="AP124">
        <v>126057000</v>
      </c>
      <c r="AQ124">
        <v>126400000</v>
      </c>
      <c r="AR124">
        <v>126631000</v>
      </c>
      <c r="AS124">
        <v>126843000</v>
      </c>
      <c r="AT124">
        <v>127149000</v>
      </c>
      <c r="AU124">
        <v>127445000</v>
      </c>
      <c r="AV124">
        <v>127718000</v>
      </c>
      <c r="AW124">
        <v>127761000</v>
      </c>
      <c r="AX124">
        <v>127773000</v>
      </c>
      <c r="AY124">
        <v>127854000</v>
      </c>
      <c r="AZ124">
        <v>128001000</v>
      </c>
      <c r="BA124">
        <v>128063000</v>
      </c>
      <c r="BB124">
        <v>128047000</v>
      </c>
      <c r="BC124">
        <v>128070000</v>
      </c>
      <c r="BD124">
        <v>127833000</v>
      </c>
      <c r="BE124">
        <v>127629000</v>
      </c>
      <c r="BF124">
        <v>127445000</v>
      </c>
      <c r="BG124">
        <v>127276000</v>
      </c>
      <c r="BH124">
        <v>127141000</v>
      </c>
      <c r="BI124">
        <v>127076000</v>
      </c>
      <c r="BJ124">
        <v>126972000</v>
      </c>
      <c r="BK124">
        <v>126811000</v>
      </c>
      <c r="BL124">
        <v>126633000</v>
      </c>
      <c r="BM124">
        <v>126261000</v>
      </c>
      <c r="BN124">
        <v>125681593</v>
      </c>
      <c r="BO124">
        <v>125124989</v>
      </c>
      <c r="BP124">
        <v>124516650</v>
      </c>
      <c r="BQ124">
        <v>123975371</v>
      </c>
      <c r="BR124">
        <v>123366734</v>
      </c>
    </row>
    <row r="125" spans="1:70" x14ac:dyDescent="0.35">
      <c r="A125" t="s">
        <v>519</v>
      </c>
      <c r="B125" t="s">
        <v>520</v>
      </c>
      <c r="C125" t="s">
        <v>295</v>
      </c>
      <c r="D125" t="s">
        <v>296</v>
      </c>
      <c r="E125">
        <v>9429981</v>
      </c>
      <c r="F125">
        <v>9742085</v>
      </c>
      <c r="G125">
        <v>10058928</v>
      </c>
      <c r="H125">
        <v>10377466</v>
      </c>
      <c r="I125">
        <v>10690309</v>
      </c>
      <c r="J125">
        <v>10993183</v>
      </c>
      <c r="K125">
        <v>11288989</v>
      </c>
      <c r="L125">
        <v>11584428</v>
      </c>
      <c r="M125">
        <v>11879182</v>
      </c>
      <c r="N125">
        <v>12156212</v>
      </c>
      <c r="O125">
        <v>12419057</v>
      </c>
      <c r="P125">
        <v>12684813</v>
      </c>
      <c r="Q125">
        <v>12951798</v>
      </c>
      <c r="R125">
        <v>13208121</v>
      </c>
      <c r="S125">
        <v>13454570</v>
      </c>
      <c r="T125">
        <v>13700843</v>
      </c>
      <c r="U125">
        <v>13998738</v>
      </c>
      <c r="V125">
        <v>14353265</v>
      </c>
      <c r="W125">
        <v>14711497</v>
      </c>
      <c r="X125">
        <v>14978696</v>
      </c>
      <c r="Y125">
        <v>15152949</v>
      </c>
      <c r="Z125">
        <v>15323082</v>
      </c>
      <c r="AA125">
        <v>15492595</v>
      </c>
      <c r="AB125">
        <v>15665551</v>
      </c>
      <c r="AC125">
        <v>15844621</v>
      </c>
      <c r="AD125">
        <v>16031090</v>
      </c>
      <c r="AE125">
        <v>16262702</v>
      </c>
      <c r="AF125">
        <v>16527715</v>
      </c>
      <c r="AG125">
        <v>16781168</v>
      </c>
      <c r="AH125">
        <v>16997013</v>
      </c>
      <c r="AI125">
        <v>17154054</v>
      </c>
      <c r="AJ125">
        <v>17278600</v>
      </c>
      <c r="AK125">
        <v>17332625</v>
      </c>
      <c r="AL125">
        <v>17274487</v>
      </c>
      <c r="AM125">
        <v>17043771</v>
      </c>
      <c r="AN125">
        <v>16730536</v>
      </c>
      <c r="AO125">
        <v>16416027</v>
      </c>
      <c r="AP125">
        <v>16043251</v>
      </c>
      <c r="AQ125">
        <v>15647785</v>
      </c>
      <c r="AR125">
        <v>15455874</v>
      </c>
      <c r="AS125">
        <v>15501103</v>
      </c>
      <c r="AT125">
        <v>15575550</v>
      </c>
      <c r="AU125">
        <v>15656677</v>
      </c>
      <c r="AV125">
        <v>15747380</v>
      </c>
      <c r="AW125">
        <v>15850159</v>
      </c>
      <c r="AX125">
        <v>15968117</v>
      </c>
      <c r="AY125">
        <v>16103716</v>
      </c>
      <c r="AZ125">
        <v>16257214</v>
      </c>
      <c r="BA125">
        <v>16426525</v>
      </c>
      <c r="BB125">
        <v>16619846</v>
      </c>
      <c r="BC125">
        <v>16836810</v>
      </c>
      <c r="BD125">
        <v>17066002</v>
      </c>
      <c r="BE125">
        <v>17306106</v>
      </c>
      <c r="BF125">
        <v>17556502</v>
      </c>
      <c r="BG125">
        <v>17816285</v>
      </c>
      <c r="BH125">
        <v>18084169</v>
      </c>
      <c r="BI125">
        <v>18363600</v>
      </c>
      <c r="BJ125">
        <v>18651931</v>
      </c>
      <c r="BK125">
        <v>18932727</v>
      </c>
      <c r="BL125">
        <v>19209555</v>
      </c>
      <c r="BM125">
        <v>19482117</v>
      </c>
      <c r="BN125">
        <v>19743603</v>
      </c>
      <c r="BO125">
        <v>20034609</v>
      </c>
      <c r="BP125">
        <v>20330104</v>
      </c>
      <c r="BQ125">
        <v>20592571</v>
      </c>
      <c r="BR125">
        <v>20843754</v>
      </c>
    </row>
    <row r="126" spans="1:70" x14ac:dyDescent="0.35">
      <c r="A126" t="s">
        <v>521</v>
      </c>
      <c r="B126" t="s">
        <v>522</v>
      </c>
      <c r="C126" t="s">
        <v>295</v>
      </c>
      <c r="D126" t="s">
        <v>296</v>
      </c>
      <c r="E126">
        <v>7695307</v>
      </c>
      <c r="F126">
        <v>7987770</v>
      </c>
      <c r="G126">
        <v>8299308</v>
      </c>
      <c r="H126">
        <v>8627971</v>
      </c>
      <c r="I126">
        <v>8973535</v>
      </c>
      <c r="J126">
        <v>9338078</v>
      </c>
      <c r="K126">
        <v>9717816</v>
      </c>
      <c r="L126">
        <v>10111057</v>
      </c>
      <c r="M126">
        <v>10518823</v>
      </c>
      <c r="N126">
        <v>10939695</v>
      </c>
      <c r="O126">
        <v>11368791</v>
      </c>
      <c r="P126">
        <v>11788904</v>
      </c>
      <c r="Q126">
        <v>12206060</v>
      </c>
      <c r="R126">
        <v>12634835</v>
      </c>
      <c r="S126">
        <v>13070078</v>
      </c>
      <c r="T126">
        <v>13511671</v>
      </c>
      <c r="U126">
        <v>13957623</v>
      </c>
      <c r="V126">
        <v>14428819</v>
      </c>
      <c r="W126">
        <v>14934126</v>
      </c>
      <c r="X126">
        <v>15460666</v>
      </c>
      <c r="Y126">
        <v>16018459</v>
      </c>
      <c r="Z126">
        <v>16601507</v>
      </c>
      <c r="AA126">
        <v>17206175</v>
      </c>
      <c r="AB126">
        <v>17846374</v>
      </c>
      <c r="AC126">
        <v>18514906</v>
      </c>
      <c r="AD126">
        <v>19201768</v>
      </c>
      <c r="AE126">
        <v>19901646</v>
      </c>
      <c r="AF126">
        <v>20616096</v>
      </c>
      <c r="AG126">
        <v>21356219</v>
      </c>
      <c r="AH126">
        <v>22118434</v>
      </c>
      <c r="AI126">
        <v>22892651</v>
      </c>
      <c r="AJ126">
        <v>23646514</v>
      </c>
      <c r="AK126">
        <v>24382460</v>
      </c>
      <c r="AL126">
        <v>25117188</v>
      </c>
      <c r="AM126">
        <v>25857130</v>
      </c>
      <c r="AN126">
        <v>26601751</v>
      </c>
      <c r="AO126">
        <v>27344211</v>
      </c>
      <c r="AP126">
        <v>28101768</v>
      </c>
      <c r="AQ126">
        <v>28888057</v>
      </c>
      <c r="AR126">
        <v>29733408</v>
      </c>
      <c r="AS126">
        <v>30642890</v>
      </c>
      <c r="AT126">
        <v>31619170</v>
      </c>
      <c r="AU126">
        <v>32629808</v>
      </c>
      <c r="AV126">
        <v>33652223</v>
      </c>
      <c r="AW126">
        <v>34713455</v>
      </c>
      <c r="AX126">
        <v>35796484</v>
      </c>
      <c r="AY126">
        <v>36904008</v>
      </c>
      <c r="AZ126">
        <v>38036349</v>
      </c>
      <c r="BA126">
        <v>39206351</v>
      </c>
      <c r="BB126">
        <v>40408891</v>
      </c>
      <c r="BC126">
        <v>41598567</v>
      </c>
      <c r="BD126">
        <v>42758461</v>
      </c>
      <c r="BE126">
        <v>43888303</v>
      </c>
      <c r="BF126">
        <v>44986791</v>
      </c>
      <c r="BG126">
        <v>46051440</v>
      </c>
      <c r="BH126">
        <v>47088526</v>
      </c>
      <c r="BI126">
        <v>48139687</v>
      </c>
      <c r="BJ126">
        <v>49197766</v>
      </c>
      <c r="BK126">
        <v>50207107</v>
      </c>
      <c r="BL126">
        <v>51202827</v>
      </c>
      <c r="BM126">
        <v>52217334</v>
      </c>
      <c r="BN126">
        <v>53219166</v>
      </c>
      <c r="BO126">
        <v>54252461</v>
      </c>
      <c r="BP126">
        <v>55339003</v>
      </c>
      <c r="BQ126">
        <v>56432944</v>
      </c>
      <c r="BR126">
        <v>57532493</v>
      </c>
    </row>
    <row r="127" spans="1:70" x14ac:dyDescent="0.35">
      <c r="A127" t="s">
        <v>523</v>
      </c>
      <c r="B127" t="s">
        <v>524</v>
      </c>
      <c r="C127" t="s">
        <v>295</v>
      </c>
      <c r="D127" t="s">
        <v>296</v>
      </c>
      <c r="E127">
        <v>2172300</v>
      </c>
      <c r="F127">
        <v>2255900</v>
      </c>
      <c r="G127">
        <v>2333400</v>
      </c>
      <c r="H127">
        <v>2413700</v>
      </c>
      <c r="I127">
        <v>2495300</v>
      </c>
      <c r="J127">
        <v>2573300</v>
      </c>
      <c r="K127">
        <v>2655300</v>
      </c>
      <c r="L127">
        <v>2736500</v>
      </c>
      <c r="M127">
        <v>2818300</v>
      </c>
      <c r="N127">
        <v>2894800</v>
      </c>
      <c r="O127">
        <v>2959900</v>
      </c>
      <c r="P127">
        <v>3022300</v>
      </c>
      <c r="Q127">
        <v>3088200</v>
      </c>
      <c r="R127">
        <v>3153800</v>
      </c>
      <c r="S127">
        <v>3223900</v>
      </c>
      <c r="T127">
        <v>3292400</v>
      </c>
      <c r="U127">
        <v>3358700</v>
      </c>
      <c r="V127">
        <v>3423900</v>
      </c>
      <c r="W127">
        <v>3487100</v>
      </c>
      <c r="X127">
        <v>3552000</v>
      </c>
      <c r="Y127">
        <v>3617400</v>
      </c>
      <c r="Z127">
        <v>3685800</v>
      </c>
      <c r="AA127">
        <v>3759300</v>
      </c>
      <c r="AB127">
        <v>3838300</v>
      </c>
      <c r="AC127">
        <v>3916400</v>
      </c>
      <c r="AD127">
        <v>3990300</v>
      </c>
      <c r="AE127">
        <v>4066500</v>
      </c>
      <c r="AF127">
        <v>4144600</v>
      </c>
      <c r="AG127">
        <v>4218400</v>
      </c>
      <c r="AH127">
        <v>4307500</v>
      </c>
      <c r="AI127">
        <v>4391236</v>
      </c>
      <c r="AJ127">
        <v>4463634</v>
      </c>
      <c r="AK127">
        <v>4515400</v>
      </c>
      <c r="AL127">
        <v>4516777</v>
      </c>
      <c r="AM127">
        <v>4515069</v>
      </c>
      <c r="AN127">
        <v>4560454</v>
      </c>
      <c r="AO127">
        <v>4628438</v>
      </c>
      <c r="AP127">
        <v>4696421</v>
      </c>
      <c r="AQ127">
        <v>4769015</v>
      </c>
      <c r="AR127">
        <v>4840422</v>
      </c>
      <c r="AS127">
        <v>4898362</v>
      </c>
      <c r="AT127">
        <v>4945073</v>
      </c>
      <c r="AU127">
        <v>4990704</v>
      </c>
      <c r="AV127">
        <v>5043308</v>
      </c>
      <c r="AW127">
        <v>5104713</v>
      </c>
      <c r="AX127">
        <v>5162640</v>
      </c>
      <c r="AY127">
        <v>5218373</v>
      </c>
      <c r="AZ127">
        <v>5268385</v>
      </c>
      <c r="BA127">
        <v>5318729</v>
      </c>
      <c r="BB127">
        <v>5389643</v>
      </c>
      <c r="BC127">
        <v>5467059</v>
      </c>
      <c r="BD127">
        <v>5546587</v>
      </c>
      <c r="BE127">
        <v>5652076</v>
      </c>
      <c r="BF127">
        <v>5777150</v>
      </c>
      <c r="BG127">
        <v>5905848</v>
      </c>
      <c r="BH127">
        <v>6040036</v>
      </c>
      <c r="BI127">
        <v>6175338</v>
      </c>
      <c r="BJ127">
        <v>6306696</v>
      </c>
      <c r="BK127">
        <v>6444079</v>
      </c>
      <c r="BL127">
        <v>6590211</v>
      </c>
      <c r="BM127">
        <v>6726596</v>
      </c>
      <c r="BN127">
        <v>6851224</v>
      </c>
      <c r="BO127">
        <v>6975220</v>
      </c>
      <c r="BP127">
        <v>7099750</v>
      </c>
      <c r="BQ127">
        <v>7221868</v>
      </c>
      <c r="BR127">
        <v>7343064</v>
      </c>
    </row>
    <row r="128" spans="1:70" x14ac:dyDescent="0.35">
      <c r="A128" t="s">
        <v>525</v>
      </c>
      <c r="B128" t="s">
        <v>526</v>
      </c>
      <c r="C128" t="s">
        <v>295</v>
      </c>
      <c r="D128" t="s">
        <v>296</v>
      </c>
      <c r="E128">
        <v>5449966</v>
      </c>
      <c r="F128">
        <v>5571168</v>
      </c>
      <c r="G128">
        <v>5697558</v>
      </c>
      <c r="H128">
        <v>5823010</v>
      </c>
      <c r="I128">
        <v>5946178</v>
      </c>
      <c r="J128">
        <v>6072289</v>
      </c>
      <c r="K128">
        <v>6201232</v>
      </c>
      <c r="L128">
        <v>6332944</v>
      </c>
      <c r="M128">
        <v>6467324</v>
      </c>
      <c r="N128">
        <v>6604725</v>
      </c>
      <c r="O128">
        <v>6639182</v>
      </c>
      <c r="P128">
        <v>6620880</v>
      </c>
      <c r="Q128">
        <v>6673886</v>
      </c>
      <c r="R128">
        <v>6739726</v>
      </c>
      <c r="S128">
        <v>6783240</v>
      </c>
      <c r="T128">
        <v>6581371</v>
      </c>
      <c r="U128">
        <v>6134991</v>
      </c>
      <c r="V128">
        <v>5668551</v>
      </c>
      <c r="W128">
        <v>5211653</v>
      </c>
      <c r="X128">
        <v>5088808</v>
      </c>
      <c r="Y128">
        <v>5199872</v>
      </c>
      <c r="Z128">
        <v>5284495</v>
      </c>
      <c r="AA128">
        <v>5436432</v>
      </c>
      <c r="AB128">
        <v>5636203</v>
      </c>
      <c r="AC128">
        <v>5845117</v>
      </c>
      <c r="AD128">
        <v>6043783</v>
      </c>
      <c r="AE128">
        <v>6285693</v>
      </c>
      <c r="AF128">
        <v>6557970</v>
      </c>
      <c r="AG128">
        <v>6812014</v>
      </c>
      <c r="AH128">
        <v>7073473</v>
      </c>
      <c r="AI128">
        <v>7374752</v>
      </c>
      <c r="AJ128">
        <v>7686850</v>
      </c>
      <c r="AK128">
        <v>8113083</v>
      </c>
      <c r="AL128">
        <v>8616381</v>
      </c>
      <c r="AM128">
        <v>9239162</v>
      </c>
      <c r="AN128">
        <v>10018497</v>
      </c>
      <c r="AO128">
        <v>10801270</v>
      </c>
      <c r="AP128">
        <v>11570982</v>
      </c>
      <c r="AQ128">
        <v>12058173</v>
      </c>
      <c r="AR128">
        <v>12265731</v>
      </c>
      <c r="AS128">
        <v>12462336</v>
      </c>
      <c r="AT128">
        <v>12658484</v>
      </c>
      <c r="AU128">
        <v>12855241</v>
      </c>
      <c r="AV128">
        <v>13050968</v>
      </c>
      <c r="AW128">
        <v>13244731</v>
      </c>
      <c r="AX128">
        <v>13439202</v>
      </c>
      <c r="AY128">
        <v>13639028</v>
      </c>
      <c r="AZ128">
        <v>13841770</v>
      </c>
      <c r="BA128">
        <v>14053479</v>
      </c>
      <c r="BB128">
        <v>14276810</v>
      </c>
      <c r="BC128">
        <v>14500726</v>
      </c>
      <c r="BD128">
        <v>14722584</v>
      </c>
      <c r="BE128">
        <v>14945085</v>
      </c>
      <c r="BF128">
        <v>15170208</v>
      </c>
      <c r="BG128">
        <v>15396772</v>
      </c>
      <c r="BH128">
        <v>15623251</v>
      </c>
      <c r="BI128">
        <v>15852803</v>
      </c>
      <c r="BJ128">
        <v>16073372</v>
      </c>
      <c r="BK128">
        <v>16274522</v>
      </c>
      <c r="BL128">
        <v>16481304</v>
      </c>
      <c r="BM128">
        <v>16725474</v>
      </c>
      <c r="BN128">
        <v>16974305</v>
      </c>
      <c r="BO128">
        <v>17201724</v>
      </c>
      <c r="BP128">
        <v>17423880</v>
      </c>
      <c r="BQ128">
        <v>17638801</v>
      </c>
      <c r="BR128">
        <v>17847982</v>
      </c>
    </row>
    <row r="129" spans="1:70" x14ac:dyDescent="0.35">
      <c r="A129" t="s">
        <v>527</v>
      </c>
      <c r="B129" t="s">
        <v>528</v>
      </c>
      <c r="C129" t="s">
        <v>295</v>
      </c>
      <c r="D129" t="s">
        <v>296</v>
      </c>
      <c r="E129">
        <v>47157</v>
      </c>
      <c r="F129">
        <v>48323</v>
      </c>
      <c r="G129">
        <v>49538</v>
      </c>
      <c r="H129">
        <v>50791</v>
      </c>
      <c r="I129">
        <v>52088</v>
      </c>
      <c r="J129">
        <v>53439</v>
      </c>
      <c r="K129">
        <v>54425</v>
      </c>
      <c r="L129">
        <v>54996</v>
      </c>
      <c r="M129">
        <v>55529</v>
      </c>
      <c r="N129">
        <v>56360</v>
      </c>
      <c r="O129">
        <v>57510</v>
      </c>
      <c r="P129">
        <v>58652</v>
      </c>
      <c r="Q129">
        <v>59778</v>
      </c>
      <c r="R129">
        <v>60824</v>
      </c>
      <c r="S129">
        <v>61219</v>
      </c>
      <c r="T129">
        <v>60987</v>
      </c>
      <c r="U129">
        <v>60661</v>
      </c>
      <c r="V129">
        <v>60267</v>
      </c>
      <c r="W129">
        <v>59864</v>
      </c>
      <c r="X129">
        <v>60172</v>
      </c>
      <c r="Y129">
        <v>61148</v>
      </c>
      <c r="Z129">
        <v>62121</v>
      </c>
      <c r="AA129">
        <v>63134</v>
      </c>
      <c r="AB129">
        <v>64169</v>
      </c>
      <c r="AC129">
        <v>65228</v>
      </c>
      <c r="AD129">
        <v>66496</v>
      </c>
      <c r="AE129">
        <v>68059</v>
      </c>
      <c r="AF129">
        <v>69733</v>
      </c>
      <c r="AG129">
        <v>71427</v>
      </c>
      <c r="AH129">
        <v>73147</v>
      </c>
      <c r="AI129">
        <v>74855</v>
      </c>
      <c r="AJ129">
        <v>76367</v>
      </c>
      <c r="AK129">
        <v>77641</v>
      </c>
      <c r="AL129">
        <v>78841</v>
      </c>
      <c r="AM129">
        <v>80021</v>
      </c>
      <c r="AN129">
        <v>81234</v>
      </c>
      <c r="AO129">
        <v>82623</v>
      </c>
      <c r="AP129">
        <v>84147</v>
      </c>
      <c r="AQ129">
        <v>85657</v>
      </c>
      <c r="AR129">
        <v>87126</v>
      </c>
      <c r="AS129">
        <v>88613</v>
      </c>
      <c r="AT129">
        <v>90335</v>
      </c>
      <c r="AU129">
        <v>92264</v>
      </c>
      <c r="AV129">
        <v>94175</v>
      </c>
      <c r="AW129">
        <v>96085</v>
      </c>
      <c r="AX129">
        <v>98035</v>
      </c>
      <c r="AY129">
        <v>100017</v>
      </c>
      <c r="AZ129">
        <v>102068</v>
      </c>
      <c r="BA129">
        <v>104222</v>
      </c>
      <c r="BB129">
        <v>106467</v>
      </c>
      <c r="BC129">
        <v>108704</v>
      </c>
      <c r="BD129">
        <v>110647</v>
      </c>
      <c r="BE129">
        <v>112284</v>
      </c>
      <c r="BF129">
        <v>113838</v>
      </c>
      <c r="BG129">
        <v>115326</v>
      </c>
      <c r="BH129">
        <v>116815</v>
      </c>
      <c r="BI129">
        <v>118478</v>
      </c>
      <c r="BJ129">
        <v>120275</v>
      </c>
      <c r="BK129">
        <v>122084</v>
      </c>
      <c r="BL129">
        <v>123921</v>
      </c>
      <c r="BM129">
        <v>126099</v>
      </c>
      <c r="BN129">
        <v>128377</v>
      </c>
      <c r="BO129">
        <v>130469</v>
      </c>
      <c r="BP129">
        <v>132530</v>
      </c>
      <c r="BQ129">
        <v>134518</v>
      </c>
      <c r="BR129">
        <v>136488</v>
      </c>
    </row>
    <row r="130" spans="1:70" x14ac:dyDescent="0.35">
      <c r="A130" t="s">
        <v>529</v>
      </c>
      <c r="B130" t="s">
        <v>530</v>
      </c>
      <c r="C130" t="s">
        <v>295</v>
      </c>
      <c r="D130" t="s">
        <v>296</v>
      </c>
      <c r="E130">
        <v>55810</v>
      </c>
      <c r="F130">
        <v>55334</v>
      </c>
      <c r="G130">
        <v>54461</v>
      </c>
      <c r="H130">
        <v>53441</v>
      </c>
      <c r="I130">
        <v>52326</v>
      </c>
      <c r="J130">
        <v>51139</v>
      </c>
      <c r="K130">
        <v>49898</v>
      </c>
      <c r="L130">
        <v>48605</v>
      </c>
      <c r="M130">
        <v>47245</v>
      </c>
      <c r="N130">
        <v>45731</v>
      </c>
      <c r="O130">
        <v>44606</v>
      </c>
      <c r="P130">
        <v>44206</v>
      </c>
      <c r="Q130">
        <v>44033</v>
      </c>
      <c r="R130">
        <v>43880</v>
      </c>
      <c r="S130">
        <v>43738</v>
      </c>
      <c r="T130">
        <v>43606</v>
      </c>
      <c r="U130">
        <v>43482</v>
      </c>
      <c r="V130">
        <v>43358</v>
      </c>
      <c r="W130">
        <v>43217</v>
      </c>
      <c r="X130">
        <v>43033</v>
      </c>
      <c r="Y130">
        <v>42850</v>
      </c>
      <c r="Z130">
        <v>42698</v>
      </c>
      <c r="AA130">
        <v>42532</v>
      </c>
      <c r="AB130">
        <v>42334</v>
      </c>
      <c r="AC130">
        <v>42113</v>
      </c>
      <c r="AD130">
        <v>41874</v>
      </c>
      <c r="AE130">
        <v>41618</v>
      </c>
      <c r="AF130">
        <v>41348</v>
      </c>
      <c r="AG130">
        <v>41062</v>
      </c>
      <c r="AH130">
        <v>40758</v>
      </c>
      <c r="AI130">
        <v>40432</v>
      </c>
      <c r="AJ130">
        <v>40358</v>
      </c>
      <c r="AK130">
        <v>40715</v>
      </c>
      <c r="AL130">
        <v>41242</v>
      </c>
      <c r="AM130">
        <v>41776</v>
      </c>
      <c r="AN130">
        <v>42326</v>
      </c>
      <c r="AO130">
        <v>42877</v>
      </c>
      <c r="AP130">
        <v>43428</v>
      </c>
      <c r="AQ130">
        <v>43998</v>
      </c>
      <c r="AR130">
        <v>44601</v>
      </c>
      <c r="AS130">
        <v>45248</v>
      </c>
      <c r="AT130">
        <v>45761</v>
      </c>
      <c r="AU130">
        <v>46020</v>
      </c>
      <c r="AV130">
        <v>46176</v>
      </c>
      <c r="AW130">
        <v>46315</v>
      </c>
      <c r="AX130">
        <v>46437</v>
      </c>
      <c r="AY130">
        <v>46569</v>
      </c>
      <c r="AZ130">
        <v>46706</v>
      </c>
      <c r="BA130">
        <v>46835</v>
      </c>
      <c r="BB130">
        <v>46916</v>
      </c>
      <c r="BC130">
        <v>46846</v>
      </c>
      <c r="BD130">
        <v>46886</v>
      </c>
      <c r="BE130">
        <v>47033</v>
      </c>
      <c r="BF130">
        <v>47069</v>
      </c>
      <c r="BG130">
        <v>47089</v>
      </c>
      <c r="BH130">
        <v>47087</v>
      </c>
      <c r="BI130">
        <v>47075</v>
      </c>
      <c r="BJ130">
        <v>47050</v>
      </c>
      <c r="BK130">
        <v>47008</v>
      </c>
      <c r="BL130">
        <v>46952</v>
      </c>
      <c r="BM130">
        <v>46870</v>
      </c>
      <c r="BN130">
        <v>46763</v>
      </c>
      <c r="BO130">
        <v>46709</v>
      </c>
      <c r="BP130">
        <v>46758</v>
      </c>
      <c r="BQ130">
        <v>46843</v>
      </c>
      <c r="BR130">
        <v>46922</v>
      </c>
    </row>
    <row r="131" spans="1:70" x14ac:dyDescent="0.35">
      <c r="A131" t="s">
        <v>531</v>
      </c>
      <c r="B131" t="s">
        <v>532</v>
      </c>
      <c r="C131" t="s">
        <v>295</v>
      </c>
      <c r="D131" t="s">
        <v>296</v>
      </c>
      <c r="E131">
        <v>25012374</v>
      </c>
      <c r="F131">
        <v>25765673</v>
      </c>
      <c r="G131">
        <v>26513030</v>
      </c>
      <c r="H131">
        <v>27261747</v>
      </c>
      <c r="I131">
        <v>27984155</v>
      </c>
      <c r="J131">
        <v>28704674</v>
      </c>
      <c r="K131">
        <v>29435571</v>
      </c>
      <c r="L131">
        <v>30130983</v>
      </c>
      <c r="M131">
        <v>30838302</v>
      </c>
      <c r="N131">
        <v>31544266</v>
      </c>
      <c r="O131">
        <v>32240827</v>
      </c>
      <c r="P131">
        <v>32882704</v>
      </c>
      <c r="Q131">
        <v>33505406</v>
      </c>
      <c r="R131">
        <v>34103149</v>
      </c>
      <c r="S131">
        <v>34692266</v>
      </c>
      <c r="T131">
        <v>35280725</v>
      </c>
      <c r="U131">
        <v>35848523</v>
      </c>
      <c r="V131">
        <v>36411795</v>
      </c>
      <c r="W131">
        <v>36969185</v>
      </c>
      <c r="X131">
        <v>37534236</v>
      </c>
      <c r="Y131">
        <v>38123775</v>
      </c>
      <c r="Z131">
        <v>38723248</v>
      </c>
      <c r="AA131">
        <v>39326352</v>
      </c>
      <c r="AB131">
        <v>39910403</v>
      </c>
      <c r="AC131">
        <v>40405956</v>
      </c>
      <c r="AD131">
        <v>40805744</v>
      </c>
      <c r="AE131">
        <v>41213674</v>
      </c>
      <c r="AF131">
        <v>41621690</v>
      </c>
      <c r="AG131">
        <v>42031247</v>
      </c>
      <c r="AH131">
        <v>42449038</v>
      </c>
      <c r="AI131">
        <v>42869283</v>
      </c>
      <c r="AJ131">
        <v>43295704</v>
      </c>
      <c r="AK131">
        <v>43747962</v>
      </c>
      <c r="AL131">
        <v>44194628</v>
      </c>
      <c r="AM131">
        <v>44641540</v>
      </c>
      <c r="AN131">
        <v>45092991</v>
      </c>
      <c r="AO131">
        <v>45524681</v>
      </c>
      <c r="AP131">
        <v>45953580</v>
      </c>
      <c r="AQ131">
        <v>46286503</v>
      </c>
      <c r="AR131">
        <v>46616677</v>
      </c>
      <c r="AS131">
        <v>47008111</v>
      </c>
      <c r="AT131">
        <v>47370164</v>
      </c>
      <c r="AU131">
        <v>47644736</v>
      </c>
      <c r="AV131">
        <v>47892330</v>
      </c>
      <c r="AW131">
        <v>48082519</v>
      </c>
      <c r="AX131">
        <v>48184561</v>
      </c>
      <c r="AY131">
        <v>48438292</v>
      </c>
      <c r="AZ131">
        <v>48683638</v>
      </c>
      <c r="BA131">
        <v>49054708</v>
      </c>
      <c r="BB131">
        <v>49307835</v>
      </c>
      <c r="BC131">
        <v>49554112</v>
      </c>
      <c r="BD131">
        <v>49936638</v>
      </c>
      <c r="BE131">
        <v>50199853</v>
      </c>
      <c r="BF131">
        <v>50428893</v>
      </c>
      <c r="BG131">
        <v>50746659</v>
      </c>
      <c r="BH131">
        <v>51014947</v>
      </c>
      <c r="BI131">
        <v>51217803</v>
      </c>
      <c r="BJ131">
        <v>51361911</v>
      </c>
      <c r="BK131">
        <v>51585058</v>
      </c>
      <c r="BL131">
        <v>51764822</v>
      </c>
      <c r="BM131">
        <v>51836239</v>
      </c>
      <c r="BN131">
        <v>51769539</v>
      </c>
      <c r="BO131">
        <v>51672569</v>
      </c>
      <c r="BP131">
        <v>51712619</v>
      </c>
      <c r="BQ131">
        <v>51751065</v>
      </c>
      <c r="BR131">
        <v>51684564</v>
      </c>
    </row>
    <row r="132" spans="1:70" x14ac:dyDescent="0.35">
      <c r="A132" t="s">
        <v>533</v>
      </c>
      <c r="B132" t="s">
        <v>534</v>
      </c>
      <c r="C132" t="s">
        <v>295</v>
      </c>
      <c r="D132" t="s">
        <v>296</v>
      </c>
      <c r="E132">
        <v>311060</v>
      </c>
      <c r="F132">
        <v>345945</v>
      </c>
      <c r="G132">
        <v>384995</v>
      </c>
      <c r="H132">
        <v>427694</v>
      </c>
      <c r="I132">
        <v>473115</v>
      </c>
      <c r="J132">
        <v>521174</v>
      </c>
      <c r="K132">
        <v>572590</v>
      </c>
      <c r="L132">
        <v>628089</v>
      </c>
      <c r="M132">
        <v>687716</v>
      </c>
      <c r="N132">
        <v>749452</v>
      </c>
      <c r="O132">
        <v>809114</v>
      </c>
      <c r="P132">
        <v>865076</v>
      </c>
      <c r="Q132">
        <v>920352</v>
      </c>
      <c r="R132">
        <v>977654</v>
      </c>
      <c r="S132">
        <v>1038346</v>
      </c>
      <c r="T132">
        <v>1104863</v>
      </c>
      <c r="U132">
        <v>1178711</v>
      </c>
      <c r="V132">
        <v>1258023</v>
      </c>
      <c r="W132">
        <v>1340319</v>
      </c>
      <c r="X132">
        <v>1423514</v>
      </c>
      <c r="Y132">
        <v>1504782</v>
      </c>
      <c r="Z132">
        <v>1583426</v>
      </c>
      <c r="AA132">
        <v>1662480</v>
      </c>
      <c r="AB132">
        <v>1744295</v>
      </c>
      <c r="AC132">
        <v>1820688</v>
      </c>
      <c r="AD132">
        <v>1894242</v>
      </c>
      <c r="AE132">
        <v>1972520</v>
      </c>
      <c r="AF132">
        <v>2052994</v>
      </c>
      <c r="AG132">
        <v>2134707</v>
      </c>
      <c r="AH132">
        <v>2217468</v>
      </c>
      <c r="AI132">
        <v>1684819</v>
      </c>
      <c r="AJ132">
        <v>1351399</v>
      </c>
      <c r="AK132">
        <v>1634961</v>
      </c>
      <c r="AL132">
        <v>1672151</v>
      </c>
      <c r="AM132">
        <v>1664361</v>
      </c>
      <c r="AN132">
        <v>1681513</v>
      </c>
      <c r="AO132">
        <v>1730246</v>
      </c>
      <c r="AP132">
        <v>1787683</v>
      </c>
      <c r="AQ132">
        <v>1844302</v>
      </c>
      <c r="AR132">
        <v>1900030</v>
      </c>
      <c r="AS132">
        <v>1954709</v>
      </c>
      <c r="AT132">
        <v>2008121</v>
      </c>
      <c r="AU132">
        <v>2059974</v>
      </c>
      <c r="AV132">
        <v>2109881</v>
      </c>
      <c r="AW132">
        <v>2157320</v>
      </c>
      <c r="AX132">
        <v>2236788</v>
      </c>
      <c r="AY132">
        <v>2364733</v>
      </c>
      <c r="AZ132">
        <v>2507887</v>
      </c>
      <c r="BA132">
        <v>2651421</v>
      </c>
      <c r="BB132">
        <v>2795484</v>
      </c>
      <c r="BC132">
        <v>2943372</v>
      </c>
      <c r="BD132">
        <v>3132814</v>
      </c>
      <c r="BE132">
        <v>3337109</v>
      </c>
      <c r="BF132">
        <v>3507844</v>
      </c>
      <c r="BG132">
        <v>3665876</v>
      </c>
      <c r="BH132">
        <v>3834574</v>
      </c>
      <c r="BI132">
        <v>4004096</v>
      </c>
      <c r="BJ132">
        <v>4154812</v>
      </c>
      <c r="BK132">
        <v>4323515</v>
      </c>
      <c r="BL132">
        <v>4442316</v>
      </c>
      <c r="BM132">
        <v>4400267</v>
      </c>
      <c r="BN132">
        <v>4360865</v>
      </c>
      <c r="BO132">
        <v>4589643</v>
      </c>
      <c r="BP132">
        <v>4853420</v>
      </c>
      <c r="BQ132">
        <v>4897263</v>
      </c>
      <c r="BR132">
        <v>4865298</v>
      </c>
    </row>
    <row r="133" spans="1:70" x14ac:dyDescent="0.35">
      <c r="A133" t="s">
        <v>535</v>
      </c>
      <c r="B133" t="s">
        <v>536</v>
      </c>
      <c r="C133" t="s">
        <v>295</v>
      </c>
      <c r="D133" t="s">
        <v>296</v>
      </c>
      <c r="E133">
        <v>201015988</v>
      </c>
      <c r="F133">
        <v>206754416</v>
      </c>
      <c r="G133">
        <v>212671655</v>
      </c>
      <c r="H133">
        <v>218739294</v>
      </c>
      <c r="I133">
        <v>224935890</v>
      </c>
      <c r="J133">
        <v>231233258</v>
      </c>
      <c r="K133">
        <v>237610164</v>
      </c>
      <c r="L133">
        <v>244055267</v>
      </c>
      <c r="M133">
        <v>250561978</v>
      </c>
      <c r="N133">
        <v>257133541</v>
      </c>
      <c r="O133">
        <v>263746328</v>
      </c>
      <c r="P133">
        <v>270429104</v>
      </c>
      <c r="Q133">
        <v>277221283</v>
      </c>
      <c r="R133">
        <v>284113031</v>
      </c>
      <c r="S133">
        <v>291087147</v>
      </c>
      <c r="T133">
        <v>298124294</v>
      </c>
      <c r="U133">
        <v>305230553</v>
      </c>
      <c r="V133">
        <v>312464048</v>
      </c>
      <c r="W133">
        <v>319845341</v>
      </c>
      <c r="X133">
        <v>327312131</v>
      </c>
      <c r="Y133">
        <v>334846785</v>
      </c>
      <c r="Z133">
        <v>342397705</v>
      </c>
      <c r="AA133">
        <v>349988002</v>
      </c>
      <c r="AB133">
        <v>357710434</v>
      </c>
      <c r="AC133">
        <v>365512951</v>
      </c>
      <c r="AD133">
        <v>373311226</v>
      </c>
      <c r="AE133">
        <v>381082653</v>
      </c>
      <c r="AF133">
        <v>388847267</v>
      </c>
      <c r="AG133">
        <v>396637679</v>
      </c>
      <c r="AH133">
        <v>404429908</v>
      </c>
      <c r="AI133">
        <v>412240357</v>
      </c>
      <c r="AJ133">
        <v>419987984</v>
      </c>
      <c r="AK133">
        <v>427679842</v>
      </c>
      <c r="AL133">
        <v>435329971</v>
      </c>
      <c r="AM133">
        <v>442904735</v>
      </c>
      <c r="AN133">
        <v>450462160</v>
      </c>
      <c r="AO133">
        <v>457961655</v>
      </c>
      <c r="AP133">
        <v>465414409</v>
      </c>
      <c r="AQ133">
        <v>472884494</v>
      </c>
      <c r="AR133">
        <v>480290143</v>
      </c>
      <c r="AS133">
        <v>487480396</v>
      </c>
      <c r="AT133">
        <v>494443065</v>
      </c>
      <c r="AU133">
        <v>501234679</v>
      </c>
      <c r="AV133">
        <v>507870430</v>
      </c>
      <c r="AW133">
        <v>514373324</v>
      </c>
      <c r="AX133">
        <v>520792375</v>
      </c>
      <c r="AY133">
        <v>527135313</v>
      </c>
      <c r="AZ133">
        <v>533442703</v>
      </c>
      <c r="BA133">
        <v>539713061</v>
      </c>
      <c r="BB133">
        <v>545898245</v>
      </c>
      <c r="BC133">
        <v>551960581</v>
      </c>
      <c r="BD133">
        <v>558007918</v>
      </c>
      <c r="BE133">
        <v>564057086</v>
      </c>
      <c r="BF133">
        <v>570030910</v>
      </c>
      <c r="BG133">
        <v>575915671</v>
      </c>
      <c r="BH133">
        <v>581649117</v>
      </c>
      <c r="BI133">
        <v>587206002</v>
      </c>
      <c r="BJ133">
        <v>592522502</v>
      </c>
      <c r="BK133">
        <v>597518751</v>
      </c>
      <c r="BL133">
        <v>602249777</v>
      </c>
      <c r="BM133">
        <v>606535582</v>
      </c>
      <c r="BN133">
        <v>610122057</v>
      </c>
      <c r="BO133">
        <v>613861839</v>
      </c>
      <c r="BP133">
        <v>618190397</v>
      </c>
      <c r="BQ133">
        <v>622564181</v>
      </c>
      <c r="BR133">
        <v>626808315</v>
      </c>
    </row>
    <row r="134" spans="1:70" x14ac:dyDescent="0.35">
      <c r="A134" t="s">
        <v>537</v>
      </c>
      <c r="B134" t="s">
        <v>538</v>
      </c>
      <c r="C134" t="s">
        <v>295</v>
      </c>
      <c r="D134" t="s">
        <v>296</v>
      </c>
      <c r="E134">
        <v>2121514</v>
      </c>
      <c r="F134">
        <v>2169796</v>
      </c>
      <c r="G134">
        <v>2219910</v>
      </c>
      <c r="H134">
        <v>2271061</v>
      </c>
      <c r="I134">
        <v>2322826</v>
      </c>
      <c r="J134">
        <v>2376200</v>
      </c>
      <c r="K134">
        <v>2431084</v>
      </c>
      <c r="L134">
        <v>2487715</v>
      </c>
      <c r="M134">
        <v>2546377</v>
      </c>
      <c r="N134">
        <v>2606959</v>
      </c>
      <c r="O134">
        <v>2669702</v>
      </c>
      <c r="P134">
        <v>2734628</v>
      </c>
      <c r="Q134">
        <v>2801660</v>
      </c>
      <c r="R134">
        <v>2870573</v>
      </c>
      <c r="S134">
        <v>2939761</v>
      </c>
      <c r="T134">
        <v>3005521</v>
      </c>
      <c r="U134">
        <v>3064876</v>
      </c>
      <c r="V134">
        <v>3118923</v>
      </c>
      <c r="W134">
        <v>3171740</v>
      </c>
      <c r="X134">
        <v>3228202</v>
      </c>
      <c r="Y134">
        <v>3292573</v>
      </c>
      <c r="Z134">
        <v>3366631</v>
      </c>
      <c r="AA134">
        <v>3450026</v>
      </c>
      <c r="AB134">
        <v>3541001</v>
      </c>
      <c r="AC134">
        <v>3637843</v>
      </c>
      <c r="AD134">
        <v>3739985</v>
      </c>
      <c r="AE134">
        <v>3846715</v>
      </c>
      <c r="AF134">
        <v>3957612</v>
      </c>
      <c r="AG134">
        <v>4072601</v>
      </c>
      <c r="AH134">
        <v>4190974</v>
      </c>
      <c r="AI134">
        <v>4311955</v>
      </c>
      <c r="AJ134">
        <v>4435118</v>
      </c>
      <c r="AK134">
        <v>4559646</v>
      </c>
      <c r="AL134">
        <v>4685060</v>
      </c>
      <c r="AM134">
        <v>4809220</v>
      </c>
      <c r="AN134">
        <v>4929409</v>
      </c>
      <c r="AO134">
        <v>5045678</v>
      </c>
      <c r="AP134">
        <v>5152011</v>
      </c>
      <c r="AQ134">
        <v>5248266</v>
      </c>
      <c r="AR134">
        <v>5340784</v>
      </c>
      <c r="AS134">
        <v>5431212</v>
      </c>
      <c r="AT134">
        <v>5521482</v>
      </c>
      <c r="AU134">
        <v>5610889</v>
      </c>
      <c r="AV134">
        <v>5697945</v>
      </c>
      <c r="AW134">
        <v>5781626</v>
      </c>
      <c r="AX134">
        <v>5869523</v>
      </c>
      <c r="AY134">
        <v>5963200</v>
      </c>
      <c r="AZ134">
        <v>6056236</v>
      </c>
      <c r="BA134">
        <v>6148969</v>
      </c>
      <c r="BB134">
        <v>6241642</v>
      </c>
      <c r="BC134">
        <v>6334194</v>
      </c>
      <c r="BD134">
        <v>6426590</v>
      </c>
      <c r="BE134">
        <v>6518978</v>
      </c>
      <c r="BF134">
        <v>6611385</v>
      </c>
      <c r="BG134">
        <v>6703172</v>
      </c>
      <c r="BH134">
        <v>6801645</v>
      </c>
      <c r="BI134">
        <v>6908802</v>
      </c>
      <c r="BJ134">
        <v>7018147</v>
      </c>
      <c r="BK134">
        <v>7128045</v>
      </c>
      <c r="BL134">
        <v>7237636</v>
      </c>
      <c r="BM134">
        <v>7346533</v>
      </c>
      <c r="BN134">
        <v>7453194</v>
      </c>
      <c r="BO134">
        <v>7559007</v>
      </c>
      <c r="BP134">
        <v>7664993</v>
      </c>
      <c r="BQ134">
        <v>7769819</v>
      </c>
      <c r="BR134">
        <v>7873046</v>
      </c>
    </row>
    <row r="135" spans="1:70" x14ac:dyDescent="0.35">
      <c r="A135" t="s">
        <v>539</v>
      </c>
      <c r="B135" t="s">
        <v>540</v>
      </c>
      <c r="C135" t="s">
        <v>295</v>
      </c>
      <c r="D135" t="s">
        <v>296</v>
      </c>
      <c r="E135">
        <v>1794406</v>
      </c>
      <c r="F135">
        <v>1850084</v>
      </c>
      <c r="G135">
        <v>1909578</v>
      </c>
      <c r="H135">
        <v>1970316</v>
      </c>
      <c r="I135">
        <v>2030543</v>
      </c>
      <c r="J135">
        <v>2088831</v>
      </c>
      <c r="K135">
        <v>2148260</v>
      </c>
      <c r="L135">
        <v>2206731</v>
      </c>
      <c r="M135">
        <v>2266368</v>
      </c>
      <c r="N135">
        <v>2328159</v>
      </c>
      <c r="O135">
        <v>2386114</v>
      </c>
      <c r="P135">
        <v>2446314</v>
      </c>
      <c r="Q135">
        <v>2509729</v>
      </c>
      <c r="R135">
        <v>2572935</v>
      </c>
      <c r="S135">
        <v>2635185</v>
      </c>
      <c r="T135">
        <v>2693191</v>
      </c>
      <c r="U135">
        <v>2726469</v>
      </c>
      <c r="V135">
        <v>2762155</v>
      </c>
      <c r="W135">
        <v>2822682</v>
      </c>
      <c r="X135">
        <v>2882635</v>
      </c>
      <c r="Y135">
        <v>2944763</v>
      </c>
      <c r="Z135">
        <v>3008981</v>
      </c>
      <c r="AA135">
        <v>3054931</v>
      </c>
      <c r="AB135">
        <v>3094996</v>
      </c>
      <c r="AC135">
        <v>3152744</v>
      </c>
      <c r="AD135">
        <v>3217376</v>
      </c>
      <c r="AE135">
        <v>3300365</v>
      </c>
      <c r="AF135">
        <v>3385555</v>
      </c>
      <c r="AG135">
        <v>3454649</v>
      </c>
      <c r="AH135">
        <v>3525285</v>
      </c>
      <c r="AI135">
        <v>3595175</v>
      </c>
      <c r="AJ135">
        <v>3668912</v>
      </c>
      <c r="AK135">
        <v>3747371</v>
      </c>
      <c r="AL135">
        <v>3820647</v>
      </c>
      <c r="AM135">
        <v>3889799</v>
      </c>
      <c r="AN135">
        <v>3960735</v>
      </c>
      <c r="AO135">
        <v>4034781</v>
      </c>
      <c r="AP135">
        <v>4108405</v>
      </c>
      <c r="AQ135">
        <v>4181281</v>
      </c>
      <c r="AR135">
        <v>4255277</v>
      </c>
      <c r="AS135">
        <v>4329340</v>
      </c>
      <c r="AT135">
        <v>4401918</v>
      </c>
      <c r="AU135">
        <v>4463504</v>
      </c>
      <c r="AV135">
        <v>4525508</v>
      </c>
      <c r="AW135">
        <v>4599279</v>
      </c>
      <c r="AX135">
        <v>4671102</v>
      </c>
      <c r="AY135">
        <v>4751136</v>
      </c>
      <c r="AZ135">
        <v>4844118</v>
      </c>
      <c r="BA135">
        <v>4925354</v>
      </c>
      <c r="BB135">
        <v>4992287</v>
      </c>
      <c r="BC135">
        <v>5041288</v>
      </c>
      <c r="BD135">
        <v>5096020</v>
      </c>
      <c r="BE135">
        <v>5235742</v>
      </c>
      <c r="BF135">
        <v>5743436</v>
      </c>
      <c r="BG135">
        <v>6346990</v>
      </c>
      <c r="BH135">
        <v>6472469</v>
      </c>
      <c r="BI135">
        <v>6323060</v>
      </c>
      <c r="BJ135">
        <v>6160128</v>
      </c>
      <c r="BK135">
        <v>5984119</v>
      </c>
      <c r="BL135">
        <v>5794594</v>
      </c>
      <c r="BM135">
        <v>5702398</v>
      </c>
      <c r="BN135">
        <v>5718122</v>
      </c>
      <c r="BO135">
        <v>5744489</v>
      </c>
      <c r="BP135">
        <v>5773493</v>
      </c>
      <c r="BQ135">
        <v>5805962</v>
      </c>
      <c r="BR135">
        <v>5849421</v>
      </c>
    </row>
    <row r="136" spans="1:70" x14ac:dyDescent="0.35">
      <c r="A136" t="s">
        <v>541</v>
      </c>
      <c r="B136" t="s">
        <v>542</v>
      </c>
      <c r="C136" t="s">
        <v>295</v>
      </c>
      <c r="D136" t="s">
        <v>296</v>
      </c>
      <c r="E136">
        <v>1139522</v>
      </c>
      <c r="F136">
        <v>1167717</v>
      </c>
      <c r="G136">
        <v>1197039</v>
      </c>
      <c r="H136">
        <v>1227414</v>
      </c>
      <c r="I136">
        <v>1258745</v>
      </c>
      <c r="J136">
        <v>1291156</v>
      </c>
      <c r="K136">
        <v>1324383</v>
      </c>
      <c r="L136">
        <v>1358435</v>
      </c>
      <c r="M136">
        <v>1393530</v>
      </c>
      <c r="N136">
        <v>1429605</v>
      </c>
      <c r="O136">
        <v>1466676</v>
      </c>
      <c r="P136">
        <v>1504077</v>
      </c>
      <c r="Q136">
        <v>1542670</v>
      </c>
      <c r="R136">
        <v>1583588</v>
      </c>
      <c r="S136">
        <v>1626362</v>
      </c>
      <c r="T136">
        <v>1670913</v>
      </c>
      <c r="U136">
        <v>1717060</v>
      </c>
      <c r="V136">
        <v>1766019</v>
      </c>
      <c r="W136">
        <v>1818247</v>
      </c>
      <c r="X136">
        <v>1872713</v>
      </c>
      <c r="Y136">
        <v>1929253</v>
      </c>
      <c r="Z136">
        <v>1986867</v>
      </c>
      <c r="AA136">
        <v>2045073</v>
      </c>
      <c r="AB136">
        <v>2107113</v>
      </c>
      <c r="AC136">
        <v>2173312</v>
      </c>
      <c r="AD136">
        <v>2240539</v>
      </c>
      <c r="AE136">
        <v>2308511</v>
      </c>
      <c r="AF136">
        <v>2377229</v>
      </c>
      <c r="AG136">
        <v>2446941</v>
      </c>
      <c r="AH136">
        <v>2517858</v>
      </c>
      <c r="AI136">
        <v>2223667</v>
      </c>
      <c r="AJ136">
        <v>1956518</v>
      </c>
      <c r="AK136">
        <v>2072461</v>
      </c>
      <c r="AL136">
        <v>2155126</v>
      </c>
      <c r="AM136">
        <v>2149928</v>
      </c>
      <c r="AN136">
        <v>2169162</v>
      </c>
      <c r="AO136">
        <v>2232289</v>
      </c>
      <c r="AP136">
        <v>2412989</v>
      </c>
      <c r="AQ136">
        <v>2670124</v>
      </c>
      <c r="AR136">
        <v>2821684</v>
      </c>
      <c r="AS136">
        <v>2928117</v>
      </c>
      <c r="AT136">
        <v>3015338</v>
      </c>
      <c r="AU136">
        <v>3094782</v>
      </c>
      <c r="AV136">
        <v>3119532</v>
      </c>
      <c r="AW136">
        <v>3156892</v>
      </c>
      <c r="AX136">
        <v>3301015</v>
      </c>
      <c r="AY136">
        <v>3490787</v>
      </c>
      <c r="AZ136">
        <v>3669050</v>
      </c>
      <c r="BA136">
        <v>3821003</v>
      </c>
      <c r="BB136">
        <v>3943028</v>
      </c>
      <c r="BC136">
        <v>4058890</v>
      </c>
      <c r="BD136">
        <v>4221178</v>
      </c>
      <c r="BE136">
        <v>4373043</v>
      </c>
      <c r="BF136">
        <v>4470239</v>
      </c>
      <c r="BG136">
        <v>4564293</v>
      </c>
      <c r="BH136">
        <v>4659431</v>
      </c>
      <c r="BI136">
        <v>4755608</v>
      </c>
      <c r="BJ136">
        <v>4848925</v>
      </c>
      <c r="BK136">
        <v>4944726</v>
      </c>
      <c r="BL136">
        <v>5043721</v>
      </c>
      <c r="BM136">
        <v>5149463</v>
      </c>
      <c r="BN136">
        <v>5259323</v>
      </c>
      <c r="BO136">
        <v>5373294</v>
      </c>
      <c r="BP136">
        <v>5493031</v>
      </c>
      <c r="BQ136">
        <v>5612817</v>
      </c>
      <c r="BR136">
        <v>5731206</v>
      </c>
    </row>
    <row r="137" spans="1:70" x14ac:dyDescent="0.35">
      <c r="A137" t="s">
        <v>543</v>
      </c>
      <c r="B137" t="s">
        <v>544</v>
      </c>
      <c r="C137" t="s">
        <v>295</v>
      </c>
      <c r="D137" t="s">
        <v>296</v>
      </c>
      <c r="E137">
        <v>1492890</v>
      </c>
      <c r="F137">
        <v>1555699</v>
      </c>
      <c r="G137">
        <v>1621960</v>
      </c>
      <c r="H137">
        <v>1690457</v>
      </c>
      <c r="I137">
        <v>1753691</v>
      </c>
      <c r="J137">
        <v>1804015</v>
      </c>
      <c r="K137">
        <v>1849063</v>
      </c>
      <c r="L137">
        <v>1898199</v>
      </c>
      <c r="M137">
        <v>1952781</v>
      </c>
      <c r="N137">
        <v>2014293</v>
      </c>
      <c r="O137">
        <v>2082589</v>
      </c>
      <c r="P137">
        <v>2153534</v>
      </c>
      <c r="Q137">
        <v>2226091</v>
      </c>
      <c r="R137">
        <v>2314193</v>
      </c>
      <c r="S137">
        <v>2432211</v>
      </c>
      <c r="T137">
        <v>2571556</v>
      </c>
      <c r="U137">
        <v>2721237</v>
      </c>
      <c r="V137">
        <v>2881533</v>
      </c>
      <c r="W137">
        <v>3052526</v>
      </c>
      <c r="X137">
        <v>3233846</v>
      </c>
      <c r="Y137">
        <v>3424378</v>
      </c>
      <c r="Z137">
        <v>3621486</v>
      </c>
      <c r="AA137">
        <v>3724765</v>
      </c>
      <c r="AB137">
        <v>3718961</v>
      </c>
      <c r="AC137">
        <v>3773633</v>
      </c>
      <c r="AD137">
        <v>3898745</v>
      </c>
      <c r="AE137">
        <v>4017403</v>
      </c>
      <c r="AF137">
        <v>4129739</v>
      </c>
      <c r="AG137">
        <v>4237755</v>
      </c>
      <c r="AH137">
        <v>4342920</v>
      </c>
      <c r="AI137">
        <v>4445239</v>
      </c>
      <c r="AJ137">
        <v>4544400</v>
      </c>
      <c r="AK137">
        <v>4640352</v>
      </c>
      <c r="AL137">
        <v>4733045</v>
      </c>
      <c r="AM137">
        <v>4822037</v>
      </c>
      <c r="AN137">
        <v>4906843</v>
      </c>
      <c r="AO137">
        <v>4987393</v>
      </c>
      <c r="AP137">
        <v>5064639</v>
      </c>
      <c r="AQ137">
        <v>5140704</v>
      </c>
      <c r="AR137">
        <v>5218038</v>
      </c>
      <c r="AS137">
        <v>5305021</v>
      </c>
      <c r="AT137">
        <v>5403639</v>
      </c>
      <c r="AU137">
        <v>5508410</v>
      </c>
      <c r="AV137">
        <v>5619398</v>
      </c>
      <c r="AW137">
        <v>5736693</v>
      </c>
      <c r="AX137">
        <v>5858798</v>
      </c>
      <c r="AY137">
        <v>5980211</v>
      </c>
      <c r="AZ137">
        <v>6104380</v>
      </c>
      <c r="BA137">
        <v>6235430</v>
      </c>
      <c r="BB137">
        <v>6366686</v>
      </c>
      <c r="BC137">
        <v>6497839</v>
      </c>
      <c r="BD137">
        <v>6343203</v>
      </c>
      <c r="BE137">
        <v>6179328</v>
      </c>
      <c r="BF137">
        <v>6304628</v>
      </c>
      <c r="BG137">
        <v>6427252</v>
      </c>
      <c r="BH137">
        <v>6531819</v>
      </c>
      <c r="BI137">
        <v>6632126</v>
      </c>
      <c r="BJ137">
        <v>6738770</v>
      </c>
      <c r="BK137">
        <v>6849055</v>
      </c>
      <c r="BL137">
        <v>6951033</v>
      </c>
      <c r="BM137">
        <v>7045399</v>
      </c>
      <c r="BN137">
        <v>7135175</v>
      </c>
      <c r="BO137">
        <v>7223805</v>
      </c>
      <c r="BP137">
        <v>7305659</v>
      </c>
      <c r="BQ137">
        <v>7381023</v>
      </c>
      <c r="BR137">
        <v>7458555</v>
      </c>
    </row>
    <row r="138" spans="1:70" x14ac:dyDescent="0.35">
      <c r="A138" t="s">
        <v>545</v>
      </c>
      <c r="B138" t="s">
        <v>546</v>
      </c>
      <c r="C138" t="s">
        <v>295</v>
      </c>
      <c r="D138" t="s">
        <v>296</v>
      </c>
      <c r="E138">
        <v>92585</v>
      </c>
      <c r="F138">
        <v>93490</v>
      </c>
      <c r="G138">
        <v>94505</v>
      </c>
      <c r="H138">
        <v>95519</v>
      </c>
      <c r="I138">
        <v>96505</v>
      </c>
      <c r="J138">
        <v>97493</v>
      </c>
      <c r="K138">
        <v>98463</v>
      </c>
      <c r="L138">
        <v>99504</v>
      </c>
      <c r="M138">
        <v>100675</v>
      </c>
      <c r="N138">
        <v>101879</v>
      </c>
      <c r="O138">
        <v>103165</v>
      </c>
      <c r="P138">
        <v>104564</v>
      </c>
      <c r="Q138">
        <v>106002</v>
      </c>
      <c r="R138">
        <v>107498</v>
      </c>
      <c r="S138">
        <v>109076</v>
      </c>
      <c r="T138">
        <v>110725</v>
      </c>
      <c r="U138">
        <v>112425</v>
      </c>
      <c r="V138">
        <v>114135</v>
      </c>
      <c r="W138">
        <v>115834</v>
      </c>
      <c r="X138">
        <v>117528</v>
      </c>
      <c r="Y138">
        <v>119290</v>
      </c>
      <c r="Z138">
        <v>121166</v>
      </c>
      <c r="AA138">
        <v>123087</v>
      </c>
      <c r="AB138">
        <v>125044</v>
      </c>
      <c r="AC138">
        <v>127067</v>
      </c>
      <c r="AD138">
        <v>129159</v>
      </c>
      <c r="AE138">
        <v>131239</v>
      </c>
      <c r="AF138">
        <v>133227</v>
      </c>
      <c r="AG138">
        <v>135000</v>
      </c>
      <c r="AH138">
        <v>136512</v>
      </c>
      <c r="AI138">
        <v>137857</v>
      </c>
      <c r="AJ138">
        <v>139520</v>
      </c>
      <c r="AK138">
        <v>141617</v>
      </c>
      <c r="AL138">
        <v>143726</v>
      </c>
      <c r="AM138">
        <v>145890</v>
      </c>
      <c r="AN138">
        <v>148208</v>
      </c>
      <c r="AO138">
        <v>150436</v>
      </c>
      <c r="AP138">
        <v>152569</v>
      </c>
      <c r="AQ138">
        <v>154677</v>
      </c>
      <c r="AR138">
        <v>156702</v>
      </c>
      <c r="AS138">
        <v>158616</v>
      </c>
      <c r="AT138">
        <v>160237</v>
      </c>
      <c r="AU138">
        <v>161641</v>
      </c>
      <c r="AV138">
        <v>162976</v>
      </c>
      <c r="AW138">
        <v>164239</v>
      </c>
      <c r="AX138">
        <v>165450</v>
      </c>
      <c r="AY138">
        <v>166639</v>
      </c>
      <c r="AZ138">
        <v>167758</v>
      </c>
      <c r="BA138">
        <v>168808</v>
      </c>
      <c r="BB138">
        <v>169869</v>
      </c>
      <c r="BC138">
        <v>170906</v>
      </c>
      <c r="BD138">
        <v>171801</v>
      </c>
      <c r="BE138">
        <v>172587</v>
      </c>
      <c r="BF138">
        <v>173369</v>
      </c>
      <c r="BG138">
        <v>174138</v>
      </c>
      <c r="BH138">
        <v>174905</v>
      </c>
      <c r="BI138">
        <v>175646</v>
      </c>
      <c r="BJ138">
        <v>176342</v>
      </c>
      <c r="BK138">
        <v>177017</v>
      </c>
      <c r="BL138">
        <v>177661</v>
      </c>
      <c r="BM138">
        <v>178250</v>
      </c>
      <c r="BN138">
        <v>178522</v>
      </c>
      <c r="BO138">
        <v>178781</v>
      </c>
      <c r="BP138">
        <v>179285</v>
      </c>
      <c r="BQ138">
        <v>179744</v>
      </c>
      <c r="BR138">
        <v>180149</v>
      </c>
    </row>
    <row r="139" spans="1:70" x14ac:dyDescent="0.35">
      <c r="A139" t="s">
        <v>547</v>
      </c>
      <c r="B139" t="s">
        <v>548</v>
      </c>
      <c r="C139" t="s">
        <v>295</v>
      </c>
      <c r="D139" t="s">
        <v>296</v>
      </c>
      <c r="E139">
        <v>218624695</v>
      </c>
      <c r="F139">
        <v>224737321</v>
      </c>
      <c r="G139">
        <v>231038261</v>
      </c>
      <c r="H139">
        <v>237499676</v>
      </c>
      <c r="I139">
        <v>244080552</v>
      </c>
      <c r="J139">
        <v>250750949</v>
      </c>
      <c r="K139">
        <v>257488362</v>
      </c>
      <c r="L139">
        <v>264279682</v>
      </c>
      <c r="M139">
        <v>271127278</v>
      </c>
      <c r="N139">
        <v>278039112</v>
      </c>
      <c r="O139">
        <v>284995920</v>
      </c>
      <c r="P139">
        <v>292033454</v>
      </c>
      <c r="Q139">
        <v>299187510</v>
      </c>
      <c r="R139">
        <v>306451409</v>
      </c>
      <c r="S139">
        <v>313798324</v>
      </c>
      <c r="T139">
        <v>321203546</v>
      </c>
      <c r="U139">
        <v>328673285</v>
      </c>
      <c r="V139">
        <v>336262441</v>
      </c>
      <c r="W139">
        <v>344000129</v>
      </c>
      <c r="X139">
        <v>351820083</v>
      </c>
      <c r="Y139">
        <v>359713036</v>
      </c>
      <c r="Z139">
        <v>367619244</v>
      </c>
      <c r="AA139">
        <v>375568417</v>
      </c>
      <c r="AB139">
        <v>383657148</v>
      </c>
      <c r="AC139">
        <v>391832861</v>
      </c>
      <c r="AD139">
        <v>400012327</v>
      </c>
      <c r="AE139">
        <v>408172564</v>
      </c>
      <c r="AF139">
        <v>416332693</v>
      </c>
      <c r="AG139">
        <v>424525590</v>
      </c>
      <c r="AH139">
        <v>432726590</v>
      </c>
      <c r="AI139">
        <v>440958144</v>
      </c>
      <c r="AJ139">
        <v>449128999</v>
      </c>
      <c r="AK139">
        <v>457245250</v>
      </c>
      <c r="AL139">
        <v>465325731</v>
      </c>
      <c r="AM139">
        <v>473328616</v>
      </c>
      <c r="AN139">
        <v>481309028</v>
      </c>
      <c r="AO139">
        <v>489235073</v>
      </c>
      <c r="AP139">
        <v>497097004</v>
      </c>
      <c r="AQ139">
        <v>504952583</v>
      </c>
      <c r="AR139">
        <v>512730984</v>
      </c>
      <c r="AS139">
        <v>520272118</v>
      </c>
      <c r="AT139">
        <v>527572583</v>
      </c>
      <c r="AU139">
        <v>534691591</v>
      </c>
      <c r="AV139">
        <v>541643365</v>
      </c>
      <c r="AW139">
        <v>548455563</v>
      </c>
      <c r="AX139">
        <v>555120780</v>
      </c>
      <c r="AY139">
        <v>561751999</v>
      </c>
      <c r="AZ139">
        <v>568345245</v>
      </c>
      <c r="BA139">
        <v>574908733</v>
      </c>
      <c r="BB139">
        <v>581388129</v>
      </c>
      <c r="BC139">
        <v>587752505</v>
      </c>
      <c r="BD139">
        <v>594086829</v>
      </c>
      <c r="BE139">
        <v>600420316</v>
      </c>
      <c r="BF139">
        <v>606683307</v>
      </c>
      <c r="BG139">
        <v>612849401</v>
      </c>
      <c r="BH139">
        <v>618868462</v>
      </c>
      <c r="BI139">
        <v>624737786</v>
      </c>
      <c r="BJ139">
        <v>630414986</v>
      </c>
      <c r="BK139">
        <v>635778081</v>
      </c>
      <c r="BL139">
        <v>640962372</v>
      </c>
      <c r="BM139">
        <v>645498187</v>
      </c>
      <c r="BN139">
        <v>649236092</v>
      </c>
      <c r="BO139">
        <v>653108131</v>
      </c>
      <c r="BP139">
        <v>657616519</v>
      </c>
      <c r="BQ139">
        <v>662185614</v>
      </c>
      <c r="BR139">
        <v>666592570</v>
      </c>
    </row>
    <row r="140" spans="1:70" x14ac:dyDescent="0.35">
      <c r="A140" t="s">
        <v>549</v>
      </c>
      <c r="B140" t="s">
        <v>550</v>
      </c>
      <c r="C140" t="s">
        <v>295</v>
      </c>
      <c r="D140" t="s">
        <v>296</v>
      </c>
      <c r="E140">
        <v>245048596</v>
      </c>
      <c r="F140">
        <v>250984924</v>
      </c>
      <c r="G140">
        <v>257173413</v>
      </c>
      <c r="H140">
        <v>263557766</v>
      </c>
      <c r="I140">
        <v>270190632</v>
      </c>
      <c r="J140">
        <v>277083785</v>
      </c>
      <c r="K140">
        <v>284176561</v>
      </c>
      <c r="L140">
        <v>291559688</v>
      </c>
      <c r="M140">
        <v>299247866</v>
      </c>
      <c r="N140">
        <v>307139167</v>
      </c>
      <c r="O140">
        <v>315007217</v>
      </c>
      <c r="P140">
        <v>322419248</v>
      </c>
      <c r="Q140">
        <v>330143238</v>
      </c>
      <c r="R140">
        <v>338896597</v>
      </c>
      <c r="S140">
        <v>347937191</v>
      </c>
      <c r="T140">
        <v>356734849</v>
      </c>
      <c r="U140">
        <v>365443826</v>
      </c>
      <c r="V140">
        <v>374175288</v>
      </c>
      <c r="W140">
        <v>383545587</v>
      </c>
      <c r="X140">
        <v>393589836</v>
      </c>
      <c r="Y140">
        <v>402878077</v>
      </c>
      <c r="Z140">
        <v>411913184</v>
      </c>
      <c r="AA140">
        <v>422407532</v>
      </c>
      <c r="AB140">
        <v>433952303</v>
      </c>
      <c r="AC140">
        <v>445720500</v>
      </c>
      <c r="AD140">
        <v>457620394</v>
      </c>
      <c r="AE140">
        <v>469592022</v>
      </c>
      <c r="AF140">
        <v>481815896</v>
      </c>
      <c r="AG140">
        <v>494131962</v>
      </c>
      <c r="AH140">
        <v>506714983</v>
      </c>
      <c r="AI140">
        <v>519409097</v>
      </c>
      <c r="AJ140">
        <v>532302593</v>
      </c>
      <c r="AK140">
        <v>546604195</v>
      </c>
      <c r="AL140">
        <v>562170402</v>
      </c>
      <c r="AM140">
        <v>577710180</v>
      </c>
      <c r="AN140">
        <v>593309261</v>
      </c>
      <c r="AO140">
        <v>609120975</v>
      </c>
      <c r="AP140">
        <v>624981579</v>
      </c>
      <c r="AQ140">
        <v>641091745</v>
      </c>
      <c r="AR140">
        <v>657282408</v>
      </c>
      <c r="AS140">
        <v>673273787</v>
      </c>
      <c r="AT140">
        <v>689505567</v>
      </c>
      <c r="AU140">
        <v>706880665</v>
      </c>
      <c r="AV140">
        <v>724713713</v>
      </c>
      <c r="AW140">
        <v>742302769</v>
      </c>
      <c r="AX140">
        <v>760310134</v>
      </c>
      <c r="AY140">
        <v>778789026</v>
      </c>
      <c r="AZ140">
        <v>797076099</v>
      </c>
      <c r="BA140">
        <v>815835455</v>
      </c>
      <c r="BB140">
        <v>835266189</v>
      </c>
      <c r="BC140">
        <v>854941316</v>
      </c>
      <c r="BD140">
        <v>875269186</v>
      </c>
      <c r="BE140">
        <v>896237933</v>
      </c>
      <c r="BF140">
        <v>917783039</v>
      </c>
      <c r="BG140">
        <v>939749332</v>
      </c>
      <c r="BH140">
        <v>961916563</v>
      </c>
      <c r="BI140">
        <v>984757534</v>
      </c>
      <c r="BJ140">
        <v>1008260714</v>
      </c>
      <c r="BK140">
        <v>1032309742</v>
      </c>
      <c r="BL140">
        <v>1057170371</v>
      </c>
      <c r="BM140">
        <v>1082754466</v>
      </c>
      <c r="BN140">
        <v>1108233065</v>
      </c>
      <c r="BO140">
        <v>1133564482</v>
      </c>
      <c r="BP140">
        <v>1159744187</v>
      </c>
      <c r="BQ140">
        <v>1186668913</v>
      </c>
      <c r="BR140">
        <v>1214167506</v>
      </c>
    </row>
    <row r="141" spans="1:70" x14ac:dyDescent="0.35">
      <c r="A141" t="s">
        <v>551</v>
      </c>
      <c r="B141" t="s">
        <v>552</v>
      </c>
      <c r="C141" t="s">
        <v>295</v>
      </c>
      <c r="D141" t="s">
        <v>296</v>
      </c>
      <c r="E141">
        <v>134452621</v>
      </c>
      <c r="F141">
        <v>137652607</v>
      </c>
      <c r="G141">
        <v>140979674</v>
      </c>
      <c r="H141">
        <v>144440410</v>
      </c>
      <c r="I141">
        <v>148066642</v>
      </c>
      <c r="J141">
        <v>151845067</v>
      </c>
      <c r="K141">
        <v>155741468</v>
      </c>
      <c r="L141">
        <v>159833587</v>
      </c>
      <c r="M141">
        <v>164120038</v>
      </c>
      <c r="N141">
        <v>168501378</v>
      </c>
      <c r="O141">
        <v>173001652</v>
      </c>
      <c r="P141">
        <v>177595385</v>
      </c>
      <c r="Q141">
        <v>182196590</v>
      </c>
      <c r="R141">
        <v>187022551</v>
      </c>
      <c r="S141">
        <v>192050905</v>
      </c>
      <c r="T141">
        <v>197112817</v>
      </c>
      <c r="U141">
        <v>202289903</v>
      </c>
      <c r="V141">
        <v>207422518</v>
      </c>
      <c r="W141">
        <v>213101315</v>
      </c>
      <c r="X141">
        <v>219055116</v>
      </c>
      <c r="Y141">
        <v>223932037</v>
      </c>
      <c r="Z141">
        <v>228321642</v>
      </c>
      <c r="AA141">
        <v>233825735</v>
      </c>
      <c r="AB141">
        <v>240163911</v>
      </c>
      <c r="AC141">
        <v>246658220</v>
      </c>
      <c r="AD141">
        <v>253278316</v>
      </c>
      <c r="AE141">
        <v>259934182</v>
      </c>
      <c r="AF141">
        <v>266881625</v>
      </c>
      <c r="AG141">
        <v>274037671</v>
      </c>
      <c r="AH141">
        <v>281516990</v>
      </c>
      <c r="AI141">
        <v>288949479</v>
      </c>
      <c r="AJ141">
        <v>296537361</v>
      </c>
      <c r="AK141">
        <v>305437236</v>
      </c>
      <c r="AL141">
        <v>315389686</v>
      </c>
      <c r="AM141">
        <v>324897112</v>
      </c>
      <c r="AN141">
        <v>334295649</v>
      </c>
      <c r="AO141">
        <v>344222271</v>
      </c>
      <c r="AP141">
        <v>354096506</v>
      </c>
      <c r="AQ141">
        <v>364220998</v>
      </c>
      <c r="AR141">
        <v>374700262</v>
      </c>
      <c r="AS141">
        <v>384939694</v>
      </c>
      <c r="AT141">
        <v>395479907</v>
      </c>
      <c r="AU141">
        <v>407257571</v>
      </c>
      <c r="AV141">
        <v>419524938</v>
      </c>
      <c r="AW141">
        <v>431686343</v>
      </c>
      <c r="AX141">
        <v>444311036</v>
      </c>
      <c r="AY141">
        <v>457733823</v>
      </c>
      <c r="AZ141">
        <v>471363220</v>
      </c>
      <c r="BA141">
        <v>485037568</v>
      </c>
      <c r="BB141">
        <v>499033157</v>
      </c>
      <c r="BC141">
        <v>513321520</v>
      </c>
      <c r="BD141">
        <v>527892250</v>
      </c>
      <c r="BE141">
        <v>542350920</v>
      </c>
      <c r="BF141">
        <v>556241191</v>
      </c>
      <c r="BG141">
        <v>570113927</v>
      </c>
      <c r="BH141">
        <v>584512207</v>
      </c>
      <c r="BI141">
        <v>600009187</v>
      </c>
      <c r="BJ141">
        <v>616499860</v>
      </c>
      <c r="BK141">
        <v>633927417</v>
      </c>
      <c r="BL141">
        <v>652255298</v>
      </c>
      <c r="BM141">
        <v>670891024</v>
      </c>
      <c r="BN141">
        <v>689336827</v>
      </c>
      <c r="BO141">
        <v>707776045</v>
      </c>
      <c r="BP141">
        <v>727162058</v>
      </c>
      <c r="BQ141">
        <v>747152629</v>
      </c>
      <c r="BR141">
        <v>767490169</v>
      </c>
    </row>
    <row r="142" spans="1:70" x14ac:dyDescent="0.35">
      <c r="A142" t="s">
        <v>553</v>
      </c>
      <c r="B142" t="s">
        <v>554</v>
      </c>
      <c r="C142" t="s">
        <v>295</v>
      </c>
      <c r="D142" t="s">
        <v>296</v>
      </c>
      <c r="E142">
        <v>16451</v>
      </c>
      <c r="F142">
        <v>16877</v>
      </c>
      <c r="G142">
        <v>17443</v>
      </c>
      <c r="H142">
        <v>18093</v>
      </c>
      <c r="I142">
        <v>18755</v>
      </c>
      <c r="J142">
        <v>19195</v>
      </c>
      <c r="K142">
        <v>19610</v>
      </c>
      <c r="L142">
        <v>20175</v>
      </c>
      <c r="M142">
        <v>20835</v>
      </c>
      <c r="N142">
        <v>21084</v>
      </c>
      <c r="O142">
        <v>21140</v>
      </c>
      <c r="P142">
        <v>21600</v>
      </c>
      <c r="Q142">
        <v>22132</v>
      </c>
      <c r="R142">
        <v>22785</v>
      </c>
      <c r="S142">
        <v>23451</v>
      </c>
      <c r="T142">
        <v>23846</v>
      </c>
      <c r="U142">
        <v>24058</v>
      </c>
      <c r="V142">
        <v>24442</v>
      </c>
      <c r="W142">
        <v>25028</v>
      </c>
      <c r="X142">
        <v>25575</v>
      </c>
      <c r="Y142">
        <v>25512</v>
      </c>
      <c r="Z142">
        <v>25673</v>
      </c>
      <c r="AA142">
        <v>26255</v>
      </c>
      <c r="AB142">
        <v>26446</v>
      </c>
      <c r="AC142">
        <v>26596</v>
      </c>
      <c r="AD142">
        <v>26878</v>
      </c>
      <c r="AE142">
        <v>27238</v>
      </c>
      <c r="AF142">
        <v>27557</v>
      </c>
      <c r="AG142">
        <v>27948</v>
      </c>
      <c r="AH142">
        <v>28317</v>
      </c>
      <c r="AI142">
        <v>28742</v>
      </c>
      <c r="AJ142">
        <v>29209</v>
      </c>
      <c r="AK142">
        <v>29627</v>
      </c>
      <c r="AL142">
        <v>30089</v>
      </c>
      <c r="AM142">
        <v>30470</v>
      </c>
      <c r="AN142">
        <v>30776</v>
      </c>
      <c r="AO142">
        <v>31033</v>
      </c>
      <c r="AP142">
        <v>31232</v>
      </c>
      <c r="AQ142">
        <v>31668</v>
      </c>
      <c r="AR142">
        <v>32221</v>
      </c>
      <c r="AS142">
        <v>32645</v>
      </c>
      <c r="AT142">
        <v>33194</v>
      </c>
      <c r="AU142">
        <v>33694</v>
      </c>
      <c r="AV142">
        <v>34079</v>
      </c>
      <c r="AW142">
        <v>34447</v>
      </c>
      <c r="AX142">
        <v>34753</v>
      </c>
      <c r="AY142">
        <v>35037</v>
      </c>
      <c r="AZ142">
        <v>35262</v>
      </c>
      <c r="BA142">
        <v>35473</v>
      </c>
      <c r="BB142">
        <v>35742</v>
      </c>
      <c r="BC142">
        <v>36022</v>
      </c>
      <c r="BD142">
        <v>36312</v>
      </c>
      <c r="BE142">
        <v>36657</v>
      </c>
      <c r="BF142">
        <v>36984</v>
      </c>
      <c r="BG142">
        <v>37248</v>
      </c>
      <c r="BH142">
        <v>37494</v>
      </c>
      <c r="BI142">
        <v>37716</v>
      </c>
      <c r="BJ142">
        <v>37962</v>
      </c>
      <c r="BK142">
        <v>38246</v>
      </c>
      <c r="BL142">
        <v>38563</v>
      </c>
      <c r="BM142">
        <v>38901</v>
      </c>
      <c r="BN142">
        <v>39182</v>
      </c>
      <c r="BO142">
        <v>39493</v>
      </c>
      <c r="BP142">
        <v>39846</v>
      </c>
      <c r="BQ142">
        <v>40450</v>
      </c>
      <c r="BR142">
        <v>41024</v>
      </c>
    </row>
    <row r="143" spans="1:70" x14ac:dyDescent="0.35">
      <c r="A143" t="s">
        <v>555</v>
      </c>
      <c r="B143" t="s">
        <v>556</v>
      </c>
      <c r="C143" t="s">
        <v>295</v>
      </c>
      <c r="D143" t="s">
        <v>296</v>
      </c>
      <c r="E143">
        <v>9661389</v>
      </c>
      <c r="F143">
        <v>9899372</v>
      </c>
      <c r="G143">
        <v>10143754</v>
      </c>
      <c r="H143">
        <v>10395040</v>
      </c>
      <c r="I143">
        <v>10653397</v>
      </c>
      <c r="J143">
        <v>10916965</v>
      </c>
      <c r="K143">
        <v>11183928</v>
      </c>
      <c r="L143">
        <v>11457328</v>
      </c>
      <c r="M143">
        <v>11736088</v>
      </c>
      <c r="N143">
        <v>12013858</v>
      </c>
      <c r="O143">
        <v>12287110</v>
      </c>
      <c r="P143">
        <v>12551910</v>
      </c>
      <c r="Q143">
        <v>12809205</v>
      </c>
      <c r="R143">
        <v>13060916</v>
      </c>
      <c r="S143">
        <v>13305693</v>
      </c>
      <c r="T143">
        <v>13548984</v>
      </c>
      <c r="U143">
        <v>13796770</v>
      </c>
      <c r="V143">
        <v>14049371</v>
      </c>
      <c r="W143">
        <v>14310128</v>
      </c>
      <c r="X143">
        <v>14579614</v>
      </c>
      <c r="Y143">
        <v>14847974</v>
      </c>
      <c r="Z143">
        <v>15099414</v>
      </c>
      <c r="AA143">
        <v>15286567</v>
      </c>
      <c r="AB143">
        <v>15388794</v>
      </c>
      <c r="AC143">
        <v>15441860</v>
      </c>
      <c r="AD143">
        <v>15544154</v>
      </c>
      <c r="AE143">
        <v>15731256</v>
      </c>
      <c r="AF143">
        <v>15916576</v>
      </c>
      <c r="AG143">
        <v>16078621</v>
      </c>
      <c r="AH143">
        <v>16248557</v>
      </c>
      <c r="AI143">
        <v>16352458</v>
      </c>
      <c r="AJ143">
        <v>16475354</v>
      </c>
      <c r="AK143">
        <v>16739284</v>
      </c>
      <c r="AL143">
        <v>17025918</v>
      </c>
      <c r="AM143">
        <v>17275773</v>
      </c>
      <c r="AN143">
        <v>17564068</v>
      </c>
      <c r="AO143">
        <v>17905018</v>
      </c>
      <c r="AP143">
        <v>18248200</v>
      </c>
      <c r="AQ143">
        <v>18596003</v>
      </c>
      <c r="AR143">
        <v>18944731</v>
      </c>
      <c r="AS143">
        <v>19293054</v>
      </c>
      <c r="AT143">
        <v>19600362</v>
      </c>
      <c r="AU143">
        <v>19805752</v>
      </c>
      <c r="AV143">
        <v>19951521</v>
      </c>
      <c r="AW143">
        <v>20087605</v>
      </c>
      <c r="AX143">
        <v>20216524</v>
      </c>
      <c r="AY143">
        <v>20352411</v>
      </c>
      <c r="AZ143">
        <v>20492545</v>
      </c>
      <c r="BA143">
        <v>20629378</v>
      </c>
      <c r="BB143">
        <v>20756435</v>
      </c>
      <c r="BC143">
        <v>20879089</v>
      </c>
      <c r="BD143">
        <v>21009048</v>
      </c>
      <c r="BE143">
        <v>21169458</v>
      </c>
      <c r="BF143">
        <v>20585000</v>
      </c>
      <c r="BG143">
        <v>20778000</v>
      </c>
      <c r="BH143">
        <v>20970000</v>
      </c>
      <c r="BI143">
        <v>21209000</v>
      </c>
      <c r="BJ143">
        <v>21453000</v>
      </c>
      <c r="BK143">
        <v>21670000</v>
      </c>
      <c r="BL143">
        <v>21803000</v>
      </c>
      <c r="BM143">
        <v>21919000</v>
      </c>
      <c r="BN143">
        <v>22156000</v>
      </c>
      <c r="BO143">
        <v>22181000</v>
      </c>
      <c r="BP143">
        <v>22037000</v>
      </c>
      <c r="BQ143">
        <v>21916000</v>
      </c>
      <c r="BR143">
        <v>21756000</v>
      </c>
    </row>
    <row r="144" spans="1:70" x14ac:dyDescent="0.35">
      <c r="A144" t="s">
        <v>557</v>
      </c>
      <c r="B144" t="s">
        <v>558</v>
      </c>
      <c r="C144" t="s">
        <v>295</v>
      </c>
      <c r="D144" t="s">
        <v>296</v>
      </c>
      <c r="E144">
        <v>758167554</v>
      </c>
      <c r="F144">
        <v>777036946</v>
      </c>
      <c r="G144">
        <v>796362764</v>
      </c>
      <c r="H144">
        <v>816128186</v>
      </c>
      <c r="I144">
        <v>836405725</v>
      </c>
      <c r="J144">
        <v>856813564</v>
      </c>
      <c r="K144">
        <v>877221685</v>
      </c>
      <c r="L144">
        <v>898211555</v>
      </c>
      <c r="M144">
        <v>919776153</v>
      </c>
      <c r="N144">
        <v>941708582</v>
      </c>
      <c r="O144">
        <v>964506609</v>
      </c>
      <c r="P144">
        <v>987092489</v>
      </c>
      <c r="Q144">
        <v>1010362470</v>
      </c>
      <c r="R144">
        <v>1035371402</v>
      </c>
      <c r="S144">
        <v>1061326601</v>
      </c>
      <c r="T144">
        <v>1088027758</v>
      </c>
      <c r="U144">
        <v>1115040930</v>
      </c>
      <c r="V144">
        <v>1142829327</v>
      </c>
      <c r="W144">
        <v>1171065358</v>
      </c>
      <c r="X144">
        <v>1200704165</v>
      </c>
      <c r="Y144">
        <v>1232653725</v>
      </c>
      <c r="Z144">
        <v>1265502117</v>
      </c>
      <c r="AA144">
        <v>1298674378</v>
      </c>
      <c r="AB144">
        <v>1332340302</v>
      </c>
      <c r="AC144">
        <v>1366593845</v>
      </c>
      <c r="AD144">
        <v>1401664187</v>
      </c>
      <c r="AE144">
        <v>1437418214</v>
      </c>
      <c r="AF144">
        <v>1473589757</v>
      </c>
      <c r="AG144">
        <v>1510076601</v>
      </c>
      <c r="AH144">
        <v>1546984766</v>
      </c>
      <c r="AI144">
        <v>1586741428</v>
      </c>
      <c r="AJ144">
        <v>1624739978</v>
      </c>
      <c r="AK144">
        <v>1662376396</v>
      </c>
      <c r="AL144">
        <v>1700209813</v>
      </c>
      <c r="AM144">
        <v>1738446718</v>
      </c>
      <c r="AN144">
        <v>1777225375</v>
      </c>
      <c r="AO144">
        <v>1816214193</v>
      </c>
      <c r="AP144">
        <v>1855458321</v>
      </c>
      <c r="AQ144">
        <v>1894943125</v>
      </c>
      <c r="AR144">
        <v>1934354545</v>
      </c>
      <c r="AS144">
        <v>1974298738</v>
      </c>
      <c r="AT144">
        <v>2014775934</v>
      </c>
      <c r="AU144">
        <v>2054637039</v>
      </c>
      <c r="AV144">
        <v>2094151717</v>
      </c>
      <c r="AW144">
        <v>2134083088</v>
      </c>
      <c r="AX144">
        <v>2173648512</v>
      </c>
      <c r="AY144">
        <v>2213010272</v>
      </c>
      <c r="AZ144">
        <v>2252804798</v>
      </c>
      <c r="BA144">
        <v>2292423648</v>
      </c>
      <c r="BB144">
        <v>2332514413</v>
      </c>
      <c r="BC144">
        <v>2373327552</v>
      </c>
      <c r="BD144">
        <v>2414186781</v>
      </c>
      <c r="BE144">
        <v>2454758533</v>
      </c>
      <c r="BF144">
        <v>2495192785</v>
      </c>
      <c r="BG144">
        <v>2535128764</v>
      </c>
      <c r="BH144">
        <v>2573897309</v>
      </c>
      <c r="BI144">
        <v>2612496538</v>
      </c>
      <c r="BJ144">
        <v>2650727446</v>
      </c>
      <c r="BK144">
        <v>2687882795</v>
      </c>
      <c r="BL144">
        <v>2724611683</v>
      </c>
      <c r="BM144">
        <v>2761575388</v>
      </c>
      <c r="BN144">
        <v>2797047001</v>
      </c>
      <c r="BO144">
        <v>2832445640</v>
      </c>
      <c r="BP144">
        <v>2869695351</v>
      </c>
      <c r="BQ144">
        <v>2907379621</v>
      </c>
      <c r="BR144">
        <v>2945282634</v>
      </c>
    </row>
    <row r="145" spans="1:70" x14ac:dyDescent="0.35">
      <c r="A145" t="s">
        <v>559</v>
      </c>
      <c r="B145" t="s">
        <v>560</v>
      </c>
      <c r="C145" t="s">
        <v>295</v>
      </c>
      <c r="D145" t="s">
        <v>296</v>
      </c>
      <c r="E145">
        <v>2113255298</v>
      </c>
      <c r="F145">
        <v>2143318773</v>
      </c>
      <c r="G145">
        <v>2186539277</v>
      </c>
      <c r="H145">
        <v>2241921485</v>
      </c>
      <c r="I145">
        <v>2297771319</v>
      </c>
      <c r="J145">
        <v>2354519602</v>
      </c>
      <c r="K145">
        <v>2414825525</v>
      </c>
      <c r="L145">
        <v>2475333466</v>
      </c>
      <c r="M145">
        <v>2537683156</v>
      </c>
      <c r="N145">
        <v>2602334485</v>
      </c>
      <c r="O145">
        <v>2668692269</v>
      </c>
      <c r="P145">
        <v>2735630269</v>
      </c>
      <c r="Q145">
        <v>2801673197</v>
      </c>
      <c r="R145">
        <v>2868812682</v>
      </c>
      <c r="S145">
        <v>2935746366</v>
      </c>
      <c r="T145">
        <v>3001487271</v>
      </c>
      <c r="U145">
        <v>3066514851</v>
      </c>
      <c r="V145">
        <v>3131112735</v>
      </c>
      <c r="W145">
        <v>3196950763</v>
      </c>
      <c r="X145">
        <v>3264648676</v>
      </c>
      <c r="Y145">
        <v>3333467492</v>
      </c>
      <c r="Z145">
        <v>3404152886</v>
      </c>
      <c r="AA145">
        <v>3478725710</v>
      </c>
      <c r="AB145">
        <v>3554471904</v>
      </c>
      <c r="AC145">
        <v>3630123156</v>
      </c>
      <c r="AD145">
        <v>3707314771</v>
      </c>
      <c r="AE145">
        <v>3786649571</v>
      </c>
      <c r="AF145">
        <v>3868162984</v>
      </c>
      <c r="AG145">
        <v>3950371125</v>
      </c>
      <c r="AH145">
        <v>4032611966</v>
      </c>
      <c r="AI145">
        <v>4116772079</v>
      </c>
      <c r="AJ145">
        <v>4197582653</v>
      </c>
      <c r="AK145">
        <v>4277557740</v>
      </c>
      <c r="AL145">
        <v>4357137200</v>
      </c>
      <c r="AM145">
        <v>4435669010</v>
      </c>
      <c r="AN145">
        <v>4514148949</v>
      </c>
      <c r="AO145">
        <v>4593154555</v>
      </c>
      <c r="AP145">
        <v>4672049917</v>
      </c>
      <c r="AQ145">
        <v>4750833060</v>
      </c>
      <c r="AR145">
        <v>4828702462</v>
      </c>
      <c r="AS145">
        <v>4905832166</v>
      </c>
      <c r="AT145">
        <v>4982645927</v>
      </c>
      <c r="AU145">
        <v>5058611691</v>
      </c>
      <c r="AV145">
        <v>5134151809</v>
      </c>
      <c r="AW145">
        <v>5210186432</v>
      </c>
      <c r="AX145">
        <v>5286284172</v>
      </c>
      <c r="AY145">
        <v>5362644527</v>
      </c>
      <c r="AZ145">
        <v>5438471388</v>
      </c>
      <c r="BA145">
        <v>5515409827</v>
      </c>
      <c r="BB145">
        <v>5593414145</v>
      </c>
      <c r="BC145">
        <v>5672202320</v>
      </c>
      <c r="BD145">
        <v>5752146479</v>
      </c>
      <c r="BE145">
        <v>5834053766</v>
      </c>
      <c r="BF145">
        <v>5915255859</v>
      </c>
      <c r="BG145">
        <v>5996036961</v>
      </c>
      <c r="BH145">
        <v>6075072158</v>
      </c>
      <c r="BI145">
        <v>6153938165</v>
      </c>
      <c r="BJ145">
        <v>6233470764</v>
      </c>
      <c r="BK145">
        <v>6311329885</v>
      </c>
      <c r="BL145">
        <v>6387395177</v>
      </c>
      <c r="BM145">
        <v>6460393883</v>
      </c>
      <c r="BN145">
        <v>6527758150</v>
      </c>
      <c r="BO145">
        <v>6590522389</v>
      </c>
      <c r="BP145">
        <v>6654784822</v>
      </c>
      <c r="BQ145">
        <v>6722971301</v>
      </c>
      <c r="BR145">
        <v>6791684991</v>
      </c>
    </row>
    <row r="146" spans="1:70" x14ac:dyDescent="0.35">
      <c r="A146" t="s">
        <v>561</v>
      </c>
      <c r="B146" t="s">
        <v>562</v>
      </c>
      <c r="C146" t="s">
        <v>295</v>
      </c>
      <c r="D146" t="s">
        <v>296</v>
      </c>
      <c r="E146">
        <v>736500</v>
      </c>
      <c r="F146">
        <v>758824</v>
      </c>
      <c r="G146">
        <v>781814</v>
      </c>
      <c r="H146">
        <v>805373</v>
      </c>
      <c r="I146">
        <v>829437</v>
      </c>
      <c r="J146">
        <v>854090</v>
      </c>
      <c r="K146">
        <v>881870</v>
      </c>
      <c r="L146">
        <v>913982</v>
      </c>
      <c r="M146">
        <v>948105</v>
      </c>
      <c r="N146">
        <v>983202</v>
      </c>
      <c r="O146">
        <v>1019273</v>
      </c>
      <c r="P146">
        <v>1056246</v>
      </c>
      <c r="Q146">
        <v>1094063</v>
      </c>
      <c r="R146">
        <v>1132697</v>
      </c>
      <c r="S146">
        <v>1172420</v>
      </c>
      <c r="T146">
        <v>1213643</v>
      </c>
      <c r="U146">
        <v>1253214</v>
      </c>
      <c r="V146">
        <v>1289967</v>
      </c>
      <c r="W146">
        <v>1327240</v>
      </c>
      <c r="X146">
        <v>1366169</v>
      </c>
      <c r="Y146">
        <v>1406521</v>
      </c>
      <c r="Z146">
        <v>1448069</v>
      </c>
      <c r="AA146">
        <v>1490732</v>
      </c>
      <c r="AB146">
        <v>1534413</v>
      </c>
      <c r="AC146">
        <v>1578986</v>
      </c>
      <c r="AD146">
        <v>1624379</v>
      </c>
      <c r="AE146">
        <v>1666138</v>
      </c>
      <c r="AF146">
        <v>1703390</v>
      </c>
      <c r="AG146">
        <v>1739841</v>
      </c>
      <c r="AH146">
        <v>1775436</v>
      </c>
      <c r="AI146">
        <v>1809696</v>
      </c>
      <c r="AJ146">
        <v>1842379</v>
      </c>
      <c r="AK146">
        <v>1873274</v>
      </c>
      <c r="AL146">
        <v>1901793</v>
      </c>
      <c r="AM146">
        <v>1927707</v>
      </c>
      <c r="AN146">
        <v>1951437</v>
      </c>
      <c r="AO146">
        <v>1972418</v>
      </c>
      <c r="AP146">
        <v>1988130</v>
      </c>
      <c r="AQ146">
        <v>1998049</v>
      </c>
      <c r="AR146">
        <v>2003234</v>
      </c>
      <c r="AS146">
        <v>2003913</v>
      </c>
      <c r="AT146">
        <v>2000853</v>
      </c>
      <c r="AU146">
        <v>1994679</v>
      </c>
      <c r="AV146">
        <v>1985059</v>
      </c>
      <c r="AW146">
        <v>1971129</v>
      </c>
      <c r="AX146">
        <v>1953076</v>
      </c>
      <c r="AY146">
        <v>1945063</v>
      </c>
      <c r="AZ146">
        <v>1953268</v>
      </c>
      <c r="BA146">
        <v>1966541</v>
      </c>
      <c r="BB146">
        <v>1980883</v>
      </c>
      <c r="BC146">
        <v>1996251</v>
      </c>
      <c r="BD146">
        <v>2014009</v>
      </c>
      <c r="BE146">
        <v>2034354</v>
      </c>
      <c r="BF146">
        <v>2056504</v>
      </c>
      <c r="BG146">
        <v>2080089</v>
      </c>
      <c r="BH146">
        <v>2104611</v>
      </c>
      <c r="BI146">
        <v>2130422</v>
      </c>
      <c r="BJ146">
        <v>2157110</v>
      </c>
      <c r="BK146">
        <v>2183603</v>
      </c>
      <c r="BL146">
        <v>2209405</v>
      </c>
      <c r="BM146">
        <v>2235727</v>
      </c>
      <c r="BN146">
        <v>2261542</v>
      </c>
      <c r="BO146">
        <v>2286110</v>
      </c>
      <c r="BP146">
        <v>2311472</v>
      </c>
      <c r="BQ146">
        <v>2337423</v>
      </c>
      <c r="BR146">
        <v>2363325</v>
      </c>
    </row>
    <row r="147" spans="1:70" x14ac:dyDescent="0.35">
      <c r="A147" t="s">
        <v>563</v>
      </c>
      <c r="B147" t="s">
        <v>564</v>
      </c>
      <c r="C147" t="s">
        <v>295</v>
      </c>
      <c r="D147" t="s">
        <v>296</v>
      </c>
      <c r="E147">
        <v>1094883717</v>
      </c>
      <c r="F147">
        <v>1096959453</v>
      </c>
      <c r="G147">
        <v>1111293141</v>
      </c>
      <c r="H147">
        <v>1137056579</v>
      </c>
      <c r="I147">
        <v>1162405292</v>
      </c>
      <c r="J147">
        <v>1188451832</v>
      </c>
      <c r="K147">
        <v>1217220438</v>
      </c>
      <c r="L147">
        <v>1245130293</v>
      </c>
      <c r="M147">
        <v>1273820149</v>
      </c>
      <c r="N147">
        <v>1304068257</v>
      </c>
      <c r="O147">
        <v>1334963829</v>
      </c>
      <c r="P147">
        <v>1366487769</v>
      </c>
      <c r="Q147">
        <v>1396407513</v>
      </c>
      <c r="R147">
        <v>1425381475</v>
      </c>
      <c r="S147">
        <v>1452919554</v>
      </c>
      <c r="T147">
        <v>1478265786</v>
      </c>
      <c r="U147">
        <v>1502269051</v>
      </c>
      <c r="V147">
        <v>1524947137</v>
      </c>
      <c r="W147">
        <v>1547677040</v>
      </c>
      <c r="X147">
        <v>1570272872</v>
      </c>
      <c r="Y147">
        <v>1592439385</v>
      </c>
      <c r="Z147">
        <v>1615106897</v>
      </c>
      <c r="AA147">
        <v>1639793804</v>
      </c>
      <c r="AB147">
        <v>1664394629</v>
      </c>
      <c r="AC147">
        <v>1688121991</v>
      </c>
      <c r="AD147">
        <v>1712585483</v>
      </c>
      <c r="AE147">
        <v>1738504785</v>
      </c>
      <c r="AF147">
        <v>1765799733</v>
      </c>
      <c r="AG147">
        <v>1793220326</v>
      </c>
      <c r="AH147">
        <v>1819952808</v>
      </c>
      <c r="AI147">
        <v>1844718134</v>
      </c>
      <c r="AJ147">
        <v>1868272190</v>
      </c>
      <c r="AK147">
        <v>1890820460</v>
      </c>
      <c r="AL147">
        <v>1912010271</v>
      </c>
      <c r="AM147">
        <v>1932650915</v>
      </c>
      <c r="AN147">
        <v>1952702058</v>
      </c>
      <c r="AO147">
        <v>1972254664</v>
      </c>
      <c r="AP147">
        <v>1991505992</v>
      </c>
      <c r="AQ147">
        <v>2010169496</v>
      </c>
      <c r="AR147">
        <v>2027628907</v>
      </c>
      <c r="AS147">
        <v>2043581322</v>
      </c>
      <c r="AT147">
        <v>2058600486</v>
      </c>
      <c r="AU147">
        <v>2072599555</v>
      </c>
      <c r="AV147">
        <v>2086139068</v>
      </c>
      <c r="AW147">
        <v>2099412663</v>
      </c>
      <c r="AX147">
        <v>2112603351</v>
      </c>
      <c r="AY147">
        <v>2126122277</v>
      </c>
      <c r="AZ147">
        <v>2139958608</v>
      </c>
      <c r="BA147">
        <v>2153941306</v>
      </c>
      <c r="BB147">
        <v>2167303374</v>
      </c>
      <c r="BC147">
        <v>2179525352</v>
      </c>
      <c r="BD147">
        <v>2193171336</v>
      </c>
      <c r="BE147">
        <v>2209319631</v>
      </c>
      <c r="BF147">
        <v>2225005187</v>
      </c>
      <c r="BG147">
        <v>2241122152</v>
      </c>
      <c r="BH147">
        <v>2256126712</v>
      </c>
      <c r="BI147">
        <v>2270841806</v>
      </c>
      <c r="BJ147">
        <v>2285870134</v>
      </c>
      <c r="BK147">
        <v>2298394042</v>
      </c>
      <c r="BL147">
        <v>2308878047</v>
      </c>
      <c r="BM147">
        <v>2316152452</v>
      </c>
      <c r="BN147">
        <v>2320127658</v>
      </c>
      <c r="BO147">
        <v>2323799602</v>
      </c>
      <c r="BP147">
        <v>2326294294</v>
      </c>
      <c r="BQ147">
        <v>2328876323</v>
      </c>
      <c r="BR147">
        <v>2330425681</v>
      </c>
    </row>
    <row r="148" spans="1:70" x14ac:dyDescent="0.35">
      <c r="A148" t="s">
        <v>268</v>
      </c>
      <c r="B148" t="s">
        <v>565</v>
      </c>
      <c r="C148" t="s">
        <v>295</v>
      </c>
      <c r="D148" t="s">
        <v>296</v>
      </c>
      <c r="E148">
        <v>2778550</v>
      </c>
      <c r="F148">
        <v>2823550</v>
      </c>
      <c r="G148">
        <v>2863350</v>
      </c>
      <c r="H148">
        <v>2898950</v>
      </c>
      <c r="I148">
        <v>2935200</v>
      </c>
      <c r="J148">
        <v>2971450</v>
      </c>
      <c r="K148">
        <v>3008050</v>
      </c>
      <c r="L148">
        <v>3044400</v>
      </c>
      <c r="M148">
        <v>3078850</v>
      </c>
      <c r="N148">
        <v>3107321</v>
      </c>
      <c r="O148">
        <v>3139689</v>
      </c>
      <c r="P148">
        <v>3179041</v>
      </c>
      <c r="Q148">
        <v>3213622</v>
      </c>
      <c r="R148">
        <v>3244438</v>
      </c>
      <c r="S148">
        <v>3273894</v>
      </c>
      <c r="T148">
        <v>3301652</v>
      </c>
      <c r="U148">
        <v>3328664</v>
      </c>
      <c r="V148">
        <v>3355036</v>
      </c>
      <c r="W148">
        <v>3379514</v>
      </c>
      <c r="X148">
        <v>3397842</v>
      </c>
      <c r="Y148">
        <v>3413202</v>
      </c>
      <c r="Z148">
        <v>3432947</v>
      </c>
      <c r="AA148">
        <v>3457179</v>
      </c>
      <c r="AB148">
        <v>3485192</v>
      </c>
      <c r="AC148">
        <v>3514205</v>
      </c>
      <c r="AD148">
        <v>3544543</v>
      </c>
      <c r="AE148">
        <v>3578914</v>
      </c>
      <c r="AF148">
        <v>3616367</v>
      </c>
      <c r="AG148">
        <v>3655049</v>
      </c>
      <c r="AH148">
        <v>3684255</v>
      </c>
      <c r="AI148">
        <v>3697838</v>
      </c>
      <c r="AJ148">
        <v>3704134</v>
      </c>
      <c r="AK148">
        <v>3700114</v>
      </c>
      <c r="AL148">
        <v>3682613</v>
      </c>
      <c r="AM148">
        <v>3657144</v>
      </c>
      <c r="AN148">
        <v>3629102</v>
      </c>
      <c r="AO148">
        <v>3601613</v>
      </c>
      <c r="AP148">
        <v>3575137</v>
      </c>
      <c r="AQ148">
        <v>3549331</v>
      </c>
      <c r="AR148">
        <v>3524238</v>
      </c>
      <c r="AS148">
        <v>3499536</v>
      </c>
      <c r="AT148">
        <v>3470818</v>
      </c>
      <c r="AU148">
        <v>3443067</v>
      </c>
      <c r="AV148">
        <v>3415213</v>
      </c>
      <c r="AW148">
        <v>3377075</v>
      </c>
      <c r="AX148">
        <v>3322528</v>
      </c>
      <c r="AY148">
        <v>3269909</v>
      </c>
      <c r="AZ148">
        <v>3231294</v>
      </c>
      <c r="BA148">
        <v>3198231</v>
      </c>
      <c r="BB148">
        <v>3162916</v>
      </c>
      <c r="BC148">
        <v>3097282</v>
      </c>
      <c r="BD148">
        <v>3028115</v>
      </c>
      <c r="BE148">
        <v>2989139</v>
      </c>
      <c r="BF148">
        <v>2961250</v>
      </c>
      <c r="BG148">
        <v>2937253</v>
      </c>
      <c r="BH148">
        <v>2911109</v>
      </c>
      <c r="BI148">
        <v>2877325</v>
      </c>
      <c r="BJ148">
        <v>2842639</v>
      </c>
      <c r="BK148">
        <v>2819200</v>
      </c>
      <c r="BL148">
        <v>2811089</v>
      </c>
      <c r="BM148">
        <v>2810369</v>
      </c>
      <c r="BN148">
        <v>2808380</v>
      </c>
      <c r="BO148">
        <v>2831639</v>
      </c>
      <c r="BP148">
        <v>2871585</v>
      </c>
      <c r="BQ148">
        <v>2888278</v>
      </c>
      <c r="BR148">
        <v>2888774</v>
      </c>
    </row>
    <row r="149" spans="1:70" x14ac:dyDescent="0.35">
      <c r="A149" t="s">
        <v>566</v>
      </c>
      <c r="B149" t="s">
        <v>567</v>
      </c>
      <c r="C149" t="s">
        <v>295</v>
      </c>
      <c r="D149" t="s">
        <v>296</v>
      </c>
      <c r="E149">
        <v>313970</v>
      </c>
      <c r="F149">
        <v>316845</v>
      </c>
      <c r="G149">
        <v>320750</v>
      </c>
      <c r="H149">
        <v>324100</v>
      </c>
      <c r="I149">
        <v>327750</v>
      </c>
      <c r="J149">
        <v>331500</v>
      </c>
      <c r="K149">
        <v>333895</v>
      </c>
      <c r="L149">
        <v>334995</v>
      </c>
      <c r="M149">
        <v>335850</v>
      </c>
      <c r="N149">
        <v>337500</v>
      </c>
      <c r="O149">
        <v>339171</v>
      </c>
      <c r="P149">
        <v>342421</v>
      </c>
      <c r="Q149">
        <v>346600</v>
      </c>
      <c r="R149">
        <v>350450</v>
      </c>
      <c r="S149">
        <v>355050</v>
      </c>
      <c r="T149">
        <v>358950</v>
      </c>
      <c r="U149">
        <v>360731</v>
      </c>
      <c r="V149">
        <v>361358</v>
      </c>
      <c r="W149">
        <v>362007</v>
      </c>
      <c r="X149">
        <v>362856</v>
      </c>
      <c r="Y149">
        <v>364150</v>
      </c>
      <c r="Z149">
        <v>365225</v>
      </c>
      <c r="AA149">
        <v>365525</v>
      </c>
      <c r="AB149">
        <v>365622</v>
      </c>
      <c r="AC149">
        <v>365998</v>
      </c>
      <c r="AD149">
        <v>366706</v>
      </c>
      <c r="AE149">
        <v>368355</v>
      </c>
      <c r="AF149">
        <v>370750</v>
      </c>
      <c r="AG149">
        <v>373450</v>
      </c>
      <c r="AH149">
        <v>377100</v>
      </c>
      <c r="AI149">
        <v>381850</v>
      </c>
      <c r="AJ149">
        <v>387000</v>
      </c>
      <c r="AK149">
        <v>392175</v>
      </c>
      <c r="AL149">
        <v>397475</v>
      </c>
      <c r="AM149">
        <v>402925</v>
      </c>
      <c r="AN149">
        <v>408625</v>
      </c>
      <c r="AO149">
        <v>414225</v>
      </c>
      <c r="AP149">
        <v>419450</v>
      </c>
      <c r="AQ149">
        <v>424700</v>
      </c>
      <c r="AR149">
        <v>430475</v>
      </c>
      <c r="AS149">
        <v>436300</v>
      </c>
      <c r="AT149">
        <v>441525</v>
      </c>
      <c r="AU149">
        <v>446175</v>
      </c>
      <c r="AV149">
        <v>451630</v>
      </c>
      <c r="AW149">
        <v>458095</v>
      </c>
      <c r="AX149">
        <v>465158</v>
      </c>
      <c r="AY149">
        <v>472637</v>
      </c>
      <c r="AZ149">
        <v>479993</v>
      </c>
      <c r="BA149">
        <v>488650</v>
      </c>
      <c r="BB149">
        <v>497783</v>
      </c>
      <c r="BC149">
        <v>506953</v>
      </c>
      <c r="BD149">
        <v>518347</v>
      </c>
      <c r="BE149">
        <v>530946</v>
      </c>
      <c r="BF149">
        <v>543360</v>
      </c>
      <c r="BG149">
        <v>556319</v>
      </c>
      <c r="BH149">
        <v>569604</v>
      </c>
      <c r="BI149">
        <v>582014</v>
      </c>
      <c r="BJ149">
        <v>596336</v>
      </c>
      <c r="BK149">
        <v>607950</v>
      </c>
      <c r="BL149">
        <v>620001</v>
      </c>
      <c r="BM149">
        <v>630419</v>
      </c>
      <c r="BN149">
        <v>640064</v>
      </c>
      <c r="BO149">
        <v>653103</v>
      </c>
      <c r="BP149">
        <v>666430</v>
      </c>
      <c r="BQ149">
        <v>677012</v>
      </c>
      <c r="BR149">
        <v>686970</v>
      </c>
    </row>
    <row r="150" spans="1:70" x14ac:dyDescent="0.35">
      <c r="A150" t="s">
        <v>568</v>
      </c>
      <c r="B150" t="s">
        <v>569</v>
      </c>
      <c r="C150" t="s">
        <v>295</v>
      </c>
      <c r="D150" t="s">
        <v>296</v>
      </c>
      <c r="E150">
        <v>2120979</v>
      </c>
      <c r="F150">
        <v>2152681</v>
      </c>
      <c r="G150">
        <v>2181586</v>
      </c>
      <c r="H150">
        <v>2210919</v>
      </c>
      <c r="I150">
        <v>2240623</v>
      </c>
      <c r="J150">
        <v>2265919</v>
      </c>
      <c r="K150">
        <v>2283217</v>
      </c>
      <c r="L150">
        <v>2301220</v>
      </c>
      <c r="M150">
        <v>2323619</v>
      </c>
      <c r="N150">
        <v>2343173</v>
      </c>
      <c r="O150">
        <v>2359164</v>
      </c>
      <c r="P150">
        <v>2376389</v>
      </c>
      <c r="Q150">
        <v>2395674</v>
      </c>
      <c r="R150">
        <v>2415819</v>
      </c>
      <c r="S150">
        <v>2437186</v>
      </c>
      <c r="T150">
        <v>2456130</v>
      </c>
      <c r="U150">
        <v>2470989</v>
      </c>
      <c r="V150">
        <v>2485073</v>
      </c>
      <c r="W150">
        <v>2497921</v>
      </c>
      <c r="X150">
        <v>2505953</v>
      </c>
      <c r="Y150">
        <v>2511701</v>
      </c>
      <c r="Z150">
        <v>2519421</v>
      </c>
      <c r="AA150">
        <v>2531080</v>
      </c>
      <c r="AB150">
        <v>2546011</v>
      </c>
      <c r="AC150">
        <v>2562047</v>
      </c>
      <c r="AD150">
        <v>2578873</v>
      </c>
      <c r="AE150">
        <v>2599892</v>
      </c>
      <c r="AF150">
        <v>2626583</v>
      </c>
      <c r="AG150">
        <v>2653434</v>
      </c>
      <c r="AH150">
        <v>2666955</v>
      </c>
      <c r="AI150">
        <v>2663151</v>
      </c>
      <c r="AJ150">
        <v>2650581</v>
      </c>
      <c r="AK150">
        <v>2614338</v>
      </c>
      <c r="AL150">
        <v>2563290</v>
      </c>
      <c r="AM150">
        <v>2520742</v>
      </c>
      <c r="AN150">
        <v>2485056</v>
      </c>
      <c r="AO150">
        <v>2457222</v>
      </c>
      <c r="AP150">
        <v>2432851</v>
      </c>
      <c r="AQ150">
        <v>2410019</v>
      </c>
      <c r="AR150">
        <v>2390482</v>
      </c>
      <c r="AS150">
        <v>2367550</v>
      </c>
      <c r="AT150">
        <v>2337170</v>
      </c>
      <c r="AU150">
        <v>2310173</v>
      </c>
      <c r="AV150">
        <v>2287955</v>
      </c>
      <c r="AW150">
        <v>2263122</v>
      </c>
      <c r="AX150">
        <v>2238799</v>
      </c>
      <c r="AY150">
        <v>2218357</v>
      </c>
      <c r="AZ150">
        <v>2200325</v>
      </c>
      <c r="BA150">
        <v>2177322</v>
      </c>
      <c r="BB150">
        <v>2141669</v>
      </c>
      <c r="BC150">
        <v>2097555</v>
      </c>
      <c r="BD150">
        <v>2059709</v>
      </c>
      <c r="BE150">
        <v>2034319</v>
      </c>
      <c r="BF150">
        <v>2012647</v>
      </c>
      <c r="BG150">
        <v>1993782</v>
      </c>
      <c r="BH150">
        <v>1977527</v>
      </c>
      <c r="BI150">
        <v>1959537</v>
      </c>
      <c r="BJ150">
        <v>1942248</v>
      </c>
      <c r="BK150">
        <v>1927174</v>
      </c>
      <c r="BL150">
        <v>1913822</v>
      </c>
      <c r="BM150">
        <v>1900449</v>
      </c>
      <c r="BN150">
        <v>1884490</v>
      </c>
      <c r="BO150">
        <v>1879383</v>
      </c>
      <c r="BP150">
        <v>1883710</v>
      </c>
      <c r="BQ150">
        <v>1866124</v>
      </c>
      <c r="BR150">
        <v>1847785</v>
      </c>
    </row>
    <row r="151" spans="1:70" x14ac:dyDescent="0.35">
      <c r="A151" t="s">
        <v>570</v>
      </c>
      <c r="B151" t="s">
        <v>571</v>
      </c>
      <c r="C151" t="s">
        <v>295</v>
      </c>
      <c r="D151" t="s">
        <v>296</v>
      </c>
      <c r="E151">
        <v>173315</v>
      </c>
      <c r="F151">
        <v>173323</v>
      </c>
      <c r="G151">
        <v>177810</v>
      </c>
      <c r="H151">
        <v>182135</v>
      </c>
      <c r="I151">
        <v>225655</v>
      </c>
      <c r="J151">
        <v>265631</v>
      </c>
      <c r="K151">
        <v>262942</v>
      </c>
      <c r="L151">
        <v>260423</v>
      </c>
      <c r="M151">
        <v>257933</v>
      </c>
      <c r="N151">
        <v>255306</v>
      </c>
      <c r="O151">
        <v>257396</v>
      </c>
      <c r="P151">
        <v>247400</v>
      </c>
      <c r="Q151">
        <v>245050</v>
      </c>
      <c r="R151">
        <v>242800</v>
      </c>
      <c r="S151">
        <v>240550</v>
      </c>
      <c r="T151">
        <v>238200</v>
      </c>
      <c r="U151">
        <v>235600</v>
      </c>
      <c r="V151">
        <v>232950</v>
      </c>
      <c r="W151">
        <v>232400</v>
      </c>
      <c r="X151">
        <v>235200</v>
      </c>
      <c r="Y151">
        <v>239650</v>
      </c>
      <c r="Z151">
        <v>244800</v>
      </c>
      <c r="AA151">
        <v>254650</v>
      </c>
      <c r="AB151">
        <v>269300</v>
      </c>
      <c r="AC151">
        <v>282850</v>
      </c>
      <c r="AD151">
        <v>289700</v>
      </c>
      <c r="AE151">
        <v>296050</v>
      </c>
      <c r="AF151">
        <v>306850</v>
      </c>
      <c r="AG151">
        <v>316000</v>
      </c>
      <c r="AH151">
        <v>325100</v>
      </c>
      <c r="AI151">
        <v>334950</v>
      </c>
      <c r="AJ151">
        <v>351650</v>
      </c>
      <c r="AK151">
        <v>370900</v>
      </c>
      <c r="AL151">
        <v>384000</v>
      </c>
      <c r="AM151">
        <v>396800</v>
      </c>
      <c r="AN151">
        <v>409300</v>
      </c>
      <c r="AO151">
        <v>415100</v>
      </c>
      <c r="AP151">
        <v>417300</v>
      </c>
      <c r="AQ151">
        <v>422300</v>
      </c>
      <c r="AR151">
        <v>427400</v>
      </c>
      <c r="AS151">
        <v>430600</v>
      </c>
      <c r="AT151">
        <v>433900</v>
      </c>
      <c r="AU151">
        <v>438400</v>
      </c>
      <c r="AV151">
        <v>443600</v>
      </c>
      <c r="AW151">
        <v>454700</v>
      </c>
      <c r="AX151">
        <v>473500</v>
      </c>
      <c r="AY151">
        <v>498900</v>
      </c>
      <c r="AZ151">
        <v>520900</v>
      </c>
      <c r="BA151">
        <v>540700</v>
      </c>
      <c r="BB151">
        <v>535000</v>
      </c>
      <c r="BC151">
        <v>537000</v>
      </c>
      <c r="BD151">
        <v>549600</v>
      </c>
      <c r="BE151">
        <v>567900</v>
      </c>
      <c r="BF151">
        <v>591900</v>
      </c>
      <c r="BG151">
        <v>621700</v>
      </c>
      <c r="BH151">
        <v>642900</v>
      </c>
      <c r="BI151">
        <v>652500</v>
      </c>
      <c r="BJ151">
        <v>648400</v>
      </c>
      <c r="BK151">
        <v>658900</v>
      </c>
      <c r="BL151">
        <v>672000</v>
      </c>
      <c r="BM151">
        <v>685400</v>
      </c>
      <c r="BN151">
        <v>682500</v>
      </c>
      <c r="BO151">
        <v>677300</v>
      </c>
      <c r="BP151">
        <v>678800</v>
      </c>
      <c r="BQ151">
        <v>687000</v>
      </c>
      <c r="BR151">
        <v>685900</v>
      </c>
    </row>
    <row r="152" spans="1:70" x14ac:dyDescent="0.35">
      <c r="A152" t="s">
        <v>572</v>
      </c>
      <c r="B152" t="s">
        <v>573</v>
      </c>
      <c r="C152" t="s">
        <v>295</v>
      </c>
      <c r="D152" t="s">
        <v>296</v>
      </c>
      <c r="E152">
        <v>4250</v>
      </c>
      <c r="F152">
        <v>4386</v>
      </c>
      <c r="G152">
        <v>4527</v>
      </c>
      <c r="H152">
        <v>4673</v>
      </c>
      <c r="I152">
        <v>4827</v>
      </c>
      <c r="J152">
        <v>4996</v>
      </c>
      <c r="K152">
        <v>5213</v>
      </c>
      <c r="L152">
        <v>5472</v>
      </c>
      <c r="M152">
        <v>5693</v>
      </c>
      <c r="N152">
        <v>5868</v>
      </c>
      <c r="O152">
        <v>6047</v>
      </c>
      <c r="P152">
        <v>6228</v>
      </c>
      <c r="Q152">
        <v>6409</v>
      </c>
      <c r="R152">
        <v>6596</v>
      </c>
      <c r="S152">
        <v>6801</v>
      </c>
      <c r="T152">
        <v>7038</v>
      </c>
      <c r="U152">
        <v>7303</v>
      </c>
      <c r="V152">
        <v>7569</v>
      </c>
      <c r="W152">
        <v>7822</v>
      </c>
      <c r="X152">
        <v>8063</v>
      </c>
      <c r="Y152">
        <v>8288</v>
      </c>
      <c r="Z152">
        <v>8498</v>
      </c>
      <c r="AA152">
        <v>9494</v>
      </c>
      <c r="AB152">
        <v>11485</v>
      </c>
      <c r="AC152">
        <v>13733</v>
      </c>
      <c r="AD152">
        <v>16095</v>
      </c>
      <c r="AE152">
        <v>18558</v>
      </c>
      <c r="AF152">
        <v>21108</v>
      </c>
      <c r="AG152">
        <v>23749</v>
      </c>
      <c r="AH152">
        <v>26453</v>
      </c>
      <c r="AI152">
        <v>28224</v>
      </c>
      <c r="AJ152">
        <v>28800</v>
      </c>
      <c r="AK152">
        <v>29081</v>
      </c>
      <c r="AL152">
        <v>29282</v>
      </c>
      <c r="AM152">
        <v>29413</v>
      </c>
      <c r="AN152">
        <v>29470</v>
      </c>
      <c r="AO152">
        <v>29443</v>
      </c>
      <c r="AP152">
        <v>29323</v>
      </c>
      <c r="AQ152">
        <v>29107</v>
      </c>
      <c r="AR152">
        <v>29284</v>
      </c>
      <c r="AS152">
        <v>29996</v>
      </c>
      <c r="AT152">
        <v>30803</v>
      </c>
      <c r="AU152">
        <v>31604</v>
      </c>
      <c r="AV152">
        <v>32395</v>
      </c>
      <c r="AW152">
        <v>33171</v>
      </c>
      <c r="AX152">
        <v>33928</v>
      </c>
      <c r="AY152">
        <v>34658</v>
      </c>
      <c r="AZ152">
        <v>35337</v>
      </c>
      <c r="BA152">
        <v>35958</v>
      </c>
      <c r="BB152">
        <v>36502</v>
      </c>
      <c r="BC152">
        <v>36856</v>
      </c>
      <c r="BD152">
        <v>37069</v>
      </c>
      <c r="BE152">
        <v>37276</v>
      </c>
      <c r="BF152">
        <v>37419</v>
      </c>
      <c r="BG152">
        <v>37450</v>
      </c>
      <c r="BH152">
        <v>37369</v>
      </c>
      <c r="BI152">
        <v>37175</v>
      </c>
      <c r="BJ152">
        <v>36837</v>
      </c>
      <c r="BK152">
        <v>36012</v>
      </c>
      <c r="BL152">
        <v>34267</v>
      </c>
      <c r="BM152">
        <v>31786</v>
      </c>
      <c r="BN152">
        <v>29961</v>
      </c>
      <c r="BO152">
        <v>28870</v>
      </c>
      <c r="BP152">
        <v>27515</v>
      </c>
      <c r="BQ152">
        <v>26129</v>
      </c>
      <c r="BR152">
        <v>24941</v>
      </c>
    </row>
    <row r="153" spans="1:70" x14ac:dyDescent="0.35">
      <c r="A153" t="s">
        <v>574</v>
      </c>
      <c r="B153" t="s">
        <v>575</v>
      </c>
      <c r="C153" t="s">
        <v>295</v>
      </c>
      <c r="D153" t="s">
        <v>296</v>
      </c>
      <c r="E153">
        <v>11624933</v>
      </c>
      <c r="F153">
        <v>11931085</v>
      </c>
      <c r="G153">
        <v>12253092</v>
      </c>
      <c r="H153">
        <v>12577502</v>
      </c>
      <c r="I153">
        <v>12898886</v>
      </c>
      <c r="J153">
        <v>13239171</v>
      </c>
      <c r="K153">
        <v>13597065</v>
      </c>
      <c r="L153">
        <v>13968175</v>
      </c>
      <c r="M153">
        <v>14347899</v>
      </c>
      <c r="N153">
        <v>14734255</v>
      </c>
      <c r="O153">
        <v>15129449</v>
      </c>
      <c r="P153">
        <v>15527225</v>
      </c>
      <c r="Q153">
        <v>15924692</v>
      </c>
      <c r="R153">
        <v>16326269</v>
      </c>
      <c r="S153">
        <v>16733842</v>
      </c>
      <c r="T153">
        <v>17150786</v>
      </c>
      <c r="U153">
        <v>17574182</v>
      </c>
      <c r="V153">
        <v>18014756</v>
      </c>
      <c r="W153">
        <v>18477385</v>
      </c>
      <c r="X153">
        <v>18955589</v>
      </c>
      <c r="Y153">
        <v>19459943</v>
      </c>
      <c r="Z153">
        <v>19985401</v>
      </c>
      <c r="AA153">
        <v>20520318</v>
      </c>
      <c r="AB153">
        <v>21060696</v>
      </c>
      <c r="AC153">
        <v>21593778</v>
      </c>
      <c r="AD153">
        <v>22113953</v>
      </c>
      <c r="AE153">
        <v>22600803</v>
      </c>
      <c r="AF153">
        <v>23054392</v>
      </c>
      <c r="AG153">
        <v>23500524</v>
      </c>
      <c r="AH153">
        <v>23939414</v>
      </c>
      <c r="AI153">
        <v>24375551</v>
      </c>
      <c r="AJ153">
        <v>24799014</v>
      </c>
      <c r="AK153">
        <v>25212468</v>
      </c>
      <c r="AL153">
        <v>25614586</v>
      </c>
      <c r="AM153">
        <v>26000822</v>
      </c>
      <c r="AN153">
        <v>26399429</v>
      </c>
      <c r="AO153">
        <v>26808107</v>
      </c>
      <c r="AP153">
        <v>27213337</v>
      </c>
      <c r="AQ153">
        <v>27621648</v>
      </c>
      <c r="AR153">
        <v>28027179</v>
      </c>
      <c r="AS153">
        <v>28423435</v>
      </c>
      <c r="AT153">
        <v>28814643</v>
      </c>
      <c r="AU153">
        <v>29198142</v>
      </c>
      <c r="AV153">
        <v>29571415</v>
      </c>
      <c r="AW153">
        <v>29953018</v>
      </c>
      <c r="AX153">
        <v>30358144</v>
      </c>
      <c r="AY153">
        <v>30771178</v>
      </c>
      <c r="AZ153">
        <v>31186468</v>
      </c>
      <c r="BA153">
        <v>31606767</v>
      </c>
      <c r="BB153">
        <v>32030778</v>
      </c>
      <c r="BC153">
        <v>32467016</v>
      </c>
      <c r="BD153">
        <v>32912588</v>
      </c>
      <c r="BE153">
        <v>33355241</v>
      </c>
      <c r="BF153">
        <v>33787571</v>
      </c>
      <c r="BG153">
        <v>34204780</v>
      </c>
      <c r="BH153">
        <v>34607588</v>
      </c>
      <c r="BI153">
        <v>35023457</v>
      </c>
      <c r="BJ153">
        <v>35446392</v>
      </c>
      <c r="BK153">
        <v>35839760</v>
      </c>
      <c r="BL153">
        <v>36210898</v>
      </c>
      <c r="BM153">
        <v>36584208</v>
      </c>
      <c r="BN153">
        <v>36954442</v>
      </c>
      <c r="BO153">
        <v>37329064</v>
      </c>
      <c r="BP153">
        <v>37712505</v>
      </c>
      <c r="BQ153">
        <v>38081173</v>
      </c>
      <c r="BR153">
        <v>38430770</v>
      </c>
    </row>
    <row r="154" spans="1:70" x14ac:dyDescent="0.35">
      <c r="A154" t="s">
        <v>576</v>
      </c>
      <c r="B154" t="s">
        <v>577</v>
      </c>
      <c r="C154" t="s">
        <v>295</v>
      </c>
      <c r="D154" t="s">
        <v>296</v>
      </c>
      <c r="E154">
        <v>21808</v>
      </c>
      <c r="F154">
        <v>21901</v>
      </c>
      <c r="G154">
        <v>22078</v>
      </c>
      <c r="H154">
        <v>22385</v>
      </c>
      <c r="I154">
        <v>22686</v>
      </c>
      <c r="J154">
        <v>22941</v>
      </c>
      <c r="K154">
        <v>23131</v>
      </c>
      <c r="L154">
        <v>23230</v>
      </c>
      <c r="M154">
        <v>23437</v>
      </c>
      <c r="N154">
        <v>23831</v>
      </c>
      <c r="O154">
        <v>24229</v>
      </c>
      <c r="P154">
        <v>24576</v>
      </c>
      <c r="Q154">
        <v>24862</v>
      </c>
      <c r="R154">
        <v>25072</v>
      </c>
      <c r="S154">
        <v>25235</v>
      </c>
      <c r="T154">
        <v>25500</v>
      </c>
      <c r="U154">
        <v>25895</v>
      </c>
      <c r="V154">
        <v>26273</v>
      </c>
      <c r="W154">
        <v>26605</v>
      </c>
      <c r="X154">
        <v>26892</v>
      </c>
      <c r="Y154">
        <v>27122</v>
      </c>
      <c r="Z154">
        <v>27293</v>
      </c>
      <c r="AA154">
        <v>27561</v>
      </c>
      <c r="AB154">
        <v>27960</v>
      </c>
      <c r="AC154">
        <v>28356</v>
      </c>
      <c r="AD154">
        <v>28731</v>
      </c>
      <c r="AE154">
        <v>29093</v>
      </c>
      <c r="AF154">
        <v>29446</v>
      </c>
      <c r="AG154">
        <v>29781</v>
      </c>
      <c r="AH154">
        <v>30084</v>
      </c>
      <c r="AI154">
        <v>30358</v>
      </c>
      <c r="AJ154">
        <v>30625</v>
      </c>
      <c r="AK154">
        <v>30887</v>
      </c>
      <c r="AL154">
        <v>31136</v>
      </c>
      <c r="AM154">
        <v>31375</v>
      </c>
      <c r="AN154">
        <v>31609</v>
      </c>
      <c r="AO154">
        <v>31837</v>
      </c>
      <c r="AP154">
        <v>32063</v>
      </c>
      <c r="AQ154">
        <v>32267</v>
      </c>
      <c r="AR154">
        <v>32410</v>
      </c>
      <c r="AS154">
        <v>32455</v>
      </c>
      <c r="AT154">
        <v>32447</v>
      </c>
      <c r="AU154">
        <v>32422</v>
      </c>
      <c r="AV154">
        <v>32374</v>
      </c>
      <c r="AW154">
        <v>32307</v>
      </c>
      <c r="AX154">
        <v>32210</v>
      </c>
      <c r="AY154">
        <v>32057</v>
      </c>
      <c r="AZ154">
        <v>31837</v>
      </c>
      <c r="BA154">
        <v>31836</v>
      </c>
      <c r="BB154">
        <v>32364</v>
      </c>
      <c r="BC154">
        <v>33163</v>
      </c>
      <c r="BD154">
        <v>33946</v>
      </c>
      <c r="BE154">
        <v>34711</v>
      </c>
      <c r="BF154">
        <v>35447</v>
      </c>
      <c r="BG154">
        <v>36128</v>
      </c>
      <c r="BH154">
        <v>36757</v>
      </c>
      <c r="BI154">
        <v>37276</v>
      </c>
      <c r="BJ154">
        <v>37678</v>
      </c>
      <c r="BK154">
        <v>38154</v>
      </c>
      <c r="BL154">
        <v>38109</v>
      </c>
      <c r="BM154">
        <v>38050</v>
      </c>
      <c r="BN154">
        <v>38527</v>
      </c>
      <c r="BO154">
        <v>38931</v>
      </c>
      <c r="BP154">
        <v>38956</v>
      </c>
      <c r="BQ154">
        <v>38631</v>
      </c>
      <c r="BR154">
        <v>38341</v>
      </c>
    </row>
    <row r="155" spans="1:70" x14ac:dyDescent="0.35">
      <c r="A155" t="s">
        <v>578</v>
      </c>
      <c r="B155" t="s">
        <v>579</v>
      </c>
      <c r="C155" t="s">
        <v>295</v>
      </c>
      <c r="D155" t="s">
        <v>296</v>
      </c>
      <c r="E155">
        <v>2058020</v>
      </c>
      <c r="F155">
        <v>2103327</v>
      </c>
      <c r="G155">
        <v>2147227</v>
      </c>
      <c r="H155">
        <v>2188895</v>
      </c>
      <c r="I155">
        <v>2228000</v>
      </c>
      <c r="J155">
        <v>2265287</v>
      </c>
      <c r="K155">
        <v>2301871</v>
      </c>
      <c r="L155">
        <v>2337695</v>
      </c>
      <c r="M155">
        <v>2373073</v>
      </c>
      <c r="N155">
        <v>2408469</v>
      </c>
      <c r="O155">
        <v>2437590</v>
      </c>
      <c r="P155">
        <v>2460611</v>
      </c>
      <c r="Q155">
        <v>2484742</v>
      </c>
      <c r="R155">
        <v>2510584</v>
      </c>
      <c r="S155">
        <v>2538164</v>
      </c>
      <c r="T155">
        <v>2566998</v>
      </c>
      <c r="U155">
        <v>2596491</v>
      </c>
      <c r="V155">
        <v>2626298</v>
      </c>
      <c r="W155">
        <v>2656211</v>
      </c>
      <c r="X155">
        <v>2683035</v>
      </c>
      <c r="Y155">
        <v>2708675</v>
      </c>
      <c r="Z155">
        <v>2735987</v>
      </c>
      <c r="AA155">
        <v>2763101</v>
      </c>
      <c r="AB155">
        <v>2791207</v>
      </c>
      <c r="AC155">
        <v>2820518</v>
      </c>
      <c r="AD155">
        <v>2850787</v>
      </c>
      <c r="AE155">
        <v>2883057</v>
      </c>
      <c r="AF155">
        <v>2916306</v>
      </c>
      <c r="AG155">
        <v>2948891</v>
      </c>
      <c r="AH155">
        <v>2970039</v>
      </c>
      <c r="AI155">
        <v>2977912</v>
      </c>
      <c r="AJ155">
        <v>2981566</v>
      </c>
      <c r="AK155">
        <v>2980965</v>
      </c>
      <c r="AL155">
        <v>2975966</v>
      </c>
      <c r="AM155">
        <v>2966745</v>
      </c>
      <c r="AN155">
        <v>2953200</v>
      </c>
      <c r="AO155">
        <v>2947293</v>
      </c>
      <c r="AP155">
        <v>2936413</v>
      </c>
      <c r="AQ155">
        <v>2935227</v>
      </c>
      <c r="AR155">
        <v>2930622</v>
      </c>
      <c r="AS155">
        <v>2924668</v>
      </c>
      <c r="AT155">
        <v>2918135</v>
      </c>
      <c r="AU155">
        <v>2911385</v>
      </c>
      <c r="AV155">
        <v>2903198</v>
      </c>
      <c r="AW155">
        <v>2896023</v>
      </c>
      <c r="AX155">
        <v>2888985</v>
      </c>
      <c r="AY155">
        <v>2880967</v>
      </c>
      <c r="AZ155">
        <v>2874299</v>
      </c>
      <c r="BA155">
        <v>2868833</v>
      </c>
      <c r="BB155">
        <v>2865213</v>
      </c>
      <c r="BC155">
        <v>2862354</v>
      </c>
      <c r="BD155">
        <v>2860699</v>
      </c>
      <c r="BE155">
        <v>2860324</v>
      </c>
      <c r="BF155">
        <v>2859558</v>
      </c>
      <c r="BG155">
        <v>2857815</v>
      </c>
      <c r="BH155">
        <v>2835978</v>
      </c>
      <c r="BI155">
        <v>2803186</v>
      </c>
      <c r="BJ155">
        <v>2755189</v>
      </c>
      <c r="BK155">
        <v>2707203</v>
      </c>
      <c r="BL155">
        <v>2664224</v>
      </c>
      <c r="BM155">
        <v>2635130</v>
      </c>
      <c r="BN155">
        <v>2595809</v>
      </c>
      <c r="BO155">
        <v>2528654</v>
      </c>
      <c r="BP155">
        <v>2457783</v>
      </c>
      <c r="BQ155">
        <v>2402306</v>
      </c>
      <c r="BR155">
        <v>2360527</v>
      </c>
    </row>
    <row r="156" spans="1:70" x14ac:dyDescent="0.35">
      <c r="A156" t="s">
        <v>580</v>
      </c>
      <c r="B156" t="s">
        <v>581</v>
      </c>
      <c r="C156" t="s">
        <v>295</v>
      </c>
      <c r="D156" t="s">
        <v>296</v>
      </c>
      <c r="E156">
        <v>5111029</v>
      </c>
      <c r="F156">
        <v>5246158</v>
      </c>
      <c r="G156">
        <v>5384150</v>
      </c>
      <c r="H156">
        <v>5525185</v>
      </c>
      <c r="I156">
        <v>5669863</v>
      </c>
      <c r="J156">
        <v>5819116</v>
      </c>
      <c r="K156">
        <v>5974279</v>
      </c>
      <c r="L156">
        <v>6136486</v>
      </c>
      <c r="M156">
        <v>6306493</v>
      </c>
      <c r="N156">
        <v>6484716</v>
      </c>
      <c r="O156">
        <v>6672003</v>
      </c>
      <c r="P156">
        <v>6868868</v>
      </c>
      <c r="Q156">
        <v>7074398</v>
      </c>
      <c r="R156">
        <v>7288048</v>
      </c>
      <c r="S156">
        <v>7509726</v>
      </c>
      <c r="T156">
        <v>7739336</v>
      </c>
      <c r="U156">
        <v>7976831</v>
      </c>
      <c r="V156">
        <v>8222240</v>
      </c>
      <c r="W156">
        <v>8475864</v>
      </c>
      <c r="X156">
        <v>8737581</v>
      </c>
      <c r="Y156">
        <v>9006032</v>
      </c>
      <c r="Z156">
        <v>9279011</v>
      </c>
      <c r="AA156">
        <v>9557671</v>
      </c>
      <c r="AB156">
        <v>9843044</v>
      </c>
      <c r="AC156">
        <v>10134550</v>
      </c>
      <c r="AD156">
        <v>10433142</v>
      </c>
      <c r="AE156">
        <v>10736857</v>
      </c>
      <c r="AF156">
        <v>11047291</v>
      </c>
      <c r="AG156">
        <v>11369462</v>
      </c>
      <c r="AH156">
        <v>11704998</v>
      </c>
      <c r="AI156">
        <v>12055639</v>
      </c>
      <c r="AJ156">
        <v>12421412</v>
      </c>
      <c r="AK156">
        <v>12800870</v>
      </c>
      <c r="AL156">
        <v>13197345</v>
      </c>
      <c r="AM156">
        <v>13613850</v>
      </c>
      <c r="AN156">
        <v>14051275</v>
      </c>
      <c r="AO156">
        <v>14510711</v>
      </c>
      <c r="AP156">
        <v>14990814</v>
      </c>
      <c r="AQ156">
        <v>15489364</v>
      </c>
      <c r="AR156">
        <v>16000506</v>
      </c>
      <c r="AS156">
        <v>16516338</v>
      </c>
      <c r="AT156">
        <v>17032939</v>
      </c>
      <c r="AU156">
        <v>17549913</v>
      </c>
      <c r="AV156">
        <v>18071854</v>
      </c>
      <c r="AW156">
        <v>18606608</v>
      </c>
      <c r="AX156">
        <v>19159707</v>
      </c>
      <c r="AY156">
        <v>19730909</v>
      </c>
      <c r="AZ156">
        <v>20318583</v>
      </c>
      <c r="BA156">
        <v>20923840</v>
      </c>
      <c r="BB156">
        <v>21547280</v>
      </c>
      <c r="BC156">
        <v>22183340</v>
      </c>
      <c r="BD156">
        <v>22822300</v>
      </c>
      <c r="BE156">
        <v>23462438</v>
      </c>
      <c r="BF156">
        <v>24109290</v>
      </c>
      <c r="BG156">
        <v>24764348</v>
      </c>
      <c r="BH156">
        <v>25426702</v>
      </c>
      <c r="BI156">
        <v>26099952</v>
      </c>
      <c r="BJ156">
        <v>26788375</v>
      </c>
      <c r="BK156">
        <v>27494926</v>
      </c>
      <c r="BL156">
        <v>28219554</v>
      </c>
      <c r="BM156">
        <v>28953556</v>
      </c>
      <c r="BN156">
        <v>29691083</v>
      </c>
      <c r="BO156">
        <v>30437261</v>
      </c>
      <c r="BP156">
        <v>31195932</v>
      </c>
      <c r="BQ156">
        <v>31964956</v>
      </c>
      <c r="BR156">
        <v>32740678</v>
      </c>
    </row>
    <row r="157" spans="1:70" x14ac:dyDescent="0.35">
      <c r="A157" t="s">
        <v>582</v>
      </c>
      <c r="B157" t="s">
        <v>583</v>
      </c>
      <c r="C157" t="s">
        <v>295</v>
      </c>
      <c r="D157" t="s">
        <v>296</v>
      </c>
      <c r="E157">
        <v>91189</v>
      </c>
      <c r="F157">
        <v>93450</v>
      </c>
      <c r="G157">
        <v>95802</v>
      </c>
      <c r="H157">
        <v>98222</v>
      </c>
      <c r="I157">
        <v>100662</v>
      </c>
      <c r="J157">
        <v>104102</v>
      </c>
      <c r="K157">
        <v>108507</v>
      </c>
      <c r="L157">
        <v>112528</v>
      </c>
      <c r="M157">
        <v>116075</v>
      </c>
      <c r="N157">
        <v>119564</v>
      </c>
      <c r="O157">
        <v>123219</v>
      </c>
      <c r="P157">
        <v>127035</v>
      </c>
      <c r="Q157">
        <v>130968</v>
      </c>
      <c r="R157">
        <v>134952</v>
      </c>
      <c r="S157">
        <v>138978</v>
      </c>
      <c r="T157">
        <v>143158</v>
      </c>
      <c r="U157">
        <v>147525</v>
      </c>
      <c r="V157">
        <v>151930</v>
      </c>
      <c r="W157">
        <v>156159</v>
      </c>
      <c r="X157">
        <v>160360</v>
      </c>
      <c r="Y157">
        <v>164835</v>
      </c>
      <c r="Z157">
        <v>169532</v>
      </c>
      <c r="AA157">
        <v>174333</v>
      </c>
      <c r="AB157">
        <v>179128</v>
      </c>
      <c r="AC157">
        <v>184198</v>
      </c>
      <c r="AD157">
        <v>190169</v>
      </c>
      <c r="AE157">
        <v>196935</v>
      </c>
      <c r="AF157">
        <v>203944</v>
      </c>
      <c r="AG157">
        <v>210885</v>
      </c>
      <c r="AH157">
        <v>217738</v>
      </c>
      <c r="AI157">
        <v>224762</v>
      </c>
      <c r="AJ157">
        <v>231802</v>
      </c>
      <c r="AK157">
        <v>238543</v>
      </c>
      <c r="AL157">
        <v>244884</v>
      </c>
      <c r="AM157">
        <v>250822</v>
      </c>
      <c r="AN157">
        <v>256649</v>
      </c>
      <c r="AO157">
        <v>262347</v>
      </c>
      <c r="AP157">
        <v>267707</v>
      </c>
      <c r="AQ157">
        <v>272723</v>
      </c>
      <c r="AR157">
        <v>277412</v>
      </c>
      <c r="AS157">
        <v>282019</v>
      </c>
      <c r="AT157">
        <v>286767</v>
      </c>
      <c r="AU157">
        <v>291616</v>
      </c>
      <c r="AV157">
        <v>296491</v>
      </c>
      <c r="AW157">
        <v>301413</v>
      </c>
      <c r="AX157">
        <v>306429</v>
      </c>
      <c r="AY157">
        <v>313851</v>
      </c>
      <c r="AZ157">
        <v>324479</v>
      </c>
      <c r="BA157">
        <v>336170</v>
      </c>
      <c r="BB157">
        <v>348275</v>
      </c>
      <c r="BC157">
        <v>360792</v>
      </c>
      <c r="BD157">
        <v>373674</v>
      </c>
      <c r="BE157">
        <v>386818</v>
      </c>
      <c r="BF157">
        <v>400070</v>
      </c>
      <c r="BG157">
        <v>413617</v>
      </c>
      <c r="BH157">
        <v>428154</v>
      </c>
      <c r="BI157">
        <v>443308</v>
      </c>
      <c r="BJ157">
        <v>458287</v>
      </c>
      <c r="BK157">
        <v>473099</v>
      </c>
      <c r="BL157">
        <v>487731</v>
      </c>
      <c r="BM157">
        <v>502118</v>
      </c>
      <c r="BN157">
        <v>516154</v>
      </c>
      <c r="BO157">
        <v>524106</v>
      </c>
      <c r="BP157">
        <v>525994</v>
      </c>
      <c r="BQ157">
        <v>527799</v>
      </c>
      <c r="BR157">
        <v>529676</v>
      </c>
    </row>
    <row r="158" spans="1:70" x14ac:dyDescent="0.35">
      <c r="A158" t="s">
        <v>584</v>
      </c>
      <c r="B158" t="s">
        <v>585</v>
      </c>
      <c r="C158" t="s">
        <v>295</v>
      </c>
      <c r="D158" t="s">
        <v>296</v>
      </c>
      <c r="E158">
        <v>157933392</v>
      </c>
      <c r="F158">
        <v>162068656</v>
      </c>
      <c r="G158">
        <v>166390935</v>
      </c>
      <c r="H158">
        <v>170881281</v>
      </c>
      <c r="I158">
        <v>175548682</v>
      </c>
      <c r="J158">
        <v>180361095</v>
      </c>
      <c r="K158">
        <v>185366083</v>
      </c>
      <c r="L158">
        <v>190664582</v>
      </c>
      <c r="M158">
        <v>196098319</v>
      </c>
      <c r="N158">
        <v>201742643</v>
      </c>
      <c r="O158">
        <v>207569650</v>
      </c>
      <c r="P158">
        <v>213438350</v>
      </c>
      <c r="Q158">
        <v>219448355</v>
      </c>
      <c r="R158">
        <v>225808044</v>
      </c>
      <c r="S158">
        <v>232392106</v>
      </c>
      <c r="T158">
        <v>239405806</v>
      </c>
      <c r="U158">
        <v>246821883</v>
      </c>
      <c r="V158">
        <v>254463059</v>
      </c>
      <c r="W158">
        <v>262393904</v>
      </c>
      <c r="X158">
        <v>270666000</v>
      </c>
      <c r="Y158">
        <v>279347788</v>
      </c>
      <c r="Z158">
        <v>288391729</v>
      </c>
      <c r="AA158">
        <v>297671219</v>
      </c>
      <c r="AB158">
        <v>307301861</v>
      </c>
      <c r="AC158">
        <v>317366458</v>
      </c>
      <c r="AD158">
        <v>327681501</v>
      </c>
      <c r="AE158">
        <v>338209596</v>
      </c>
      <c r="AF158">
        <v>348933449</v>
      </c>
      <c r="AG158">
        <v>359728415</v>
      </c>
      <c r="AH158">
        <v>370724431</v>
      </c>
      <c r="AI158">
        <v>383279026</v>
      </c>
      <c r="AJ158">
        <v>394251647</v>
      </c>
      <c r="AK158">
        <v>405847278</v>
      </c>
      <c r="AL158">
        <v>417150344</v>
      </c>
      <c r="AM158">
        <v>428117445</v>
      </c>
      <c r="AN158">
        <v>438968860</v>
      </c>
      <c r="AO158">
        <v>449859387</v>
      </c>
      <c r="AP158">
        <v>460864078</v>
      </c>
      <c r="AQ158">
        <v>472047033</v>
      </c>
      <c r="AR158">
        <v>483430509</v>
      </c>
      <c r="AS158">
        <v>494850317</v>
      </c>
      <c r="AT158">
        <v>506478256</v>
      </c>
      <c r="AU158">
        <v>518193093</v>
      </c>
      <c r="AV158">
        <v>530338988</v>
      </c>
      <c r="AW158">
        <v>543086512</v>
      </c>
      <c r="AX158">
        <v>556210211</v>
      </c>
      <c r="AY158">
        <v>569898499</v>
      </c>
      <c r="AZ158">
        <v>583743828</v>
      </c>
      <c r="BA158">
        <v>597799097</v>
      </c>
      <c r="BB158">
        <v>612128501</v>
      </c>
      <c r="BC158">
        <v>624828664</v>
      </c>
      <c r="BD158">
        <v>639053870</v>
      </c>
      <c r="BE158">
        <v>653273442</v>
      </c>
      <c r="BF158">
        <v>667464006</v>
      </c>
      <c r="BG158">
        <v>680716578</v>
      </c>
      <c r="BH158">
        <v>694232973</v>
      </c>
      <c r="BI158">
        <v>707023525</v>
      </c>
      <c r="BJ158">
        <v>718887744</v>
      </c>
      <c r="BK158">
        <v>730362334</v>
      </c>
      <c r="BL158">
        <v>742714463</v>
      </c>
      <c r="BM158">
        <v>756405281</v>
      </c>
      <c r="BN158">
        <v>767578451</v>
      </c>
      <c r="BO158">
        <v>782349366</v>
      </c>
      <c r="BP158">
        <v>797801454</v>
      </c>
      <c r="BQ158">
        <v>813173936</v>
      </c>
      <c r="BR158">
        <v>828025185</v>
      </c>
    </row>
    <row r="159" spans="1:70" x14ac:dyDescent="0.35">
      <c r="A159" t="s">
        <v>586</v>
      </c>
      <c r="B159" t="s">
        <v>587</v>
      </c>
      <c r="C159" t="s">
        <v>295</v>
      </c>
      <c r="D159" t="s">
        <v>296</v>
      </c>
      <c r="E159">
        <v>36724615</v>
      </c>
      <c r="F159">
        <v>37890118</v>
      </c>
      <c r="G159">
        <v>39129200</v>
      </c>
      <c r="H159">
        <v>40424065</v>
      </c>
      <c r="I159">
        <v>41772049</v>
      </c>
      <c r="J159">
        <v>43174477</v>
      </c>
      <c r="K159">
        <v>44629106</v>
      </c>
      <c r="L159">
        <v>46129608</v>
      </c>
      <c r="M159">
        <v>47668303</v>
      </c>
      <c r="N159">
        <v>49233194</v>
      </c>
      <c r="O159">
        <v>50814953</v>
      </c>
      <c r="P159">
        <v>52412558</v>
      </c>
      <c r="Q159">
        <v>54030168</v>
      </c>
      <c r="R159">
        <v>55667284</v>
      </c>
      <c r="S159">
        <v>57320149</v>
      </c>
      <c r="T159">
        <v>58982400</v>
      </c>
      <c r="U159">
        <v>60645512</v>
      </c>
      <c r="V159">
        <v>62308493</v>
      </c>
      <c r="W159">
        <v>63979046</v>
      </c>
      <c r="X159">
        <v>65648865</v>
      </c>
      <c r="Y159">
        <v>67300334</v>
      </c>
      <c r="Z159">
        <v>68892108</v>
      </c>
      <c r="AA159">
        <v>70433260</v>
      </c>
      <c r="AB159">
        <v>71971240</v>
      </c>
      <c r="AC159">
        <v>73506846</v>
      </c>
      <c r="AD159">
        <v>75043414</v>
      </c>
      <c r="AE159">
        <v>76585637</v>
      </c>
      <c r="AF159">
        <v>78136651</v>
      </c>
      <c r="AG159">
        <v>79695531</v>
      </c>
      <c r="AH159">
        <v>81247182</v>
      </c>
      <c r="AI159">
        <v>82820170</v>
      </c>
      <c r="AJ159">
        <v>84430572</v>
      </c>
      <c r="AK159">
        <v>86044809</v>
      </c>
      <c r="AL159">
        <v>87653807</v>
      </c>
      <c r="AM159">
        <v>89259205</v>
      </c>
      <c r="AN159">
        <v>90862455</v>
      </c>
      <c r="AO159">
        <v>92452702</v>
      </c>
      <c r="AP159">
        <v>94021207</v>
      </c>
      <c r="AQ159">
        <v>95575245</v>
      </c>
      <c r="AR159">
        <v>97115707</v>
      </c>
      <c r="AS159">
        <v>98625552</v>
      </c>
      <c r="AT159">
        <v>100099099</v>
      </c>
      <c r="AU159">
        <v>101548624</v>
      </c>
      <c r="AV159">
        <v>102978515</v>
      </c>
      <c r="AW159">
        <v>104394131</v>
      </c>
      <c r="AX159">
        <v>105811504</v>
      </c>
      <c r="AY159">
        <v>107253666</v>
      </c>
      <c r="AZ159">
        <v>108774360</v>
      </c>
      <c r="BA159">
        <v>110374288</v>
      </c>
      <c r="BB159">
        <v>111999721</v>
      </c>
      <c r="BC159">
        <v>113623895</v>
      </c>
      <c r="BD159">
        <v>115243504</v>
      </c>
      <c r="BE159">
        <v>116818208</v>
      </c>
      <c r="BF159">
        <v>118343573</v>
      </c>
      <c r="BG159">
        <v>119784261</v>
      </c>
      <c r="BH159">
        <v>121072306</v>
      </c>
      <c r="BI159">
        <v>122251351</v>
      </c>
      <c r="BJ159">
        <v>123400057</v>
      </c>
      <c r="BK159">
        <v>124573711</v>
      </c>
      <c r="BL159">
        <v>125762982</v>
      </c>
      <c r="BM159">
        <v>126799054</v>
      </c>
      <c r="BN159">
        <v>127648148</v>
      </c>
      <c r="BO159">
        <v>128613117</v>
      </c>
      <c r="BP159">
        <v>129739759</v>
      </c>
      <c r="BQ159">
        <v>130861007</v>
      </c>
      <c r="BR159">
        <v>131946900</v>
      </c>
    </row>
    <row r="160" spans="1:70" x14ac:dyDescent="0.35">
      <c r="A160" t="s">
        <v>588</v>
      </c>
      <c r="B160" t="s">
        <v>589</v>
      </c>
      <c r="C160" t="s">
        <v>295</v>
      </c>
      <c r="D160" t="s">
        <v>296</v>
      </c>
      <c r="E160">
        <v>14703</v>
      </c>
      <c r="F160">
        <v>15219</v>
      </c>
      <c r="G160">
        <v>15755</v>
      </c>
      <c r="H160">
        <v>16302</v>
      </c>
      <c r="I160">
        <v>16852</v>
      </c>
      <c r="J160">
        <v>17402</v>
      </c>
      <c r="K160">
        <v>17927</v>
      </c>
      <c r="L160">
        <v>18655</v>
      </c>
      <c r="M160">
        <v>19862</v>
      </c>
      <c r="N160">
        <v>21305</v>
      </c>
      <c r="O160">
        <v>22530</v>
      </c>
      <c r="P160">
        <v>23366</v>
      </c>
      <c r="Q160">
        <v>23992</v>
      </c>
      <c r="R160">
        <v>24581</v>
      </c>
      <c r="S160">
        <v>25296</v>
      </c>
      <c r="T160">
        <v>26154</v>
      </c>
      <c r="U160">
        <v>27021</v>
      </c>
      <c r="V160">
        <v>27906</v>
      </c>
      <c r="W160">
        <v>28809</v>
      </c>
      <c r="X160">
        <v>29738</v>
      </c>
      <c r="Y160">
        <v>30774</v>
      </c>
      <c r="Z160">
        <v>32017</v>
      </c>
      <c r="AA160">
        <v>33397</v>
      </c>
      <c r="AB160">
        <v>34811</v>
      </c>
      <c r="AC160">
        <v>36264</v>
      </c>
      <c r="AD160">
        <v>37761</v>
      </c>
      <c r="AE160">
        <v>39286</v>
      </c>
      <c r="AF160">
        <v>40828</v>
      </c>
      <c r="AG160">
        <v>42321</v>
      </c>
      <c r="AH160">
        <v>43586</v>
      </c>
      <c r="AI160">
        <v>44629</v>
      </c>
      <c r="AJ160">
        <v>45568</v>
      </c>
      <c r="AK160">
        <v>46388</v>
      </c>
      <c r="AL160">
        <v>47093</v>
      </c>
      <c r="AM160">
        <v>47712</v>
      </c>
      <c r="AN160">
        <v>48266</v>
      </c>
      <c r="AO160">
        <v>48775</v>
      </c>
      <c r="AP160">
        <v>49259</v>
      </c>
      <c r="AQ160">
        <v>49717</v>
      </c>
      <c r="AR160">
        <v>50202</v>
      </c>
      <c r="AS160">
        <v>50706</v>
      </c>
      <c r="AT160">
        <v>51123</v>
      </c>
      <c r="AU160">
        <v>51425</v>
      </c>
      <c r="AV160">
        <v>51639</v>
      </c>
      <c r="AW160">
        <v>51791</v>
      </c>
      <c r="AX160">
        <v>51906</v>
      </c>
      <c r="AY160">
        <v>51992</v>
      </c>
      <c r="AZ160">
        <v>52035</v>
      </c>
      <c r="BA160">
        <v>52030</v>
      </c>
      <c r="BB160">
        <v>52019</v>
      </c>
      <c r="BC160">
        <v>52044</v>
      </c>
      <c r="BD160">
        <v>51907</v>
      </c>
      <c r="BE160">
        <v>51419</v>
      </c>
      <c r="BF160">
        <v>50681</v>
      </c>
      <c r="BG160">
        <v>49796</v>
      </c>
      <c r="BH160">
        <v>48800</v>
      </c>
      <c r="BI160">
        <v>47709</v>
      </c>
      <c r="BJ160">
        <v>46529</v>
      </c>
      <c r="BK160">
        <v>45285</v>
      </c>
      <c r="BL160">
        <v>44007</v>
      </c>
      <c r="BM160">
        <v>42706</v>
      </c>
      <c r="BN160">
        <v>41367</v>
      </c>
      <c r="BO160">
        <v>40077</v>
      </c>
      <c r="BP160">
        <v>38827</v>
      </c>
      <c r="BQ160">
        <v>37548</v>
      </c>
      <c r="BR160">
        <v>36282</v>
      </c>
    </row>
    <row r="161" spans="1:70" x14ac:dyDescent="0.35">
      <c r="A161" t="s">
        <v>590</v>
      </c>
      <c r="B161" t="s">
        <v>591</v>
      </c>
      <c r="C161" t="s">
        <v>295</v>
      </c>
      <c r="D161" t="s">
        <v>296</v>
      </c>
      <c r="E161">
        <v>1978802677</v>
      </c>
      <c r="F161">
        <v>2005666166</v>
      </c>
      <c r="G161">
        <v>2045559603</v>
      </c>
      <c r="H161">
        <v>2097481075</v>
      </c>
      <c r="I161">
        <v>2149704677</v>
      </c>
      <c r="J161">
        <v>2202674535</v>
      </c>
      <c r="K161">
        <v>2259084057</v>
      </c>
      <c r="L161">
        <v>2315499879</v>
      </c>
      <c r="M161">
        <v>2373563118</v>
      </c>
      <c r="N161">
        <v>2433833107</v>
      </c>
      <c r="O161">
        <v>2495690617</v>
      </c>
      <c r="P161">
        <v>2558034884</v>
      </c>
      <c r="Q161">
        <v>2619476607</v>
      </c>
      <c r="R161">
        <v>2681790131</v>
      </c>
      <c r="S161">
        <v>2743695461</v>
      </c>
      <c r="T161">
        <v>2804374454</v>
      </c>
      <c r="U161">
        <v>2864224948</v>
      </c>
      <c r="V161">
        <v>2923690217</v>
      </c>
      <c r="W161">
        <v>2983849448</v>
      </c>
      <c r="X161">
        <v>3045593560</v>
      </c>
      <c r="Y161">
        <v>3109535455</v>
      </c>
      <c r="Z161">
        <v>3175831244</v>
      </c>
      <c r="AA161">
        <v>3244899975</v>
      </c>
      <c r="AB161">
        <v>3314307993</v>
      </c>
      <c r="AC161">
        <v>3383464936</v>
      </c>
      <c r="AD161">
        <v>3454036455</v>
      </c>
      <c r="AE161">
        <v>3526715389</v>
      </c>
      <c r="AF161">
        <v>3601281359</v>
      </c>
      <c r="AG161">
        <v>3676333454</v>
      </c>
      <c r="AH161">
        <v>3751094976</v>
      </c>
      <c r="AI161">
        <v>3827822600</v>
      </c>
      <c r="AJ161">
        <v>3901045292</v>
      </c>
      <c r="AK161">
        <v>3972120504</v>
      </c>
      <c r="AL161">
        <v>4041747514</v>
      </c>
      <c r="AM161">
        <v>4110771898</v>
      </c>
      <c r="AN161">
        <v>4179853300</v>
      </c>
      <c r="AO161">
        <v>4248932284</v>
      </c>
      <c r="AP161">
        <v>4317953411</v>
      </c>
      <c r="AQ161">
        <v>4386612062</v>
      </c>
      <c r="AR161">
        <v>4454002200</v>
      </c>
      <c r="AS161">
        <v>4520892472</v>
      </c>
      <c r="AT161">
        <v>4587166020</v>
      </c>
      <c r="AU161">
        <v>4651354120</v>
      </c>
      <c r="AV161">
        <v>4714626871</v>
      </c>
      <c r="AW161">
        <v>4778500089</v>
      </c>
      <c r="AX161">
        <v>4841973136</v>
      </c>
      <c r="AY161">
        <v>4904910704</v>
      </c>
      <c r="AZ161">
        <v>4967108168</v>
      </c>
      <c r="BA161">
        <v>5030372259</v>
      </c>
      <c r="BB161">
        <v>5094380988</v>
      </c>
      <c r="BC161">
        <v>5158880800</v>
      </c>
      <c r="BD161">
        <v>5224254229</v>
      </c>
      <c r="BE161">
        <v>5291702846</v>
      </c>
      <c r="BF161">
        <v>5359014668</v>
      </c>
      <c r="BG161">
        <v>5425923034</v>
      </c>
      <c r="BH161">
        <v>5490559951</v>
      </c>
      <c r="BI161">
        <v>5553928978</v>
      </c>
      <c r="BJ161">
        <v>5616970904</v>
      </c>
      <c r="BK161">
        <v>5677402468</v>
      </c>
      <c r="BL161">
        <v>5735139879</v>
      </c>
      <c r="BM161">
        <v>5789502859</v>
      </c>
      <c r="BN161">
        <v>5838421323</v>
      </c>
      <c r="BO161">
        <v>5882746344</v>
      </c>
      <c r="BP161">
        <v>5927622764</v>
      </c>
      <c r="BQ161">
        <v>5975818672</v>
      </c>
      <c r="BR161">
        <v>6024194822</v>
      </c>
    </row>
    <row r="162" spans="1:70" x14ac:dyDescent="0.35">
      <c r="A162" t="s">
        <v>592</v>
      </c>
      <c r="B162" t="s">
        <v>593</v>
      </c>
      <c r="C162" t="s">
        <v>295</v>
      </c>
      <c r="D162" t="s">
        <v>296</v>
      </c>
      <c r="E162">
        <v>1435059</v>
      </c>
      <c r="F162">
        <v>1455171</v>
      </c>
      <c r="G162">
        <v>1471745</v>
      </c>
      <c r="H162">
        <v>1488737</v>
      </c>
      <c r="I162">
        <v>1510900</v>
      </c>
      <c r="J162">
        <v>1533466</v>
      </c>
      <c r="K162">
        <v>1557349</v>
      </c>
      <c r="L162">
        <v>1582492</v>
      </c>
      <c r="M162">
        <v>1608930</v>
      </c>
      <c r="N162">
        <v>1636345</v>
      </c>
      <c r="O162">
        <v>1664208</v>
      </c>
      <c r="P162">
        <v>1691216</v>
      </c>
      <c r="Q162">
        <v>1717395</v>
      </c>
      <c r="R162">
        <v>1743816</v>
      </c>
      <c r="S162">
        <v>1770545</v>
      </c>
      <c r="T162">
        <v>1797972</v>
      </c>
      <c r="U162">
        <v>1825830</v>
      </c>
      <c r="V162">
        <v>1853138</v>
      </c>
      <c r="W162">
        <v>1879847</v>
      </c>
      <c r="X162">
        <v>1906523</v>
      </c>
      <c r="Y162">
        <v>1933038</v>
      </c>
      <c r="Z162">
        <v>1959065</v>
      </c>
      <c r="AA162">
        <v>1978956</v>
      </c>
      <c r="AB162">
        <v>1991901</v>
      </c>
      <c r="AC162">
        <v>2003399</v>
      </c>
      <c r="AD162">
        <v>2014331</v>
      </c>
      <c r="AE162">
        <v>2024732</v>
      </c>
      <c r="AF162">
        <v>2035157</v>
      </c>
      <c r="AG162">
        <v>2045737</v>
      </c>
      <c r="AH162">
        <v>2055649</v>
      </c>
      <c r="AI162">
        <v>2063689</v>
      </c>
      <c r="AJ162">
        <v>2055994</v>
      </c>
      <c r="AK162">
        <v>2032523</v>
      </c>
      <c r="AL162">
        <v>2006854</v>
      </c>
      <c r="AM162">
        <v>1992666</v>
      </c>
      <c r="AN162">
        <v>1998534</v>
      </c>
      <c r="AO162">
        <v>2012553</v>
      </c>
      <c r="AP162">
        <v>1996869</v>
      </c>
      <c r="AQ162">
        <v>2007523</v>
      </c>
      <c r="AR162">
        <v>2017142</v>
      </c>
      <c r="AS162">
        <v>2026350</v>
      </c>
      <c r="AT162">
        <v>2034882</v>
      </c>
      <c r="AU162">
        <v>2020157</v>
      </c>
      <c r="AV162">
        <v>2022725</v>
      </c>
      <c r="AW162">
        <v>2016186</v>
      </c>
      <c r="AX162">
        <v>2005330</v>
      </c>
      <c r="AY162">
        <v>1994287</v>
      </c>
      <c r="AZ162">
        <v>1982933</v>
      </c>
      <c r="BA162">
        <v>1971493</v>
      </c>
      <c r="BB162">
        <v>1958782</v>
      </c>
      <c r="BC162">
        <v>1946298</v>
      </c>
      <c r="BD162">
        <v>1937398</v>
      </c>
      <c r="BE162">
        <v>1929821</v>
      </c>
      <c r="BF162">
        <v>1922716</v>
      </c>
      <c r="BG162">
        <v>1917557</v>
      </c>
      <c r="BH162">
        <v>1912430</v>
      </c>
      <c r="BI162">
        <v>1906313</v>
      </c>
      <c r="BJ162">
        <v>1898657</v>
      </c>
      <c r="BK162">
        <v>1889051</v>
      </c>
      <c r="BL162">
        <v>1876262</v>
      </c>
      <c r="BM162">
        <v>1856124</v>
      </c>
      <c r="BN162">
        <v>1837114</v>
      </c>
      <c r="BO162">
        <v>1831712</v>
      </c>
      <c r="BP162">
        <v>1827816</v>
      </c>
      <c r="BQ162">
        <v>1824359</v>
      </c>
      <c r="BR162">
        <v>1820909</v>
      </c>
    </row>
    <row r="163" spans="1:70" x14ac:dyDescent="0.35">
      <c r="A163" t="s">
        <v>594</v>
      </c>
      <c r="B163" t="s">
        <v>595</v>
      </c>
      <c r="C163" t="s">
        <v>295</v>
      </c>
      <c r="D163" t="s">
        <v>296</v>
      </c>
      <c r="E163">
        <v>5402550</v>
      </c>
      <c r="F163">
        <v>5482283</v>
      </c>
      <c r="G163">
        <v>5563917</v>
      </c>
      <c r="H163">
        <v>5646605</v>
      </c>
      <c r="I163">
        <v>5730125</v>
      </c>
      <c r="J163">
        <v>5815487</v>
      </c>
      <c r="K163">
        <v>5902204</v>
      </c>
      <c r="L163">
        <v>5990906</v>
      </c>
      <c r="M163">
        <v>6082979</v>
      </c>
      <c r="N163">
        <v>6177704</v>
      </c>
      <c r="O163">
        <v>6276472</v>
      </c>
      <c r="P163">
        <v>6377944</v>
      </c>
      <c r="Q163">
        <v>6483726</v>
      </c>
      <c r="R163">
        <v>6597106</v>
      </c>
      <c r="S163">
        <v>6715436</v>
      </c>
      <c r="T163">
        <v>6837261</v>
      </c>
      <c r="U163">
        <v>6960979</v>
      </c>
      <c r="V163">
        <v>7090979</v>
      </c>
      <c r="W163">
        <v>7229651</v>
      </c>
      <c r="X163">
        <v>7375266</v>
      </c>
      <c r="Y163">
        <v>7530515</v>
      </c>
      <c r="Z163">
        <v>7692766</v>
      </c>
      <c r="AA163">
        <v>7860194</v>
      </c>
      <c r="AB163">
        <v>8034400</v>
      </c>
      <c r="AC163">
        <v>8208599</v>
      </c>
      <c r="AD163">
        <v>8374663</v>
      </c>
      <c r="AE163">
        <v>8531277</v>
      </c>
      <c r="AF163">
        <v>8681164</v>
      </c>
      <c r="AG163">
        <v>8833996</v>
      </c>
      <c r="AH163">
        <v>8999938</v>
      </c>
      <c r="AI163">
        <v>9178830</v>
      </c>
      <c r="AJ163">
        <v>9362888</v>
      </c>
      <c r="AK163">
        <v>9553540</v>
      </c>
      <c r="AL163">
        <v>9754786</v>
      </c>
      <c r="AM163">
        <v>9967031</v>
      </c>
      <c r="AN163">
        <v>10185365</v>
      </c>
      <c r="AO163">
        <v>10407278</v>
      </c>
      <c r="AP163">
        <v>10646495</v>
      </c>
      <c r="AQ163">
        <v>10919573</v>
      </c>
      <c r="AR163">
        <v>11227415</v>
      </c>
      <c r="AS163">
        <v>11559290</v>
      </c>
      <c r="AT163">
        <v>11912158</v>
      </c>
      <c r="AU163">
        <v>12288050</v>
      </c>
      <c r="AV163">
        <v>12684955</v>
      </c>
      <c r="AW163">
        <v>13102409</v>
      </c>
      <c r="AX163">
        <v>13538647</v>
      </c>
      <c r="AY163">
        <v>13990139</v>
      </c>
      <c r="AZ163">
        <v>14457775</v>
      </c>
      <c r="BA163">
        <v>14940782</v>
      </c>
      <c r="BB163">
        <v>15435539</v>
      </c>
      <c r="BC163">
        <v>15945198</v>
      </c>
      <c r="BD163">
        <v>16469049</v>
      </c>
      <c r="BE163">
        <v>16957033</v>
      </c>
      <c r="BF163">
        <v>17459615</v>
      </c>
      <c r="BG163">
        <v>18020267</v>
      </c>
      <c r="BH163">
        <v>18593022</v>
      </c>
      <c r="BI163">
        <v>19191289</v>
      </c>
      <c r="BJ163">
        <v>19813011</v>
      </c>
      <c r="BK163">
        <v>20442030</v>
      </c>
      <c r="BL163">
        <v>21068405</v>
      </c>
      <c r="BM163">
        <v>21713836</v>
      </c>
      <c r="BN163">
        <v>22388630</v>
      </c>
      <c r="BO163">
        <v>23072640</v>
      </c>
      <c r="BP163">
        <v>23769127</v>
      </c>
      <c r="BQ163">
        <v>24478595</v>
      </c>
      <c r="BR163">
        <v>25198821</v>
      </c>
    </row>
    <row r="164" spans="1:70" x14ac:dyDescent="0.35">
      <c r="A164" t="s">
        <v>596</v>
      </c>
      <c r="B164" t="s">
        <v>597</v>
      </c>
      <c r="C164" t="s">
        <v>295</v>
      </c>
      <c r="D164" t="s">
        <v>296</v>
      </c>
      <c r="E164">
        <v>326550</v>
      </c>
      <c r="F164">
        <v>325250</v>
      </c>
      <c r="G164">
        <v>323900</v>
      </c>
      <c r="H164">
        <v>322550</v>
      </c>
      <c r="I164">
        <v>321250</v>
      </c>
      <c r="J164">
        <v>318800</v>
      </c>
      <c r="K164">
        <v>315200</v>
      </c>
      <c r="L164">
        <v>311550</v>
      </c>
      <c r="M164">
        <v>307900</v>
      </c>
      <c r="N164">
        <v>304300</v>
      </c>
      <c r="O164">
        <v>302650</v>
      </c>
      <c r="P164">
        <v>302700</v>
      </c>
      <c r="Q164">
        <v>302450</v>
      </c>
      <c r="R164">
        <v>302200</v>
      </c>
      <c r="S164">
        <v>301996</v>
      </c>
      <c r="T164">
        <v>304222</v>
      </c>
      <c r="U164">
        <v>305774</v>
      </c>
      <c r="V164">
        <v>306970</v>
      </c>
      <c r="W164">
        <v>310182</v>
      </c>
      <c r="X164">
        <v>313342</v>
      </c>
      <c r="Y164">
        <v>316645</v>
      </c>
      <c r="Z164">
        <v>318982</v>
      </c>
      <c r="AA164">
        <v>325898</v>
      </c>
      <c r="AB164">
        <v>330524</v>
      </c>
      <c r="AC164">
        <v>330593</v>
      </c>
      <c r="AD164">
        <v>336452</v>
      </c>
      <c r="AE164">
        <v>342121</v>
      </c>
      <c r="AF164">
        <v>344485</v>
      </c>
      <c r="AG164">
        <v>347325</v>
      </c>
      <c r="AH164">
        <v>350722</v>
      </c>
      <c r="AI164">
        <v>354170</v>
      </c>
      <c r="AJ164">
        <v>363845</v>
      </c>
      <c r="AK164">
        <v>367618</v>
      </c>
      <c r="AL164">
        <v>371308</v>
      </c>
      <c r="AM164">
        <v>374797</v>
      </c>
      <c r="AN164">
        <v>377419</v>
      </c>
      <c r="AO164">
        <v>379905</v>
      </c>
      <c r="AP164">
        <v>382791</v>
      </c>
      <c r="AQ164">
        <v>385287</v>
      </c>
      <c r="AR164">
        <v>387578</v>
      </c>
      <c r="AS164">
        <v>390087</v>
      </c>
      <c r="AT164">
        <v>393028</v>
      </c>
      <c r="AU164">
        <v>395969</v>
      </c>
      <c r="AV164">
        <v>398582</v>
      </c>
      <c r="AW164">
        <v>401268</v>
      </c>
      <c r="AX164">
        <v>403834</v>
      </c>
      <c r="AY164">
        <v>405308</v>
      </c>
      <c r="AZ164">
        <v>406724</v>
      </c>
      <c r="BA164">
        <v>409379</v>
      </c>
      <c r="BB164">
        <v>412477</v>
      </c>
      <c r="BC164">
        <v>414508</v>
      </c>
      <c r="BD164">
        <v>416268</v>
      </c>
      <c r="BE164">
        <v>420028</v>
      </c>
      <c r="BF164">
        <v>424810</v>
      </c>
      <c r="BG164">
        <v>433481</v>
      </c>
      <c r="BH164">
        <v>444220</v>
      </c>
      <c r="BI164">
        <v>454505</v>
      </c>
      <c r="BJ164">
        <v>467106</v>
      </c>
      <c r="BK164">
        <v>483903</v>
      </c>
      <c r="BL164">
        <v>503912</v>
      </c>
      <c r="BM164">
        <v>515490</v>
      </c>
      <c r="BN164">
        <v>518150</v>
      </c>
      <c r="BO164">
        <v>531113</v>
      </c>
      <c r="BP164">
        <v>552747</v>
      </c>
      <c r="BQ164">
        <v>568847</v>
      </c>
      <c r="BR164">
        <v>579704</v>
      </c>
    </row>
    <row r="165" spans="1:70" x14ac:dyDescent="0.35">
      <c r="A165" t="s">
        <v>598</v>
      </c>
      <c r="B165" t="s">
        <v>599</v>
      </c>
      <c r="C165" t="s">
        <v>295</v>
      </c>
      <c r="D165" t="s">
        <v>296</v>
      </c>
      <c r="E165">
        <v>21730250</v>
      </c>
      <c r="F165">
        <v>22210581</v>
      </c>
      <c r="G165">
        <v>22704719</v>
      </c>
      <c r="H165">
        <v>23213408</v>
      </c>
      <c r="I165">
        <v>23737315</v>
      </c>
      <c r="J165">
        <v>24279431</v>
      </c>
      <c r="K165">
        <v>24836496</v>
      </c>
      <c r="L165">
        <v>25406429</v>
      </c>
      <c r="M165">
        <v>25989662</v>
      </c>
      <c r="N165">
        <v>26585112</v>
      </c>
      <c r="O165">
        <v>27193016</v>
      </c>
      <c r="P165">
        <v>27807219</v>
      </c>
      <c r="Q165">
        <v>28428324</v>
      </c>
      <c r="R165">
        <v>29026388</v>
      </c>
      <c r="S165">
        <v>29598167</v>
      </c>
      <c r="T165">
        <v>30176565</v>
      </c>
      <c r="U165">
        <v>30758811</v>
      </c>
      <c r="V165">
        <v>31355966</v>
      </c>
      <c r="W165">
        <v>31972976</v>
      </c>
      <c r="X165">
        <v>32596550</v>
      </c>
      <c r="Y165">
        <v>33227204</v>
      </c>
      <c r="Z165">
        <v>33858783</v>
      </c>
      <c r="AA165">
        <v>34482965</v>
      </c>
      <c r="AB165">
        <v>35162715</v>
      </c>
      <c r="AC165">
        <v>35899313</v>
      </c>
      <c r="AD165">
        <v>36622827</v>
      </c>
      <c r="AE165">
        <v>37314878</v>
      </c>
      <c r="AF165">
        <v>37971594</v>
      </c>
      <c r="AG165">
        <v>38600927</v>
      </c>
      <c r="AH165">
        <v>39214618</v>
      </c>
      <c r="AI165">
        <v>39817251</v>
      </c>
      <c r="AJ165">
        <v>40394154</v>
      </c>
      <c r="AK165">
        <v>40950342</v>
      </c>
      <c r="AL165">
        <v>41502429</v>
      </c>
      <c r="AM165">
        <v>42055143</v>
      </c>
      <c r="AN165">
        <v>42605338</v>
      </c>
      <c r="AO165">
        <v>43154860</v>
      </c>
      <c r="AP165">
        <v>43708798</v>
      </c>
      <c r="AQ165">
        <v>44257793</v>
      </c>
      <c r="AR165">
        <v>44787724</v>
      </c>
      <c r="AS165">
        <v>45290841</v>
      </c>
      <c r="AT165">
        <v>45771139</v>
      </c>
      <c r="AU165">
        <v>46232653</v>
      </c>
      <c r="AV165">
        <v>46667192</v>
      </c>
      <c r="AW165">
        <v>47068772</v>
      </c>
      <c r="AX165">
        <v>47438365</v>
      </c>
      <c r="AY165">
        <v>47785135</v>
      </c>
      <c r="AZ165">
        <v>48125043</v>
      </c>
      <c r="BA165">
        <v>48390793</v>
      </c>
      <c r="BB165">
        <v>48660459</v>
      </c>
      <c r="BC165">
        <v>49024382</v>
      </c>
      <c r="BD165">
        <v>49419820</v>
      </c>
      <c r="BE165">
        <v>49837446</v>
      </c>
      <c r="BF165">
        <v>50262658</v>
      </c>
      <c r="BG165">
        <v>50681634</v>
      </c>
      <c r="BH165">
        <v>51089056</v>
      </c>
      <c r="BI165">
        <v>51495696</v>
      </c>
      <c r="BJ165">
        <v>51894938</v>
      </c>
      <c r="BK165">
        <v>52272247</v>
      </c>
      <c r="BL165">
        <v>52640713</v>
      </c>
      <c r="BM165">
        <v>53016522</v>
      </c>
      <c r="BN165">
        <v>53387102</v>
      </c>
      <c r="BO165">
        <v>53756787</v>
      </c>
      <c r="BP165">
        <v>54133798</v>
      </c>
      <c r="BQ165">
        <v>54500091</v>
      </c>
      <c r="BR165">
        <v>54850648</v>
      </c>
    </row>
    <row r="166" spans="1:70" x14ac:dyDescent="0.35">
      <c r="A166" t="s">
        <v>600</v>
      </c>
      <c r="B166" t="s">
        <v>601</v>
      </c>
      <c r="C166" t="s">
        <v>295</v>
      </c>
      <c r="D166" t="s">
        <v>296</v>
      </c>
      <c r="E166">
        <v>151883053</v>
      </c>
      <c r="F166">
        <v>155796245</v>
      </c>
      <c r="G166">
        <v>159849264</v>
      </c>
      <c r="H166">
        <v>164082777</v>
      </c>
      <c r="I166">
        <v>168474397</v>
      </c>
      <c r="J166">
        <v>173012080</v>
      </c>
      <c r="K166">
        <v>177756891</v>
      </c>
      <c r="L166">
        <v>182734055</v>
      </c>
      <c r="M166">
        <v>187877692</v>
      </c>
      <c r="N166">
        <v>193184368</v>
      </c>
      <c r="O166">
        <v>198631041</v>
      </c>
      <c r="P166">
        <v>204099318</v>
      </c>
      <c r="Q166">
        <v>209697605</v>
      </c>
      <c r="R166">
        <v>215569107</v>
      </c>
      <c r="S166">
        <v>221668657</v>
      </c>
      <c r="T166">
        <v>228187384</v>
      </c>
      <c r="U166">
        <v>235058983</v>
      </c>
      <c r="V166">
        <v>242098387</v>
      </c>
      <c r="W166">
        <v>249392069</v>
      </c>
      <c r="X166">
        <v>256976193</v>
      </c>
      <c r="Y166">
        <v>264948525</v>
      </c>
      <c r="Z166">
        <v>273288518</v>
      </c>
      <c r="AA166">
        <v>281844787</v>
      </c>
      <c r="AB166">
        <v>290721921</v>
      </c>
      <c r="AC166">
        <v>300042126</v>
      </c>
      <c r="AD166">
        <v>309566339</v>
      </c>
      <c r="AE166">
        <v>319257806</v>
      </c>
      <c r="AF166">
        <v>329101677</v>
      </c>
      <c r="AG166">
        <v>339013669</v>
      </c>
      <c r="AH166">
        <v>349120795</v>
      </c>
      <c r="AI166">
        <v>361322200</v>
      </c>
      <c r="AJ166">
        <v>371610655</v>
      </c>
      <c r="AK166">
        <v>381995940</v>
      </c>
      <c r="AL166">
        <v>392371485</v>
      </c>
      <c r="AM166">
        <v>402475400</v>
      </c>
      <c r="AN166">
        <v>412447289</v>
      </c>
      <c r="AO166">
        <v>422368926</v>
      </c>
      <c r="AP166">
        <v>432334916</v>
      </c>
      <c r="AQ166">
        <v>442475967</v>
      </c>
      <c r="AR166">
        <v>452793419</v>
      </c>
      <c r="AS166">
        <v>462980522</v>
      </c>
      <c r="AT166">
        <v>473223662</v>
      </c>
      <c r="AU166">
        <v>483540516</v>
      </c>
      <c r="AV166">
        <v>494288606</v>
      </c>
      <c r="AW166">
        <v>505618583</v>
      </c>
      <c r="AX166">
        <v>517240777</v>
      </c>
      <c r="AY166">
        <v>529158464</v>
      </c>
      <c r="AZ166">
        <v>540838105</v>
      </c>
      <c r="BA166">
        <v>552681993</v>
      </c>
      <c r="BB166">
        <v>565038251</v>
      </c>
      <c r="BC166">
        <v>577396038</v>
      </c>
      <c r="BD166">
        <v>589646039</v>
      </c>
      <c r="BE166">
        <v>601566988</v>
      </c>
      <c r="BF166">
        <v>613151287</v>
      </c>
      <c r="BG166">
        <v>624564062</v>
      </c>
      <c r="BH166">
        <v>635352686</v>
      </c>
      <c r="BI166">
        <v>645837915</v>
      </c>
      <c r="BJ166">
        <v>656767614</v>
      </c>
      <c r="BK166">
        <v>668447432</v>
      </c>
      <c r="BL166">
        <v>680490997</v>
      </c>
      <c r="BM166">
        <v>692532027</v>
      </c>
      <c r="BN166">
        <v>704458802</v>
      </c>
      <c r="BO166">
        <v>716508657</v>
      </c>
      <c r="BP166">
        <v>729077445</v>
      </c>
      <c r="BQ166">
        <v>741690916</v>
      </c>
      <c r="BR166">
        <v>753903407</v>
      </c>
    </row>
    <row r="167" spans="1:70" x14ac:dyDescent="0.35">
      <c r="A167" t="s">
        <v>602</v>
      </c>
      <c r="B167" t="s">
        <v>603</v>
      </c>
      <c r="C167" t="s">
        <v>295</v>
      </c>
      <c r="D167" t="s">
        <v>296</v>
      </c>
      <c r="E167">
        <v>480579</v>
      </c>
      <c r="F167">
        <v>491140</v>
      </c>
      <c r="G167">
        <v>502558</v>
      </c>
      <c r="H167">
        <v>513409</v>
      </c>
      <c r="I167">
        <v>521753</v>
      </c>
      <c r="J167">
        <v>526327</v>
      </c>
      <c r="K167">
        <v>526419</v>
      </c>
      <c r="L167">
        <v>522796</v>
      </c>
      <c r="M167">
        <v>517481</v>
      </c>
      <c r="N167">
        <v>513340</v>
      </c>
      <c r="O167">
        <v>512407</v>
      </c>
      <c r="P167">
        <v>515449</v>
      </c>
      <c r="Q167">
        <v>521785</v>
      </c>
      <c r="R167">
        <v>530220</v>
      </c>
      <c r="S167">
        <v>538902</v>
      </c>
      <c r="T167">
        <v>546487</v>
      </c>
      <c r="U167">
        <v>552562</v>
      </c>
      <c r="V167">
        <v>557576</v>
      </c>
      <c r="W167">
        <v>562065</v>
      </c>
      <c r="X167">
        <v>566888</v>
      </c>
      <c r="Y167">
        <v>572608</v>
      </c>
      <c r="Z167">
        <v>579445</v>
      </c>
      <c r="AA167">
        <v>587001</v>
      </c>
      <c r="AB167">
        <v>594506</v>
      </c>
      <c r="AC167">
        <v>600884</v>
      </c>
      <c r="AD167">
        <v>605398</v>
      </c>
      <c r="AE167">
        <v>607711</v>
      </c>
      <c r="AF167">
        <v>608144</v>
      </c>
      <c r="AG167">
        <v>607413</v>
      </c>
      <c r="AH167">
        <v>606571</v>
      </c>
      <c r="AI167">
        <v>606372</v>
      </c>
      <c r="AJ167">
        <v>607105</v>
      </c>
      <c r="AK167">
        <v>608516</v>
      </c>
      <c r="AL167">
        <v>610170</v>
      </c>
      <c r="AM167">
        <v>611389</v>
      </c>
      <c r="AN167">
        <v>611712</v>
      </c>
      <c r="AO167">
        <v>611003</v>
      </c>
      <c r="AP167">
        <v>609520</v>
      </c>
      <c r="AQ167">
        <v>607662</v>
      </c>
      <c r="AR167">
        <v>606001</v>
      </c>
      <c r="AS167">
        <v>604950</v>
      </c>
      <c r="AT167">
        <v>607389</v>
      </c>
      <c r="AU167">
        <v>609828</v>
      </c>
      <c r="AV167">
        <v>612267</v>
      </c>
      <c r="AW167">
        <v>613353</v>
      </c>
      <c r="AX167">
        <v>614261</v>
      </c>
      <c r="AY167">
        <v>615025</v>
      </c>
      <c r="AZ167">
        <v>615875</v>
      </c>
      <c r="BA167">
        <v>616969</v>
      </c>
      <c r="BB167">
        <v>618294</v>
      </c>
      <c r="BC167">
        <v>619428</v>
      </c>
      <c r="BD167">
        <v>620345</v>
      </c>
      <c r="BE167">
        <v>621418</v>
      </c>
      <c r="BF167">
        <v>622587</v>
      </c>
      <c r="BG167">
        <v>623744</v>
      </c>
      <c r="BH167">
        <v>624651</v>
      </c>
      <c r="BI167">
        <v>625353</v>
      </c>
      <c r="BJ167">
        <v>625982</v>
      </c>
      <c r="BK167">
        <v>626438</v>
      </c>
      <c r="BL167">
        <v>626753</v>
      </c>
      <c r="BM167">
        <v>626590</v>
      </c>
      <c r="BN167">
        <v>625053</v>
      </c>
      <c r="BO167">
        <v>623591</v>
      </c>
      <c r="BP167">
        <v>623529</v>
      </c>
      <c r="BQ167">
        <v>623525</v>
      </c>
      <c r="BR167">
        <v>623129</v>
      </c>
    </row>
    <row r="168" spans="1:70" x14ac:dyDescent="0.35">
      <c r="A168" t="s">
        <v>604</v>
      </c>
      <c r="B168" t="s">
        <v>605</v>
      </c>
      <c r="C168" t="s">
        <v>295</v>
      </c>
      <c r="D168" t="s">
        <v>296</v>
      </c>
      <c r="E168">
        <v>977595</v>
      </c>
      <c r="F168">
        <v>1009284</v>
      </c>
      <c r="G168">
        <v>1041444</v>
      </c>
      <c r="H168">
        <v>1071362</v>
      </c>
      <c r="I168">
        <v>1100234</v>
      </c>
      <c r="J168">
        <v>1131177</v>
      </c>
      <c r="K168">
        <v>1163754</v>
      </c>
      <c r="L168">
        <v>1196996</v>
      </c>
      <c r="M168">
        <v>1229930</v>
      </c>
      <c r="N168">
        <v>1262284</v>
      </c>
      <c r="O168">
        <v>1295272</v>
      </c>
      <c r="P168">
        <v>1330071</v>
      </c>
      <c r="Q168">
        <v>1366821</v>
      </c>
      <c r="R168">
        <v>1405502</v>
      </c>
      <c r="S168">
        <v>1446050</v>
      </c>
      <c r="T168">
        <v>1488296</v>
      </c>
      <c r="U168">
        <v>1531945</v>
      </c>
      <c r="V168">
        <v>1576245</v>
      </c>
      <c r="W168">
        <v>1619468</v>
      </c>
      <c r="X168">
        <v>1660659</v>
      </c>
      <c r="Y168">
        <v>1701335</v>
      </c>
      <c r="Z168">
        <v>1742857</v>
      </c>
      <c r="AA168">
        <v>1785364</v>
      </c>
      <c r="AB168">
        <v>1829092</v>
      </c>
      <c r="AC168">
        <v>1874349</v>
      </c>
      <c r="AD168">
        <v>1921514</v>
      </c>
      <c r="AE168">
        <v>1970965</v>
      </c>
      <c r="AF168">
        <v>2022800</v>
      </c>
      <c r="AG168">
        <v>2076322</v>
      </c>
      <c r="AH168">
        <v>2124185</v>
      </c>
      <c r="AI168">
        <v>2098710</v>
      </c>
      <c r="AJ168">
        <v>2165342</v>
      </c>
      <c r="AK168">
        <v>2167790</v>
      </c>
      <c r="AL168">
        <v>2165130</v>
      </c>
      <c r="AM168">
        <v>2189395</v>
      </c>
      <c r="AN168">
        <v>2224945</v>
      </c>
      <c r="AO168">
        <v>2259507</v>
      </c>
      <c r="AP168">
        <v>2291750</v>
      </c>
      <c r="AQ168">
        <v>2323809</v>
      </c>
      <c r="AR168">
        <v>2356813</v>
      </c>
      <c r="AS168">
        <v>2388299</v>
      </c>
      <c r="AT168">
        <v>2417751</v>
      </c>
      <c r="AU168">
        <v>2449027</v>
      </c>
      <c r="AV168">
        <v>2480374</v>
      </c>
      <c r="AW168">
        <v>2508412</v>
      </c>
      <c r="AX168">
        <v>2536407</v>
      </c>
      <c r="AY168">
        <v>2567168</v>
      </c>
      <c r="AZ168">
        <v>2601850</v>
      </c>
      <c r="BA168">
        <v>2643201</v>
      </c>
      <c r="BB168">
        <v>2691115</v>
      </c>
      <c r="BC168">
        <v>2738622</v>
      </c>
      <c r="BD168">
        <v>2786317</v>
      </c>
      <c r="BE168">
        <v>2839705</v>
      </c>
      <c r="BF168">
        <v>2899011</v>
      </c>
      <c r="BG168">
        <v>2963113</v>
      </c>
      <c r="BH168">
        <v>3026864</v>
      </c>
      <c r="BI168">
        <v>3088856</v>
      </c>
      <c r="BJ168">
        <v>3148917</v>
      </c>
      <c r="BK168">
        <v>3208189</v>
      </c>
      <c r="BL168">
        <v>3267673</v>
      </c>
      <c r="BM168">
        <v>3327204</v>
      </c>
      <c r="BN168">
        <v>3383741</v>
      </c>
      <c r="BO168">
        <v>3433748</v>
      </c>
      <c r="BP168">
        <v>3481145</v>
      </c>
      <c r="BQ168">
        <v>3524788</v>
      </c>
      <c r="BR168">
        <v>3568978</v>
      </c>
    </row>
    <row r="169" spans="1:70" x14ac:dyDescent="0.35">
      <c r="A169" t="s">
        <v>606</v>
      </c>
      <c r="B169" t="s">
        <v>607</v>
      </c>
      <c r="C169" t="s">
        <v>295</v>
      </c>
      <c r="D169" t="s">
        <v>296</v>
      </c>
      <c r="E169">
        <v>8736</v>
      </c>
      <c r="F169">
        <v>8995</v>
      </c>
      <c r="G169">
        <v>9280</v>
      </c>
      <c r="H169">
        <v>9595</v>
      </c>
      <c r="I169">
        <v>9925</v>
      </c>
      <c r="J169">
        <v>10264</v>
      </c>
      <c r="K169">
        <v>10612</v>
      </c>
      <c r="L169">
        <v>10749</v>
      </c>
      <c r="M169">
        <v>10468</v>
      </c>
      <c r="N169">
        <v>9989</v>
      </c>
      <c r="O169">
        <v>10170</v>
      </c>
      <c r="P169">
        <v>11271</v>
      </c>
      <c r="Q169">
        <v>12636</v>
      </c>
      <c r="R169">
        <v>13880</v>
      </c>
      <c r="S169">
        <v>14655</v>
      </c>
      <c r="T169">
        <v>15065</v>
      </c>
      <c r="U169">
        <v>15438</v>
      </c>
      <c r="V169">
        <v>15787</v>
      </c>
      <c r="W169">
        <v>16130</v>
      </c>
      <c r="X169">
        <v>16488</v>
      </c>
      <c r="Y169">
        <v>17625</v>
      </c>
      <c r="Z169">
        <v>19826</v>
      </c>
      <c r="AA169">
        <v>22350</v>
      </c>
      <c r="AB169">
        <v>24936</v>
      </c>
      <c r="AC169">
        <v>27575</v>
      </c>
      <c r="AD169">
        <v>30258</v>
      </c>
      <c r="AE169">
        <v>32980</v>
      </c>
      <c r="AF169">
        <v>35736</v>
      </c>
      <c r="AG169">
        <v>38519</v>
      </c>
      <c r="AH169">
        <v>41303</v>
      </c>
      <c r="AI169">
        <v>43342</v>
      </c>
      <c r="AJ169">
        <v>44393</v>
      </c>
      <c r="AK169">
        <v>45181</v>
      </c>
      <c r="AL169">
        <v>45952</v>
      </c>
      <c r="AM169">
        <v>46730</v>
      </c>
      <c r="AN169">
        <v>48176</v>
      </c>
      <c r="AO169">
        <v>51706</v>
      </c>
      <c r="AP169">
        <v>56596</v>
      </c>
      <c r="AQ169">
        <v>61337</v>
      </c>
      <c r="AR169">
        <v>65916</v>
      </c>
      <c r="AS169">
        <v>68356</v>
      </c>
      <c r="AT169">
        <v>67984</v>
      </c>
      <c r="AU169">
        <v>66778</v>
      </c>
      <c r="AV169">
        <v>65421</v>
      </c>
      <c r="AW169">
        <v>63938</v>
      </c>
      <c r="AX169">
        <v>62354</v>
      </c>
      <c r="AY169">
        <v>60682</v>
      </c>
      <c r="AZ169">
        <v>58941</v>
      </c>
      <c r="BA169">
        <v>57150</v>
      </c>
      <c r="BB169">
        <v>55325</v>
      </c>
      <c r="BC169">
        <v>54091</v>
      </c>
      <c r="BD169">
        <v>53608</v>
      </c>
      <c r="BE169">
        <v>53234</v>
      </c>
      <c r="BF169">
        <v>52758</v>
      </c>
      <c r="BG169">
        <v>52178</v>
      </c>
      <c r="BH169">
        <v>51514</v>
      </c>
      <c r="BI169">
        <v>50773</v>
      </c>
      <c r="BJ169">
        <v>49959</v>
      </c>
      <c r="BK169">
        <v>49077</v>
      </c>
      <c r="BL169">
        <v>48129</v>
      </c>
      <c r="BM169">
        <v>47528</v>
      </c>
      <c r="BN169">
        <v>46979</v>
      </c>
      <c r="BO169">
        <v>46078</v>
      </c>
      <c r="BP169">
        <v>45143</v>
      </c>
      <c r="BQ169">
        <v>44278</v>
      </c>
      <c r="BR169">
        <v>43541</v>
      </c>
    </row>
    <row r="170" spans="1:70" x14ac:dyDescent="0.35">
      <c r="A170" t="s">
        <v>608</v>
      </c>
      <c r="B170" t="s">
        <v>609</v>
      </c>
      <c r="C170" t="s">
        <v>295</v>
      </c>
      <c r="D170" t="s">
        <v>296</v>
      </c>
      <c r="E170">
        <v>6713695</v>
      </c>
      <c r="F170">
        <v>6834936</v>
      </c>
      <c r="G170">
        <v>6969364</v>
      </c>
      <c r="H170">
        <v>7109828</v>
      </c>
      <c r="I170">
        <v>7255061</v>
      </c>
      <c r="J170">
        <v>7406421</v>
      </c>
      <c r="K170">
        <v>7562990</v>
      </c>
      <c r="L170">
        <v>7724550</v>
      </c>
      <c r="M170">
        <v>7892613</v>
      </c>
      <c r="N170">
        <v>8066951</v>
      </c>
      <c r="O170">
        <v>8250506</v>
      </c>
      <c r="P170">
        <v>8456317</v>
      </c>
      <c r="Q170">
        <v>8692935</v>
      </c>
      <c r="R170">
        <v>8954242</v>
      </c>
      <c r="S170">
        <v>9236093</v>
      </c>
      <c r="T170">
        <v>9540817</v>
      </c>
      <c r="U170">
        <v>9867209</v>
      </c>
      <c r="V170">
        <v>10224975</v>
      </c>
      <c r="W170">
        <v>10618250</v>
      </c>
      <c r="X170">
        <v>11028809</v>
      </c>
      <c r="Y170">
        <v>11336221</v>
      </c>
      <c r="Z170">
        <v>11568127</v>
      </c>
      <c r="AA170">
        <v>11824370</v>
      </c>
      <c r="AB170">
        <v>12073822</v>
      </c>
      <c r="AC170">
        <v>12315954</v>
      </c>
      <c r="AD170">
        <v>12548949</v>
      </c>
      <c r="AE170">
        <v>12770578</v>
      </c>
      <c r="AF170">
        <v>12822574</v>
      </c>
      <c r="AG170">
        <v>12800558</v>
      </c>
      <c r="AH170">
        <v>12906842</v>
      </c>
      <c r="AI170">
        <v>13094537</v>
      </c>
      <c r="AJ170">
        <v>13352090</v>
      </c>
      <c r="AK170">
        <v>13613316</v>
      </c>
      <c r="AL170">
        <v>14051192</v>
      </c>
      <c r="AM170">
        <v>15033853</v>
      </c>
      <c r="AN170">
        <v>15960530</v>
      </c>
      <c r="AO170">
        <v>16492480</v>
      </c>
      <c r="AP170">
        <v>16949982</v>
      </c>
      <c r="AQ170">
        <v>17340464</v>
      </c>
      <c r="AR170">
        <v>17734506</v>
      </c>
      <c r="AS170">
        <v>18129653</v>
      </c>
      <c r="AT170">
        <v>18537729</v>
      </c>
      <c r="AU170">
        <v>18958338</v>
      </c>
      <c r="AV170">
        <v>19392475</v>
      </c>
      <c r="AW170">
        <v>19840313</v>
      </c>
      <c r="AX170">
        <v>20304569</v>
      </c>
      <c r="AY170">
        <v>20787087</v>
      </c>
      <c r="AZ170">
        <v>21287635</v>
      </c>
      <c r="BA170">
        <v>21819036</v>
      </c>
      <c r="BB170">
        <v>22391745</v>
      </c>
      <c r="BC170">
        <v>22999235</v>
      </c>
      <c r="BD170">
        <v>23649039</v>
      </c>
      <c r="BE170">
        <v>24337846</v>
      </c>
      <c r="BF170">
        <v>25051611</v>
      </c>
      <c r="BG170">
        <v>25788475</v>
      </c>
      <c r="BH170">
        <v>26547572</v>
      </c>
      <c r="BI170">
        <v>27337105</v>
      </c>
      <c r="BJ170">
        <v>28166393</v>
      </c>
      <c r="BK170">
        <v>29018644</v>
      </c>
      <c r="BL170">
        <v>29884380</v>
      </c>
      <c r="BM170">
        <v>30783688</v>
      </c>
      <c r="BN170">
        <v>31707800</v>
      </c>
      <c r="BO170">
        <v>32656246</v>
      </c>
      <c r="BP170">
        <v>33635160</v>
      </c>
      <c r="BQ170">
        <v>34631766</v>
      </c>
      <c r="BR170">
        <v>35631653</v>
      </c>
    </row>
    <row r="171" spans="1:70" x14ac:dyDescent="0.35">
      <c r="A171" t="s">
        <v>610</v>
      </c>
      <c r="B171" t="s">
        <v>611</v>
      </c>
      <c r="C171" t="s">
        <v>295</v>
      </c>
      <c r="D171" t="s">
        <v>296</v>
      </c>
      <c r="E171">
        <v>824298</v>
      </c>
      <c r="F171">
        <v>846167</v>
      </c>
      <c r="G171">
        <v>869184</v>
      </c>
      <c r="H171">
        <v>893423</v>
      </c>
      <c r="I171">
        <v>918955</v>
      </c>
      <c r="J171">
        <v>945838</v>
      </c>
      <c r="K171">
        <v>974157</v>
      </c>
      <c r="L171">
        <v>1003843</v>
      </c>
      <c r="M171">
        <v>1034739</v>
      </c>
      <c r="N171">
        <v>1066754</v>
      </c>
      <c r="O171">
        <v>1099806</v>
      </c>
      <c r="P171">
        <v>1133702</v>
      </c>
      <c r="Q171">
        <v>1168355</v>
      </c>
      <c r="R171">
        <v>1203838</v>
      </c>
      <c r="S171">
        <v>1240188</v>
      </c>
      <c r="T171">
        <v>1277330</v>
      </c>
      <c r="U171">
        <v>1315336</v>
      </c>
      <c r="V171">
        <v>1353768</v>
      </c>
      <c r="W171">
        <v>1392713</v>
      </c>
      <c r="X171">
        <v>1432758</v>
      </c>
      <c r="Y171">
        <v>1474043</v>
      </c>
      <c r="Z171">
        <v>1516877</v>
      </c>
      <c r="AA171">
        <v>1561176</v>
      </c>
      <c r="AB171">
        <v>1606746</v>
      </c>
      <c r="AC171">
        <v>1653693</v>
      </c>
      <c r="AD171">
        <v>1702107</v>
      </c>
      <c r="AE171">
        <v>1751835</v>
      </c>
      <c r="AF171">
        <v>1803014</v>
      </c>
      <c r="AG171">
        <v>1855859</v>
      </c>
      <c r="AH171">
        <v>1903048</v>
      </c>
      <c r="AI171">
        <v>1951878</v>
      </c>
      <c r="AJ171">
        <v>2009738</v>
      </c>
      <c r="AK171">
        <v>2088135</v>
      </c>
      <c r="AL171">
        <v>2174328</v>
      </c>
      <c r="AM171">
        <v>2249454</v>
      </c>
      <c r="AN171">
        <v>2312017</v>
      </c>
      <c r="AO171">
        <v>2358188</v>
      </c>
      <c r="AP171">
        <v>2411306</v>
      </c>
      <c r="AQ171">
        <v>2474651</v>
      </c>
      <c r="AR171">
        <v>2541698</v>
      </c>
      <c r="AS171">
        <v>2613441</v>
      </c>
      <c r="AT171">
        <v>2678760</v>
      </c>
      <c r="AU171">
        <v>2738655</v>
      </c>
      <c r="AV171">
        <v>2802046</v>
      </c>
      <c r="AW171">
        <v>2868664</v>
      </c>
      <c r="AX171">
        <v>2939059</v>
      </c>
      <c r="AY171">
        <v>3013660</v>
      </c>
      <c r="AZ171">
        <v>3093059</v>
      </c>
      <c r="BA171">
        <v>3183269</v>
      </c>
      <c r="BB171">
        <v>3284448</v>
      </c>
      <c r="BC171">
        <v>3390965</v>
      </c>
      <c r="BD171">
        <v>3502811</v>
      </c>
      <c r="BE171">
        <v>3619034</v>
      </c>
      <c r="BF171">
        <v>3734318</v>
      </c>
      <c r="BG171">
        <v>3848514</v>
      </c>
      <c r="BH171">
        <v>3965959</v>
      </c>
      <c r="BI171">
        <v>4086657</v>
      </c>
      <c r="BJ171">
        <v>4210600</v>
      </c>
      <c r="BK171">
        <v>4337685</v>
      </c>
      <c r="BL171">
        <v>4467708</v>
      </c>
      <c r="BM171">
        <v>4600131</v>
      </c>
      <c r="BN171">
        <v>4734874</v>
      </c>
      <c r="BO171">
        <v>4875637</v>
      </c>
      <c r="BP171">
        <v>5022441</v>
      </c>
      <c r="BQ171">
        <v>5169395</v>
      </c>
      <c r="BR171">
        <v>5315065</v>
      </c>
    </row>
    <row r="172" spans="1:70" x14ac:dyDescent="0.35">
      <c r="A172" t="s">
        <v>612</v>
      </c>
      <c r="B172" t="s">
        <v>613</v>
      </c>
      <c r="C172" t="s">
        <v>295</v>
      </c>
      <c r="D172" t="s">
        <v>296</v>
      </c>
      <c r="E172">
        <v>680331</v>
      </c>
      <c r="F172">
        <v>680757</v>
      </c>
      <c r="G172">
        <v>700349</v>
      </c>
      <c r="H172">
        <v>718861</v>
      </c>
      <c r="I172">
        <v>736381</v>
      </c>
      <c r="J172">
        <v>753000</v>
      </c>
      <c r="K172">
        <v>768813</v>
      </c>
      <c r="L172">
        <v>783917</v>
      </c>
      <c r="M172">
        <v>798413</v>
      </c>
      <c r="N172">
        <v>812405</v>
      </c>
      <c r="O172">
        <v>826000</v>
      </c>
      <c r="P172">
        <v>839230</v>
      </c>
      <c r="Q172">
        <v>852053</v>
      </c>
      <c r="R172">
        <v>864819</v>
      </c>
      <c r="S172">
        <v>878042</v>
      </c>
      <c r="T172">
        <v>892000</v>
      </c>
      <c r="U172">
        <v>906507</v>
      </c>
      <c r="V172">
        <v>921379</v>
      </c>
      <c r="W172">
        <v>933499</v>
      </c>
      <c r="X172">
        <v>949888</v>
      </c>
      <c r="Y172">
        <v>966039</v>
      </c>
      <c r="Z172">
        <v>980462</v>
      </c>
      <c r="AA172">
        <v>992521</v>
      </c>
      <c r="AB172">
        <v>1001691</v>
      </c>
      <c r="AC172">
        <v>1012221</v>
      </c>
      <c r="AD172">
        <v>1020528</v>
      </c>
      <c r="AE172">
        <v>1028360</v>
      </c>
      <c r="AF172">
        <v>1036082</v>
      </c>
      <c r="AG172">
        <v>1043239</v>
      </c>
      <c r="AH172">
        <v>1051260</v>
      </c>
      <c r="AI172">
        <v>1058775</v>
      </c>
      <c r="AJ172">
        <v>1070266</v>
      </c>
      <c r="AK172">
        <v>1084441</v>
      </c>
      <c r="AL172">
        <v>1097374</v>
      </c>
      <c r="AM172">
        <v>1112846</v>
      </c>
      <c r="AN172">
        <v>1122457</v>
      </c>
      <c r="AO172">
        <v>1133996</v>
      </c>
      <c r="AP172">
        <v>1148284</v>
      </c>
      <c r="AQ172">
        <v>1160421</v>
      </c>
      <c r="AR172">
        <v>1175267</v>
      </c>
      <c r="AS172">
        <v>1186873</v>
      </c>
      <c r="AT172">
        <v>1196287</v>
      </c>
      <c r="AU172">
        <v>1204621</v>
      </c>
      <c r="AV172">
        <v>1213370</v>
      </c>
      <c r="AW172">
        <v>1221003</v>
      </c>
      <c r="AX172">
        <v>1228254</v>
      </c>
      <c r="AY172">
        <v>1233996</v>
      </c>
      <c r="AZ172">
        <v>1239630</v>
      </c>
      <c r="BA172">
        <v>1244121</v>
      </c>
      <c r="BB172">
        <v>1247429</v>
      </c>
      <c r="BC172">
        <v>1250400</v>
      </c>
      <c r="BD172">
        <v>1252404</v>
      </c>
      <c r="BE172">
        <v>1255882</v>
      </c>
      <c r="BF172">
        <v>1258927</v>
      </c>
      <c r="BG172">
        <v>1261208</v>
      </c>
      <c r="BH172">
        <v>1262879</v>
      </c>
      <c r="BI172">
        <v>1263747</v>
      </c>
      <c r="BJ172">
        <v>1264887</v>
      </c>
      <c r="BK172">
        <v>1265577</v>
      </c>
      <c r="BL172">
        <v>1265985</v>
      </c>
      <c r="BM172">
        <v>1266014</v>
      </c>
      <c r="BN172">
        <v>1266334</v>
      </c>
      <c r="BO172">
        <v>1262523</v>
      </c>
      <c r="BP172">
        <v>1248647</v>
      </c>
      <c r="BQ172">
        <v>1245779</v>
      </c>
      <c r="BR172">
        <v>1243741</v>
      </c>
    </row>
    <row r="173" spans="1:70" x14ac:dyDescent="0.35">
      <c r="A173" t="s">
        <v>614</v>
      </c>
      <c r="B173" t="s">
        <v>615</v>
      </c>
      <c r="C173" t="s">
        <v>295</v>
      </c>
      <c r="D173" t="s">
        <v>296</v>
      </c>
      <c r="E173">
        <v>3628134</v>
      </c>
      <c r="F173">
        <v>3715534</v>
      </c>
      <c r="G173">
        <v>3806307</v>
      </c>
      <c r="H173">
        <v>3900506</v>
      </c>
      <c r="I173">
        <v>3997305</v>
      </c>
      <c r="J173">
        <v>4096157</v>
      </c>
      <c r="K173">
        <v>4197926</v>
      </c>
      <c r="L173">
        <v>4303012</v>
      </c>
      <c r="M173">
        <v>4411054</v>
      </c>
      <c r="N173">
        <v>4521184</v>
      </c>
      <c r="O173">
        <v>4633944</v>
      </c>
      <c r="P173">
        <v>4751434</v>
      </c>
      <c r="Q173">
        <v>4874475</v>
      </c>
      <c r="R173">
        <v>5003938</v>
      </c>
      <c r="S173">
        <v>5141337</v>
      </c>
      <c r="T173">
        <v>5287367</v>
      </c>
      <c r="U173">
        <v>5443384</v>
      </c>
      <c r="V173">
        <v>5614983</v>
      </c>
      <c r="W173">
        <v>5810132</v>
      </c>
      <c r="X173">
        <v>6028749</v>
      </c>
      <c r="Y173">
        <v>6265529</v>
      </c>
      <c r="Z173">
        <v>6516454</v>
      </c>
      <c r="AA173">
        <v>6778879</v>
      </c>
      <c r="AB173">
        <v>7051709</v>
      </c>
      <c r="AC173">
        <v>7332810</v>
      </c>
      <c r="AD173">
        <v>7620508</v>
      </c>
      <c r="AE173">
        <v>7906480</v>
      </c>
      <c r="AF173">
        <v>8293174</v>
      </c>
      <c r="AG173">
        <v>8753262</v>
      </c>
      <c r="AH173">
        <v>9176220</v>
      </c>
      <c r="AI173">
        <v>9545852</v>
      </c>
      <c r="AJ173">
        <v>9844227</v>
      </c>
      <c r="AK173">
        <v>10135079</v>
      </c>
      <c r="AL173">
        <v>10284024</v>
      </c>
      <c r="AM173">
        <v>10164894</v>
      </c>
      <c r="AN173">
        <v>10150117</v>
      </c>
      <c r="AO173">
        <v>10352228</v>
      </c>
      <c r="AP173">
        <v>10562035</v>
      </c>
      <c r="AQ173">
        <v>10792876</v>
      </c>
      <c r="AR173">
        <v>11047804</v>
      </c>
      <c r="AS173">
        <v>11315942</v>
      </c>
      <c r="AT173">
        <v>11593058</v>
      </c>
      <c r="AU173">
        <v>11880440</v>
      </c>
      <c r="AV173">
        <v>12181574</v>
      </c>
      <c r="AW173">
        <v>12500737</v>
      </c>
      <c r="AX173">
        <v>12840031</v>
      </c>
      <c r="AY173">
        <v>13198701</v>
      </c>
      <c r="AZ173">
        <v>13576343</v>
      </c>
      <c r="BA173">
        <v>13976417</v>
      </c>
      <c r="BB173">
        <v>14395788</v>
      </c>
      <c r="BC173">
        <v>14826463</v>
      </c>
      <c r="BD173">
        <v>15265022</v>
      </c>
      <c r="BE173">
        <v>15709577</v>
      </c>
      <c r="BF173">
        <v>16161816</v>
      </c>
      <c r="BG173">
        <v>16621538</v>
      </c>
      <c r="BH173">
        <v>17085587</v>
      </c>
      <c r="BI173">
        <v>17557739</v>
      </c>
      <c r="BJ173">
        <v>18039715</v>
      </c>
      <c r="BK173">
        <v>18528081</v>
      </c>
      <c r="BL173">
        <v>19025752</v>
      </c>
      <c r="BM173">
        <v>19533888</v>
      </c>
      <c r="BN173">
        <v>20047258</v>
      </c>
      <c r="BO173">
        <v>20568728</v>
      </c>
      <c r="BP173">
        <v>21104482</v>
      </c>
      <c r="BQ173">
        <v>21655286</v>
      </c>
      <c r="BR173">
        <v>22216120</v>
      </c>
    </row>
    <row r="174" spans="1:70" x14ac:dyDescent="0.35">
      <c r="A174" t="s">
        <v>616</v>
      </c>
      <c r="B174" t="s">
        <v>617</v>
      </c>
      <c r="C174" t="s">
        <v>295</v>
      </c>
      <c r="D174" t="s">
        <v>296</v>
      </c>
      <c r="E174">
        <v>7956197</v>
      </c>
      <c r="F174">
        <v>8164443</v>
      </c>
      <c r="G174">
        <v>8380172</v>
      </c>
      <c r="H174">
        <v>8602160</v>
      </c>
      <c r="I174">
        <v>8828406</v>
      </c>
      <c r="J174">
        <v>9056408</v>
      </c>
      <c r="K174">
        <v>9284688</v>
      </c>
      <c r="L174">
        <v>9507099</v>
      </c>
      <c r="M174">
        <v>9725281</v>
      </c>
      <c r="N174">
        <v>9947597</v>
      </c>
      <c r="O174">
        <v>10178802</v>
      </c>
      <c r="P174">
        <v>10423453</v>
      </c>
      <c r="Q174">
        <v>10676835</v>
      </c>
      <c r="R174">
        <v>10935621</v>
      </c>
      <c r="S174">
        <v>11200906</v>
      </c>
      <c r="T174">
        <v>11471914</v>
      </c>
      <c r="U174">
        <v>11750097</v>
      </c>
      <c r="V174">
        <v>12035713</v>
      </c>
      <c r="W174">
        <v>12328157</v>
      </c>
      <c r="X174">
        <v>12627862</v>
      </c>
      <c r="Y174">
        <v>12983363</v>
      </c>
      <c r="Z174">
        <v>13399203</v>
      </c>
      <c r="AA174">
        <v>13832798</v>
      </c>
      <c r="AB174">
        <v>14285907</v>
      </c>
      <c r="AC174">
        <v>14759009</v>
      </c>
      <c r="AD174">
        <v>15252258</v>
      </c>
      <c r="AE174">
        <v>15760419</v>
      </c>
      <c r="AF174">
        <v>16276737</v>
      </c>
      <c r="AG174">
        <v>16796605</v>
      </c>
      <c r="AH174">
        <v>17314997</v>
      </c>
      <c r="AI174">
        <v>17833171</v>
      </c>
      <c r="AJ174">
        <v>18342464</v>
      </c>
      <c r="AK174">
        <v>18834572</v>
      </c>
      <c r="AL174">
        <v>19322664</v>
      </c>
      <c r="AM174">
        <v>19820446</v>
      </c>
      <c r="AN174">
        <v>20330599</v>
      </c>
      <c r="AO174">
        <v>20850087</v>
      </c>
      <c r="AP174">
        <v>21375218</v>
      </c>
      <c r="AQ174">
        <v>21906713</v>
      </c>
      <c r="AR174">
        <v>22435531</v>
      </c>
      <c r="AS174">
        <v>22967816</v>
      </c>
      <c r="AT174">
        <v>23526538</v>
      </c>
      <c r="AU174">
        <v>24102477</v>
      </c>
      <c r="AV174">
        <v>24679602</v>
      </c>
      <c r="AW174">
        <v>25256772</v>
      </c>
      <c r="AX174">
        <v>25836071</v>
      </c>
      <c r="AY174">
        <v>26417909</v>
      </c>
      <c r="AZ174">
        <v>26998389</v>
      </c>
      <c r="BA174">
        <v>27570059</v>
      </c>
      <c r="BB174">
        <v>28124778</v>
      </c>
      <c r="BC174">
        <v>28655776</v>
      </c>
      <c r="BD174">
        <v>29162039</v>
      </c>
      <c r="BE174">
        <v>29662831</v>
      </c>
      <c r="BF174">
        <v>30174265</v>
      </c>
      <c r="BG174">
        <v>30696137</v>
      </c>
      <c r="BH174">
        <v>31232798</v>
      </c>
      <c r="BI174">
        <v>31789685</v>
      </c>
      <c r="BJ174">
        <v>32355644</v>
      </c>
      <c r="BK174">
        <v>32910967</v>
      </c>
      <c r="BL174">
        <v>33440596</v>
      </c>
      <c r="BM174">
        <v>33889558</v>
      </c>
      <c r="BN174">
        <v>34282399</v>
      </c>
      <c r="BO174">
        <v>34695493</v>
      </c>
      <c r="BP174">
        <v>35126298</v>
      </c>
      <c r="BQ174">
        <v>35557673</v>
      </c>
      <c r="BR174">
        <v>35977838</v>
      </c>
    </row>
    <row r="175" spans="1:70" x14ac:dyDescent="0.35">
      <c r="A175" t="s">
        <v>618</v>
      </c>
      <c r="B175" t="s">
        <v>619</v>
      </c>
      <c r="C175" t="s">
        <v>295</v>
      </c>
      <c r="D175" t="s">
        <v>296</v>
      </c>
      <c r="E175">
        <v>198622564</v>
      </c>
      <c r="F175">
        <v>202005123</v>
      </c>
      <c r="G175">
        <v>205196239</v>
      </c>
      <c r="H175">
        <v>208251340</v>
      </c>
      <c r="I175">
        <v>211260410</v>
      </c>
      <c r="J175">
        <v>214028461</v>
      </c>
      <c r="K175">
        <v>216656534</v>
      </c>
      <c r="L175">
        <v>219173514</v>
      </c>
      <c r="M175">
        <v>221500404</v>
      </c>
      <c r="N175">
        <v>223756306</v>
      </c>
      <c r="O175">
        <v>226428124</v>
      </c>
      <c r="P175">
        <v>229675639</v>
      </c>
      <c r="Q175">
        <v>232167266</v>
      </c>
      <c r="R175">
        <v>234453723</v>
      </c>
      <c r="S175">
        <v>236715025</v>
      </c>
      <c r="T175">
        <v>239169404</v>
      </c>
      <c r="U175">
        <v>241538018</v>
      </c>
      <c r="V175">
        <v>244018165</v>
      </c>
      <c r="W175">
        <v>246601634</v>
      </c>
      <c r="X175">
        <v>249310061</v>
      </c>
      <c r="Y175">
        <v>251794340</v>
      </c>
      <c r="Z175">
        <v>254339912</v>
      </c>
      <c r="AA175">
        <v>256835329</v>
      </c>
      <c r="AB175">
        <v>259213228</v>
      </c>
      <c r="AC175">
        <v>261487222</v>
      </c>
      <c r="AD175">
        <v>263821663</v>
      </c>
      <c r="AE175">
        <v>266289167</v>
      </c>
      <c r="AF175">
        <v>268791866</v>
      </c>
      <c r="AG175">
        <v>271347446</v>
      </c>
      <c r="AH175">
        <v>274152910</v>
      </c>
      <c r="AI175">
        <v>277371697</v>
      </c>
      <c r="AJ175">
        <v>281076404</v>
      </c>
      <c r="AK175">
        <v>284943671</v>
      </c>
      <c r="AL175">
        <v>288662580</v>
      </c>
      <c r="AM175">
        <v>292185857</v>
      </c>
      <c r="AN175">
        <v>295639837</v>
      </c>
      <c r="AO175">
        <v>299064031</v>
      </c>
      <c r="AP175">
        <v>302623125</v>
      </c>
      <c r="AQ175">
        <v>306069812</v>
      </c>
      <c r="AR175">
        <v>309502410</v>
      </c>
      <c r="AS175">
        <v>312909691</v>
      </c>
      <c r="AT175">
        <v>316051677</v>
      </c>
      <c r="AU175">
        <v>319046534</v>
      </c>
      <c r="AV175">
        <v>321812780</v>
      </c>
      <c r="AW175">
        <v>324806660</v>
      </c>
      <c r="AX175">
        <v>327822042</v>
      </c>
      <c r="AY175">
        <v>331013939</v>
      </c>
      <c r="AZ175">
        <v>334183103</v>
      </c>
      <c r="BA175">
        <v>337404564</v>
      </c>
      <c r="BB175">
        <v>340465163</v>
      </c>
      <c r="BC175">
        <v>343447854</v>
      </c>
      <c r="BD175">
        <v>346242415</v>
      </c>
      <c r="BE175">
        <v>349116140</v>
      </c>
      <c r="BF175">
        <v>351870848</v>
      </c>
      <c r="BG175">
        <v>354755155</v>
      </c>
      <c r="BH175">
        <v>357583083</v>
      </c>
      <c r="BI175">
        <v>360527592</v>
      </c>
      <c r="BJ175">
        <v>363217262</v>
      </c>
      <c r="BK175">
        <v>365666028</v>
      </c>
      <c r="BL175">
        <v>367908829</v>
      </c>
      <c r="BM175">
        <v>369671124</v>
      </c>
      <c r="BN175">
        <v>370404678</v>
      </c>
      <c r="BO175">
        <v>373011185</v>
      </c>
      <c r="BP175">
        <v>376868838</v>
      </c>
      <c r="BQ175">
        <v>381330762</v>
      </c>
      <c r="BR175">
        <v>383501065</v>
      </c>
    </row>
    <row r="176" spans="1:70" x14ac:dyDescent="0.35">
      <c r="A176" t="s">
        <v>620</v>
      </c>
      <c r="B176" t="s">
        <v>621</v>
      </c>
      <c r="C176" t="s">
        <v>295</v>
      </c>
      <c r="D176" t="s">
        <v>296</v>
      </c>
      <c r="E176">
        <v>591465</v>
      </c>
      <c r="F176">
        <v>603067</v>
      </c>
      <c r="G176">
        <v>615759</v>
      </c>
      <c r="H176">
        <v>629589</v>
      </c>
      <c r="I176">
        <v>644530</v>
      </c>
      <c r="J176">
        <v>660558</v>
      </c>
      <c r="K176">
        <v>677655</v>
      </c>
      <c r="L176">
        <v>696045</v>
      </c>
      <c r="M176">
        <v>715542</v>
      </c>
      <c r="N176">
        <v>736120</v>
      </c>
      <c r="O176">
        <v>757868</v>
      </c>
      <c r="P176">
        <v>780584</v>
      </c>
      <c r="Q176">
        <v>804399</v>
      </c>
      <c r="R176">
        <v>828928</v>
      </c>
      <c r="S176">
        <v>854320</v>
      </c>
      <c r="T176">
        <v>881032</v>
      </c>
      <c r="U176">
        <v>906566</v>
      </c>
      <c r="V176">
        <v>931104</v>
      </c>
      <c r="W176">
        <v>947269</v>
      </c>
      <c r="X176">
        <v>962825</v>
      </c>
      <c r="Y176">
        <v>981434</v>
      </c>
      <c r="Z176">
        <v>992500</v>
      </c>
      <c r="AA176">
        <v>1010308</v>
      </c>
      <c r="AB176">
        <v>1037511</v>
      </c>
      <c r="AC176">
        <v>1065989</v>
      </c>
      <c r="AD176">
        <v>1096890</v>
      </c>
      <c r="AE176">
        <v>1131081</v>
      </c>
      <c r="AF176">
        <v>1167889</v>
      </c>
      <c r="AG176">
        <v>1209696</v>
      </c>
      <c r="AH176">
        <v>1288947</v>
      </c>
      <c r="AI176">
        <v>1369303</v>
      </c>
      <c r="AJ176">
        <v>1415684</v>
      </c>
      <c r="AK176">
        <v>1461322</v>
      </c>
      <c r="AL176">
        <v>1508697</v>
      </c>
      <c r="AM176">
        <v>1556304</v>
      </c>
      <c r="AN176">
        <v>1602170</v>
      </c>
      <c r="AO176">
        <v>1646103</v>
      </c>
      <c r="AP176">
        <v>1689264</v>
      </c>
      <c r="AQ176">
        <v>1732745</v>
      </c>
      <c r="AR176">
        <v>1776368</v>
      </c>
      <c r="AS176">
        <v>1818647</v>
      </c>
      <c r="AT176">
        <v>1857048</v>
      </c>
      <c r="AU176">
        <v>1889970</v>
      </c>
      <c r="AV176">
        <v>1917464</v>
      </c>
      <c r="AW176">
        <v>1942082</v>
      </c>
      <c r="AX176">
        <v>1966582</v>
      </c>
      <c r="AY176">
        <v>1991888</v>
      </c>
      <c r="AZ176">
        <v>2018600</v>
      </c>
      <c r="BA176">
        <v>2047056</v>
      </c>
      <c r="BB176">
        <v>2077394</v>
      </c>
      <c r="BC176">
        <v>2109811</v>
      </c>
      <c r="BD176">
        <v>2146325</v>
      </c>
      <c r="BE176">
        <v>2194654</v>
      </c>
      <c r="BF176">
        <v>2252508</v>
      </c>
      <c r="BG176">
        <v>2312139</v>
      </c>
      <c r="BH176">
        <v>2374300</v>
      </c>
      <c r="BI176">
        <v>2439213</v>
      </c>
      <c r="BJ176">
        <v>2506853</v>
      </c>
      <c r="BK176">
        <v>2577327</v>
      </c>
      <c r="BL176">
        <v>2650494</v>
      </c>
      <c r="BM176">
        <v>2728762</v>
      </c>
      <c r="BN176">
        <v>2810548</v>
      </c>
      <c r="BO176">
        <v>2889662</v>
      </c>
      <c r="BP176">
        <v>2963095</v>
      </c>
      <c r="BQ176">
        <v>3030131</v>
      </c>
      <c r="BR176">
        <v>3092816</v>
      </c>
    </row>
    <row r="177" spans="1:70" x14ac:dyDescent="0.35">
      <c r="A177" t="s">
        <v>622</v>
      </c>
      <c r="B177" t="s">
        <v>623</v>
      </c>
      <c r="C177" t="s">
        <v>295</v>
      </c>
      <c r="D177" t="s">
        <v>296</v>
      </c>
      <c r="E177">
        <v>79819</v>
      </c>
      <c r="F177">
        <v>82521</v>
      </c>
      <c r="G177">
        <v>85334</v>
      </c>
      <c r="H177">
        <v>88050</v>
      </c>
      <c r="I177">
        <v>90602</v>
      </c>
      <c r="J177">
        <v>93159</v>
      </c>
      <c r="K177">
        <v>95820</v>
      </c>
      <c r="L177">
        <v>98587</v>
      </c>
      <c r="M177">
        <v>101441</v>
      </c>
      <c r="N177">
        <v>104849</v>
      </c>
      <c r="O177">
        <v>109338</v>
      </c>
      <c r="P177">
        <v>114514</v>
      </c>
      <c r="Q177">
        <v>119931</v>
      </c>
      <c r="R177">
        <v>125585</v>
      </c>
      <c r="S177">
        <v>131452</v>
      </c>
      <c r="T177">
        <v>137462</v>
      </c>
      <c r="U177">
        <v>142091</v>
      </c>
      <c r="V177">
        <v>144599</v>
      </c>
      <c r="W177">
        <v>146392</v>
      </c>
      <c r="X177">
        <v>148132</v>
      </c>
      <c r="Y177">
        <v>149817</v>
      </c>
      <c r="Z177">
        <v>151441</v>
      </c>
      <c r="AA177">
        <v>153001</v>
      </c>
      <c r="AB177">
        <v>155003</v>
      </c>
      <c r="AC177">
        <v>157583</v>
      </c>
      <c r="AD177">
        <v>160234</v>
      </c>
      <c r="AE177">
        <v>162898</v>
      </c>
      <c r="AF177">
        <v>165650</v>
      </c>
      <c r="AG177">
        <v>168502</v>
      </c>
      <c r="AH177">
        <v>172029</v>
      </c>
      <c r="AI177">
        <v>176456</v>
      </c>
      <c r="AJ177">
        <v>181238</v>
      </c>
      <c r="AK177">
        <v>186072</v>
      </c>
      <c r="AL177">
        <v>190857</v>
      </c>
      <c r="AM177">
        <v>195614</v>
      </c>
      <c r="AN177">
        <v>200379</v>
      </c>
      <c r="AO177">
        <v>205034</v>
      </c>
      <c r="AP177">
        <v>209560</v>
      </c>
      <c r="AQ177">
        <v>214047</v>
      </c>
      <c r="AR177">
        <v>218527</v>
      </c>
      <c r="AS177">
        <v>223098</v>
      </c>
      <c r="AT177">
        <v>227707</v>
      </c>
      <c r="AU177">
        <v>232236</v>
      </c>
      <c r="AV177">
        <v>236678</v>
      </c>
      <c r="AW177">
        <v>240852</v>
      </c>
      <c r="AX177">
        <v>244381</v>
      </c>
      <c r="AY177">
        <v>247547</v>
      </c>
      <c r="AZ177">
        <v>250725</v>
      </c>
      <c r="BA177">
        <v>253825</v>
      </c>
      <c r="BB177">
        <v>257250</v>
      </c>
      <c r="BC177">
        <v>261582</v>
      </c>
      <c r="BD177">
        <v>266543</v>
      </c>
      <c r="BE177">
        <v>271633</v>
      </c>
      <c r="BF177">
        <v>276822</v>
      </c>
      <c r="BG177">
        <v>281224</v>
      </c>
      <c r="BH177">
        <v>283168</v>
      </c>
      <c r="BI177">
        <v>283423</v>
      </c>
      <c r="BJ177">
        <v>283546</v>
      </c>
      <c r="BK177">
        <v>283541</v>
      </c>
      <c r="BL177">
        <v>283606</v>
      </c>
      <c r="BM177">
        <v>284176</v>
      </c>
      <c r="BN177">
        <v>285214</v>
      </c>
      <c r="BO177">
        <v>287123</v>
      </c>
      <c r="BP177">
        <v>289870</v>
      </c>
      <c r="BQ177">
        <v>292639</v>
      </c>
      <c r="BR177">
        <v>295333</v>
      </c>
    </row>
    <row r="178" spans="1:70" x14ac:dyDescent="0.35">
      <c r="A178" t="s">
        <v>624</v>
      </c>
      <c r="B178" t="s">
        <v>625</v>
      </c>
      <c r="C178" t="s">
        <v>295</v>
      </c>
      <c r="D178" t="s">
        <v>296</v>
      </c>
      <c r="E178">
        <v>3505050</v>
      </c>
      <c r="F178">
        <v>3608162</v>
      </c>
      <c r="G178">
        <v>3714520</v>
      </c>
      <c r="H178">
        <v>3823873</v>
      </c>
      <c r="I178">
        <v>3935814</v>
      </c>
      <c r="J178">
        <v>4049695</v>
      </c>
      <c r="K178">
        <v>4165544</v>
      </c>
      <c r="L178">
        <v>4283590</v>
      </c>
      <c r="M178">
        <v>4403637</v>
      </c>
      <c r="N178">
        <v>4525725</v>
      </c>
      <c r="O178">
        <v>4650275</v>
      </c>
      <c r="P178">
        <v>4776225</v>
      </c>
      <c r="Q178">
        <v>4904845</v>
      </c>
      <c r="R178">
        <v>5037865</v>
      </c>
      <c r="S178">
        <v>5174953</v>
      </c>
      <c r="T178">
        <v>5317019</v>
      </c>
      <c r="U178">
        <v>5464962</v>
      </c>
      <c r="V178">
        <v>5619716</v>
      </c>
      <c r="W178">
        <v>5782932</v>
      </c>
      <c r="X178">
        <v>5955556</v>
      </c>
      <c r="Y178">
        <v>6135971</v>
      </c>
      <c r="Z178">
        <v>6322006</v>
      </c>
      <c r="AA178">
        <v>6512732</v>
      </c>
      <c r="AB178">
        <v>6708644</v>
      </c>
      <c r="AC178">
        <v>6909971</v>
      </c>
      <c r="AD178">
        <v>7118457</v>
      </c>
      <c r="AE178">
        <v>7335811</v>
      </c>
      <c r="AF178">
        <v>7561150</v>
      </c>
      <c r="AG178">
        <v>7793748</v>
      </c>
      <c r="AH178">
        <v>8034780</v>
      </c>
      <c r="AI178">
        <v>8286059</v>
      </c>
      <c r="AJ178">
        <v>8546900</v>
      </c>
      <c r="AK178">
        <v>8817633</v>
      </c>
      <c r="AL178">
        <v>9100789</v>
      </c>
      <c r="AM178">
        <v>9398258</v>
      </c>
      <c r="AN178">
        <v>9714529</v>
      </c>
      <c r="AO178">
        <v>10044852</v>
      </c>
      <c r="AP178">
        <v>10383969</v>
      </c>
      <c r="AQ178">
        <v>10741413</v>
      </c>
      <c r="AR178">
        <v>11117411</v>
      </c>
      <c r="AS178">
        <v>11509630</v>
      </c>
      <c r="AT178">
        <v>11920647</v>
      </c>
      <c r="AU178">
        <v>12349144</v>
      </c>
      <c r="AV178">
        <v>12796984</v>
      </c>
      <c r="AW178">
        <v>13265836</v>
      </c>
      <c r="AX178">
        <v>13756192</v>
      </c>
      <c r="AY178">
        <v>14268581</v>
      </c>
      <c r="AZ178">
        <v>14803610</v>
      </c>
      <c r="BA178">
        <v>15361915</v>
      </c>
      <c r="BB178">
        <v>15943675</v>
      </c>
      <c r="BC178">
        <v>16548835</v>
      </c>
      <c r="BD178">
        <v>17176283</v>
      </c>
      <c r="BE178">
        <v>17836769</v>
      </c>
      <c r="BF178">
        <v>18519898</v>
      </c>
      <c r="BG178">
        <v>19215909</v>
      </c>
      <c r="BH178">
        <v>19939498</v>
      </c>
      <c r="BI178">
        <v>20685753</v>
      </c>
      <c r="BJ178">
        <v>21435446</v>
      </c>
      <c r="BK178">
        <v>22188069</v>
      </c>
      <c r="BL178">
        <v>22947757</v>
      </c>
      <c r="BM178">
        <v>23717613</v>
      </c>
      <c r="BN178">
        <v>24502140</v>
      </c>
      <c r="BO178">
        <v>25311973</v>
      </c>
      <c r="BP178">
        <v>26159867</v>
      </c>
      <c r="BQ178">
        <v>27032412</v>
      </c>
      <c r="BR178">
        <v>27917831</v>
      </c>
    </row>
    <row r="179" spans="1:70" x14ac:dyDescent="0.35">
      <c r="A179" t="s">
        <v>626</v>
      </c>
      <c r="B179" t="s">
        <v>627</v>
      </c>
      <c r="C179" t="s">
        <v>295</v>
      </c>
      <c r="D179" t="s">
        <v>296</v>
      </c>
      <c r="E179">
        <v>45053782</v>
      </c>
      <c r="F179">
        <v>45989310</v>
      </c>
      <c r="G179">
        <v>46965292</v>
      </c>
      <c r="H179">
        <v>47973575</v>
      </c>
      <c r="I179">
        <v>49012016</v>
      </c>
      <c r="J179">
        <v>50086764</v>
      </c>
      <c r="K179">
        <v>51188234</v>
      </c>
      <c r="L179">
        <v>52293065</v>
      </c>
      <c r="M179">
        <v>53432783</v>
      </c>
      <c r="N179">
        <v>54631914</v>
      </c>
      <c r="O179">
        <v>55893838</v>
      </c>
      <c r="P179">
        <v>57214684</v>
      </c>
      <c r="Q179">
        <v>58601748</v>
      </c>
      <c r="R179">
        <v>60082139</v>
      </c>
      <c r="S179">
        <v>61679144</v>
      </c>
      <c r="T179">
        <v>63410815</v>
      </c>
      <c r="U179">
        <v>65258009</v>
      </c>
      <c r="V179">
        <v>67234590</v>
      </c>
      <c r="W179">
        <v>69326532</v>
      </c>
      <c r="X179">
        <v>71498242</v>
      </c>
      <c r="Y179">
        <v>73764641</v>
      </c>
      <c r="Z179">
        <v>76068103</v>
      </c>
      <c r="AA179">
        <v>78378701</v>
      </c>
      <c r="AB179">
        <v>80438260</v>
      </c>
      <c r="AC179">
        <v>82526443</v>
      </c>
      <c r="AD179">
        <v>84897973</v>
      </c>
      <c r="AE179">
        <v>87235953</v>
      </c>
      <c r="AF179">
        <v>89591716</v>
      </c>
      <c r="AG179">
        <v>92020090</v>
      </c>
      <c r="AH179">
        <v>94531014</v>
      </c>
      <c r="AI179">
        <v>97120925</v>
      </c>
      <c r="AJ179">
        <v>99720162</v>
      </c>
      <c r="AK179">
        <v>102372770</v>
      </c>
      <c r="AL179">
        <v>105122069</v>
      </c>
      <c r="AM179">
        <v>107935714</v>
      </c>
      <c r="AN179">
        <v>110819428</v>
      </c>
      <c r="AO179">
        <v>113754779</v>
      </c>
      <c r="AP179">
        <v>116754792</v>
      </c>
      <c r="AQ179">
        <v>119846254</v>
      </c>
      <c r="AR179">
        <v>123047320</v>
      </c>
      <c r="AS179">
        <v>126382494</v>
      </c>
      <c r="AT179">
        <v>129862595</v>
      </c>
      <c r="AU179">
        <v>133471989</v>
      </c>
      <c r="AV179">
        <v>137202644</v>
      </c>
      <c r="AW179">
        <v>141057045</v>
      </c>
      <c r="AX179">
        <v>145017253</v>
      </c>
      <c r="AY179">
        <v>149077334</v>
      </c>
      <c r="AZ179">
        <v>153267261</v>
      </c>
      <c r="BA179">
        <v>157595014</v>
      </c>
      <c r="BB179">
        <v>162049464</v>
      </c>
      <c r="BC179">
        <v>166642886</v>
      </c>
      <c r="BD179">
        <v>171379598</v>
      </c>
      <c r="BE179">
        <v>176200625</v>
      </c>
      <c r="BF179">
        <v>181049443</v>
      </c>
      <c r="BG179">
        <v>185896915</v>
      </c>
      <c r="BH179">
        <v>190671878</v>
      </c>
      <c r="BI179">
        <v>195443700</v>
      </c>
      <c r="BJ179">
        <v>200254579</v>
      </c>
      <c r="BK179">
        <v>204938755</v>
      </c>
      <c r="BL179">
        <v>209485641</v>
      </c>
      <c r="BM179">
        <v>213996181</v>
      </c>
      <c r="BN179">
        <v>218529286</v>
      </c>
      <c r="BO179">
        <v>223150896</v>
      </c>
      <c r="BP179">
        <v>227882945</v>
      </c>
      <c r="BQ179">
        <v>232679478</v>
      </c>
      <c r="BR179">
        <v>237527782</v>
      </c>
    </row>
    <row r="180" spans="1:70" x14ac:dyDescent="0.35">
      <c r="A180" t="s">
        <v>628</v>
      </c>
      <c r="B180" t="s">
        <v>629</v>
      </c>
      <c r="C180" t="s">
        <v>295</v>
      </c>
      <c r="D180" t="s">
        <v>296</v>
      </c>
      <c r="E180">
        <v>1782370</v>
      </c>
      <c r="F180">
        <v>1836451</v>
      </c>
      <c r="G180">
        <v>1892320</v>
      </c>
      <c r="H180">
        <v>1950159</v>
      </c>
      <c r="I180">
        <v>2010176</v>
      </c>
      <c r="J180">
        <v>2072681</v>
      </c>
      <c r="K180">
        <v>2137820</v>
      </c>
      <c r="L180">
        <v>2205567</v>
      </c>
      <c r="M180">
        <v>2275836</v>
      </c>
      <c r="N180">
        <v>2348398</v>
      </c>
      <c r="O180">
        <v>2423065</v>
      </c>
      <c r="P180">
        <v>2499825</v>
      </c>
      <c r="Q180">
        <v>2573578</v>
      </c>
      <c r="R180">
        <v>2649278</v>
      </c>
      <c r="S180">
        <v>2732075</v>
      </c>
      <c r="T180">
        <v>2816943</v>
      </c>
      <c r="U180">
        <v>2903851</v>
      </c>
      <c r="V180">
        <v>2992534</v>
      </c>
      <c r="W180">
        <v>3080314</v>
      </c>
      <c r="X180">
        <v>3164525</v>
      </c>
      <c r="Y180">
        <v>3252403</v>
      </c>
      <c r="Z180">
        <v>3345674</v>
      </c>
      <c r="AA180">
        <v>3438745</v>
      </c>
      <c r="AB180">
        <v>3530282</v>
      </c>
      <c r="AC180">
        <v>3619104</v>
      </c>
      <c r="AD180">
        <v>3706479</v>
      </c>
      <c r="AE180">
        <v>3794157</v>
      </c>
      <c r="AF180">
        <v>3882164</v>
      </c>
      <c r="AG180">
        <v>3972320</v>
      </c>
      <c r="AH180">
        <v>4066476</v>
      </c>
      <c r="AI180">
        <v>4162559</v>
      </c>
      <c r="AJ180">
        <v>4259637</v>
      </c>
      <c r="AK180">
        <v>4357026</v>
      </c>
      <c r="AL180">
        <v>4453732</v>
      </c>
      <c r="AM180">
        <v>4549316</v>
      </c>
      <c r="AN180">
        <v>4642931</v>
      </c>
      <c r="AO180">
        <v>4729974</v>
      </c>
      <c r="AP180">
        <v>4809573</v>
      </c>
      <c r="AQ180">
        <v>4883655</v>
      </c>
      <c r="AR180">
        <v>4954018</v>
      </c>
      <c r="AS180">
        <v>5022633</v>
      </c>
      <c r="AT180">
        <v>5087825</v>
      </c>
      <c r="AU180">
        <v>5149909</v>
      </c>
      <c r="AV180">
        <v>5210963</v>
      </c>
      <c r="AW180">
        <v>5272912</v>
      </c>
      <c r="AX180">
        <v>5342105</v>
      </c>
      <c r="AY180">
        <v>5418855</v>
      </c>
      <c r="AZ180">
        <v>5497243</v>
      </c>
      <c r="BA180">
        <v>5576593</v>
      </c>
      <c r="BB180">
        <v>5656601</v>
      </c>
      <c r="BC180">
        <v>5737450</v>
      </c>
      <c r="BD180">
        <v>5819051</v>
      </c>
      <c r="BE180">
        <v>5901287</v>
      </c>
      <c r="BF180">
        <v>5983845</v>
      </c>
      <c r="BG180">
        <v>6066492</v>
      </c>
      <c r="BH180">
        <v>6149417</v>
      </c>
      <c r="BI180">
        <v>6232666</v>
      </c>
      <c r="BJ180">
        <v>6316231</v>
      </c>
      <c r="BK180">
        <v>6400080</v>
      </c>
      <c r="BL180">
        <v>6483657</v>
      </c>
      <c r="BM180">
        <v>6565267</v>
      </c>
      <c r="BN180">
        <v>6644741</v>
      </c>
      <c r="BO180">
        <v>6730654</v>
      </c>
      <c r="BP180">
        <v>6823613</v>
      </c>
      <c r="BQ180">
        <v>6916140</v>
      </c>
      <c r="BR180">
        <v>7007502</v>
      </c>
    </row>
    <row r="181" spans="1:70" x14ac:dyDescent="0.35">
      <c r="A181" t="s">
        <v>270</v>
      </c>
      <c r="B181" t="s">
        <v>630</v>
      </c>
      <c r="C181" t="s">
        <v>295</v>
      </c>
      <c r="D181" t="s">
        <v>296</v>
      </c>
      <c r="E181">
        <v>11486631</v>
      </c>
      <c r="F181">
        <v>11638712</v>
      </c>
      <c r="G181">
        <v>11805689</v>
      </c>
      <c r="H181">
        <v>11965966</v>
      </c>
      <c r="I181">
        <v>12127120</v>
      </c>
      <c r="J181">
        <v>12294732</v>
      </c>
      <c r="K181">
        <v>12456251</v>
      </c>
      <c r="L181">
        <v>12598201</v>
      </c>
      <c r="M181">
        <v>12729721</v>
      </c>
      <c r="N181">
        <v>12877984</v>
      </c>
      <c r="O181">
        <v>13038526</v>
      </c>
      <c r="P181">
        <v>13194497</v>
      </c>
      <c r="Q181">
        <v>13328593</v>
      </c>
      <c r="R181">
        <v>13439322</v>
      </c>
      <c r="S181">
        <v>13545056</v>
      </c>
      <c r="T181">
        <v>13666335</v>
      </c>
      <c r="U181">
        <v>13774037</v>
      </c>
      <c r="V181">
        <v>13856185</v>
      </c>
      <c r="W181">
        <v>13941700</v>
      </c>
      <c r="X181">
        <v>14038270</v>
      </c>
      <c r="Y181">
        <v>14149800</v>
      </c>
      <c r="Z181">
        <v>14247208</v>
      </c>
      <c r="AA181">
        <v>14312690</v>
      </c>
      <c r="AB181">
        <v>14367070</v>
      </c>
      <c r="AC181">
        <v>14424211</v>
      </c>
      <c r="AD181">
        <v>14491632</v>
      </c>
      <c r="AE181">
        <v>14572278</v>
      </c>
      <c r="AF181">
        <v>14665037</v>
      </c>
      <c r="AG181">
        <v>14760094</v>
      </c>
      <c r="AH181">
        <v>14848907</v>
      </c>
      <c r="AI181">
        <v>14951510</v>
      </c>
      <c r="AJ181">
        <v>15069798</v>
      </c>
      <c r="AK181">
        <v>15184166</v>
      </c>
      <c r="AL181">
        <v>15290368</v>
      </c>
      <c r="AM181">
        <v>15382838</v>
      </c>
      <c r="AN181">
        <v>15459006</v>
      </c>
      <c r="AO181">
        <v>15530498</v>
      </c>
      <c r="AP181">
        <v>15610650</v>
      </c>
      <c r="AQ181">
        <v>15707209</v>
      </c>
      <c r="AR181">
        <v>15812088</v>
      </c>
      <c r="AS181">
        <v>15925513</v>
      </c>
      <c r="AT181">
        <v>16046180</v>
      </c>
      <c r="AU181">
        <v>16148929</v>
      </c>
      <c r="AV181">
        <v>16225302</v>
      </c>
      <c r="AW181">
        <v>16281779</v>
      </c>
      <c r="AX181">
        <v>16319868</v>
      </c>
      <c r="AY181">
        <v>16346101</v>
      </c>
      <c r="AZ181">
        <v>16381696</v>
      </c>
      <c r="BA181">
        <v>16445593</v>
      </c>
      <c r="BB181">
        <v>16530388</v>
      </c>
      <c r="BC181">
        <v>16615394</v>
      </c>
      <c r="BD181">
        <v>16693074</v>
      </c>
      <c r="BE181">
        <v>16754962</v>
      </c>
      <c r="BF181">
        <v>16804432</v>
      </c>
      <c r="BG181">
        <v>16865008</v>
      </c>
      <c r="BH181">
        <v>16939923</v>
      </c>
      <c r="BI181">
        <v>17030314</v>
      </c>
      <c r="BJ181">
        <v>17131296</v>
      </c>
      <c r="BK181">
        <v>17231624</v>
      </c>
      <c r="BL181">
        <v>17344874</v>
      </c>
      <c r="BM181">
        <v>17441500</v>
      </c>
      <c r="BN181">
        <v>17533044</v>
      </c>
      <c r="BO181">
        <v>17700982</v>
      </c>
      <c r="BP181">
        <v>17877117</v>
      </c>
      <c r="BQ181">
        <v>17993485</v>
      </c>
      <c r="BR181">
        <v>18087633</v>
      </c>
    </row>
    <row r="182" spans="1:70" x14ac:dyDescent="0.35">
      <c r="A182" t="s">
        <v>272</v>
      </c>
      <c r="B182" t="s">
        <v>631</v>
      </c>
      <c r="C182" t="s">
        <v>295</v>
      </c>
      <c r="D182" t="s">
        <v>296</v>
      </c>
      <c r="E182">
        <v>3581239</v>
      </c>
      <c r="F182">
        <v>3609800</v>
      </c>
      <c r="G182">
        <v>3638918</v>
      </c>
      <c r="H182">
        <v>3666537</v>
      </c>
      <c r="I182">
        <v>3694339</v>
      </c>
      <c r="J182">
        <v>3723168</v>
      </c>
      <c r="K182">
        <v>3753012</v>
      </c>
      <c r="L182">
        <v>3784539</v>
      </c>
      <c r="M182">
        <v>3816486</v>
      </c>
      <c r="N182">
        <v>3847707</v>
      </c>
      <c r="O182">
        <v>3875763</v>
      </c>
      <c r="P182">
        <v>3903039</v>
      </c>
      <c r="Q182">
        <v>3933004</v>
      </c>
      <c r="R182">
        <v>3960612</v>
      </c>
      <c r="S182">
        <v>3985258</v>
      </c>
      <c r="T182">
        <v>4007313</v>
      </c>
      <c r="U182">
        <v>4026152</v>
      </c>
      <c r="V182">
        <v>4043205</v>
      </c>
      <c r="W182">
        <v>4058671</v>
      </c>
      <c r="X182">
        <v>4072517</v>
      </c>
      <c r="Y182">
        <v>4085620</v>
      </c>
      <c r="Z182">
        <v>4099702</v>
      </c>
      <c r="AA182">
        <v>4114787</v>
      </c>
      <c r="AB182">
        <v>4128432</v>
      </c>
      <c r="AC182">
        <v>4140099</v>
      </c>
      <c r="AD182">
        <v>4152516</v>
      </c>
      <c r="AE182">
        <v>4167354</v>
      </c>
      <c r="AF182">
        <v>4186905</v>
      </c>
      <c r="AG182">
        <v>4209488</v>
      </c>
      <c r="AH182">
        <v>4226901</v>
      </c>
      <c r="AI182">
        <v>4241473</v>
      </c>
      <c r="AJ182">
        <v>4261732</v>
      </c>
      <c r="AK182">
        <v>4286401</v>
      </c>
      <c r="AL182">
        <v>4311991</v>
      </c>
      <c r="AM182">
        <v>4336613</v>
      </c>
      <c r="AN182">
        <v>4359184</v>
      </c>
      <c r="AO182">
        <v>4381336</v>
      </c>
      <c r="AP182">
        <v>4405157</v>
      </c>
      <c r="AQ182">
        <v>4431464</v>
      </c>
      <c r="AR182">
        <v>4461913</v>
      </c>
      <c r="AS182">
        <v>4490967</v>
      </c>
      <c r="AT182">
        <v>4513751</v>
      </c>
      <c r="AU182">
        <v>4538159</v>
      </c>
      <c r="AV182">
        <v>4564855</v>
      </c>
      <c r="AW182">
        <v>4591910</v>
      </c>
      <c r="AX182">
        <v>4623291</v>
      </c>
      <c r="AY182">
        <v>4660677</v>
      </c>
      <c r="AZ182">
        <v>4709153</v>
      </c>
      <c r="BA182">
        <v>4768212</v>
      </c>
      <c r="BB182">
        <v>4828726</v>
      </c>
      <c r="BC182">
        <v>4889252</v>
      </c>
      <c r="BD182">
        <v>4953088</v>
      </c>
      <c r="BE182">
        <v>5018573</v>
      </c>
      <c r="BF182">
        <v>5079623</v>
      </c>
      <c r="BG182">
        <v>5137232</v>
      </c>
      <c r="BH182">
        <v>5188607</v>
      </c>
      <c r="BI182">
        <v>5234519</v>
      </c>
      <c r="BJ182">
        <v>5276968</v>
      </c>
      <c r="BK182">
        <v>5311916</v>
      </c>
      <c r="BL182">
        <v>5347896</v>
      </c>
      <c r="BM182">
        <v>5379475</v>
      </c>
      <c r="BN182">
        <v>5408320</v>
      </c>
      <c r="BO182">
        <v>5457127</v>
      </c>
      <c r="BP182">
        <v>5519601</v>
      </c>
      <c r="BQ182">
        <v>5572279</v>
      </c>
      <c r="BR182">
        <v>5610870</v>
      </c>
    </row>
    <row r="183" spans="1:70" x14ac:dyDescent="0.35">
      <c r="A183" t="s">
        <v>632</v>
      </c>
      <c r="B183" t="s">
        <v>633</v>
      </c>
      <c r="C183" t="s">
        <v>295</v>
      </c>
      <c r="D183" t="s">
        <v>296</v>
      </c>
      <c r="E183">
        <v>10123658</v>
      </c>
      <c r="F183">
        <v>10318396</v>
      </c>
      <c r="G183">
        <v>10521116</v>
      </c>
      <c r="H183">
        <v>10729818</v>
      </c>
      <c r="I183">
        <v>10946392</v>
      </c>
      <c r="J183">
        <v>11173411</v>
      </c>
      <c r="K183">
        <v>11408710</v>
      </c>
      <c r="L183">
        <v>11652716</v>
      </c>
      <c r="M183">
        <v>11906266</v>
      </c>
      <c r="N183">
        <v>12167036</v>
      </c>
      <c r="O183">
        <v>12436190</v>
      </c>
      <c r="P183">
        <v>12710061</v>
      </c>
      <c r="Q183">
        <v>12989099</v>
      </c>
      <c r="R183">
        <v>13275239</v>
      </c>
      <c r="S183">
        <v>13568435</v>
      </c>
      <c r="T183">
        <v>13870695</v>
      </c>
      <c r="U183">
        <v>14177649</v>
      </c>
      <c r="V183">
        <v>14499175</v>
      </c>
      <c r="W183">
        <v>14839695</v>
      </c>
      <c r="X183">
        <v>15190590</v>
      </c>
      <c r="Y183">
        <v>15553105</v>
      </c>
      <c r="Z183">
        <v>15922423</v>
      </c>
      <c r="AA183">
        <v>16297987</v>
      </c>
      <c r="AB183">
        <v>16689119</v>
      </c>
      <c r="AC183">
        <v>17085242</v>
      </c>
      <c r="AD183">
        <v>17477692</v>
      </c>
      <c r="AE183">
        <v>17868124</v>
      </c>
      <c r="AF183">
        <v>18250505</v>
      </c>
      <c r="AG183">
        <v>18638661</v>
      </c>
      <c r="AH183">
        <v>19057807</v>
      </c>
      <c r="AI183">
        <v>19524573</v>
      </c>
      <c r="AJ183">
        <v>20036500</v>
      </c>
      <c r="AK183">
        <v>20609707</v>
      </c>
      <c r="AL183">
        <v>21180159</v>
      </c>
      <c r="AM183">
        <v>21717479</v>
      </c>
      <c r="AN183">
        <v>22245439</v>
      </c>
      <c r="AO183">
        <v>22741862</v>
      </c>
      <c r="AP183">
        <v>23219463</v>
      </c>
      <c r="AQ183">
        <v>23680357</v>
      </c>
      <c r="AR183">
        <v>24125199</v>
      </c>
      <c r="AS183">
        <v>24546509</v>
      </c>
      <c r="AT183">
        <v>24946748</v>
      </c>
      <c r="AU183">
        <v>25328981</v>
      </c>
      <c r="AV183">
        <v>25688758</v>
      </c>
      <c r="AW183">
        <v>26016656</v>
      </c>
      <c r="AX183">
        <v>26309458</v>
      </c>
      <c r="AY183">
        <v>26565425</v>
      </c>
      <c r="AZ183">
        <v>26788492</v>
      </c>
      <c r="BA183">
        <v>26990037</v>
      </c>
      <c r="BB183">
        <v>27173035</v>
      </c>
      <c r="BC183">
        <v>27341952</v>
      </c>
      <c r="BD183">
        <v>27464494</v>
      </c>
      <c r="BE183">
        <v>27534915</v>
      </c>
      <c r="BF183">
        <v>27589996</v>
      </c>
      <c r="BG183">
        <v>27672370</v>
      </c>
      <c r="BH183">
        <v>27823629</v>
      </c>
      <c r="BI183">
        <v>27955462</v>
      </c>
      <c r="BJ183">
        <v>28011258</v>
      </c>
      <c r="BK183">
        <v>28079689</v>
      </c>
      <c r="BL183">
        <v>28414064</v>
      </c>
      <c r="BM183">
        <v>28966574</v>
      </c>
      <c r="BN183">
        <v>29475010</v>
      </c>
      <c r="BO183">
        <v>29715436</v>
      </c>
      <c r="BP183">
        <v>29694614</v>
      </c>
      <c r="BQ183">
        <v>29651054</v>
      </c>
      <c r="BR183">
        <v>29618118</v>
      </c>
    </row>
    <row r="184" spans="1:70" x14ac:dyDescent="0.35">
      <c r="A184" t="s">
        <v>634</v>
      </c>
      <c r="B184" t="s">
        <v>635</v>
      </c>
      <c r="C184" t="s">
        <v>295</v>
      </c>
      <c r="D184" t="s">
        <v>296</v>
      </c>
      <c r="E184">
        <v>4607</v>
      </c>
      <c r="F184">
        <v>4774</v>
      </c>
      <c r="G184">
        <v>4979</v>
      </c>
      <c r="H184">
        <v>5226</v>
      </c>
      <c r="I184">
        <v>5515</v>
      </c>
      <c r="J184">
        <v>5832</v>
      </c>
      <c r="K184">
        <v>6043</v>
      </c>
      <c r="L184">
        <v>6135</v>
      </c>
      <c r="M184">
        <v>6328</v>
      </c>
      <c r="N184">
        <v>6581</v>
      </c>
      <c r="O184">
        <v>6710</v>
      </c>
      <c r="P184">
        <v>6762</v>
      </c>
      <c r="Q184">
        <v>6812</v>
      </c>
      <c r="R184">
        <v>6866</v>
      </c>
      <c r="S184">
        <v>6923</v>
      </c>
      <c r="T184">
        <v>6987</v>
      </c>
      <c r="U184">
        <v>7064</v>
      </c>
      <c r="V184">
        <v>7163</v>
      </c>
      <c r="W184">
        <v>7298</v>
      </c>
      <c r="X184">
        <v>7468</v>
      </c>
      <c r="Y184">
        <v>7649</v>
      </c>
      <c r="Z184">
        <v>7839</v>
      </c>
      <c r="AA184">
        <v>8040</v>
      </c>
      <c r="AB184">
        <v>8216</v>
      </c>
      <c r="AC184">
        <v>8377</v>
      </c>
      <c r="AD184">
        <v>8551</v>
      </c>
      <c r="AE184">
        <v>8742</v>
      </c>
      <c r="AF184">
        <v>8946</v>
      </c>
      <c r="AG184">
        <v>9165</v>
      </c>
      <c r="AH184">
        <v>9390</v>
      </c>
      <c r="AI184">
        <v>9622</v>
      </c>
      <c r="AJ184">
        <v>9850</v>
      </c>
      <c r="AK184">
        <v>10021</v>
      </c>
      <c r="AL184">
        <v>10102</v>
      </c>
      <c r="AM184">
        <v>10137</v>
      </c>
      <c r="AN184">
        <v>10165</v>
      </c>
      <c r="AO184">
        <v>10183</v>
      </c>
      <c r="AP184">
        <v>10197</v>
      </c>
      <c r="AQ184">
        <v>10198</v>
      </c>
      <c r="AR184">
        <v>10187</v>
      </c>
      <c r="AS184">
        <v>10168</v>
      </c>
      <c r="AT184">
        <v>10130</v>
      </c>
      <c r="AU184">
        <v>10082</v>
      </c>
      <c r="AV184">
        <v>10059</v>
      </c>
      <c r="AW184">
        <v>10060</v>
      </c>
      <c r="AX184">
        <v>10049</v>
      </c>
      <c r="AY184">
        <v>10034</v>
      </c>
      <c r="AZ184">
        <v>10020</v>
      </c>
      <c r="BA184">
        <v>10009</v>
      </c>
      <c r="BB184">
        <v>10016</v>
      </c>
      <c r="BC184">
        <v>10043</v>
      </c>
      <c r="BD184">
        <v>10098</v>
      </c>
      <c r="BE184">
        <v>10267</v>
      </c>
      <c r="BF184">
        <v>10517</v>
      </c>
      <c r="BG184">
        <v>10742</v>
      </c>
      <c r="BH184">
        <v>10954</v>
      </c>
      <c r="BI184">
        <v>11150</v>
      </c>
      <c r="BJ184">
        <v>11324</v>
      </c>
      <c r="BK184">
        <v>11477</v>
      </c>
      <c r="BL184">
        <v>11587</v>
      </c>
      <c r="BM184">
        <v>11643</v>
      </c>
      <c r="BN184">
        <v>11709</v>
      </c>
      <c r="BO184">
        <v>11801</v>
      </c>
      <c r="BP184">
        <v>11875</v>
      </c>
      <c r="BQ184">
        <v>11947</v>
      </c>
      <c r="BR184">
        <v>12025</v>
      </c>
    </row>
    <row r="185" spans="1:70" x14ac:dyDescent="0.35">
      <c r="A185" t="s">
        <v>274</v>
      </c>
      <c r="B185" t="s">
        <v>636</v>
      </c>
      <c r="C185" t="s">
        <v>295</v>
      </c>
      <c r="D185" t="s">
        <v>296</v>
      </c>
      <c r="E185">
        <v>2371800</v>
      </c>
      <c r="F185">
        <v>2419700</v>
      </c>
      <c r="G185">
        <v>2482000</v>
      </c>
      <c r="H185">
        <v>2531800</v>
      </c>
      <c r="I185">
        <v>2585400</v>
      </c>
      <c r="J185">
        <v>2628400</v>
      </c>
      <c r="K185">
        <v>2675900</v>
      </c>
      <c r="L185">
        <v>2724100</v>
      </c>
      <c r="M185">
        <v>2748100</v>
      </c>
      <c r="N185">
        <v>2772800</v>
      </c>
      <c r="O185">
        <v>2810700</v>
      </c>
      <c r="P185">
        <v>2853000</v>
      </c>
      <c r="Q185">
        <v>2903900</v>
      </c>
      <c r="R185">
        <v>2961300</v>
      </c>
      <c r="S185">
        <v>3023700</v>
      </c>
      <c r="T185">
        <v>3083100</v>
      </c>
      <c r="U185">
        <v>3110500</v>
      </c>
      <c r="V185">
        <v>3120200</v>
      </c>
      <c r="W185">
        <v>3121200</v>
      </c>
      <c r="X185">
        <v>3109000</v>
      </c>
      <c r="Y185">
        <v>3112900</v>
      </c>
      <c r="Z185">
        <v>3124900</v>
      </c>
      <c r="AA185">
        <v>3156100</v>
      </c>
      <c r="AB185">
        <v>3199300</v>
      </c>
      <c r="AC185">
        <v>3227100</v>
      </c>
      <c r="AD185">
        <v>3247100</v>
      </c>
      <c r="AE185">
        <v>3246300</v>
      </c>
      <c r="AF185">
        <v>3274400</v>
      </c>
      <c r="AG185">
        <v>3283400</v>
      </c>
      <c r="AH185">
        <v>3299200</v>
      </c>
      <c r="AI185">
        <v>3329800</v>
      </c>
      <c r="AJ185">
        <v>3495100</v>
      </c>
      <c r="AK185">
        <v>3531700</v>
      </c>
      <c r="AL185">
        <v>3572200</v>
      </c>
      <c r="AM185">
        <v>3620000</v>
      </c>
      <c r="AN185">
        <v>3673400</v>
      </c>
      <c r="AO185">
        <v>3732000</v>
      </c>
      <c r="AP185">
        <v>3781300</v>
      </c>
      <c r="AQ185">
        <v>3815000</v>
      </c>
      <c r="AR185">
        <v>3835100</v>
      </c>
      <c r="AS185">
        <v>3857700</v>
      </c>
      <c r="AT185">
        <v>3880500</v>
      </c>
      <c r="AU185">
        <v>3948500</v>
      </c>
      <c r="AV185">
        <v>4027200</v>
      </c>
      <c r="AW185">
        <v>4087500</v>
      </c>
      <c r="AX185">
        <v>4133900</v>
      </c>
      <c r="AY185">
        <v>4184600</v>
      </c>
      <c r="AZ185">
        <v>4223800</v>
      </c>
      <c r="BA185">
        <v>4259800</v>
      </c>
      <c r="BB185">
        <v>4302600</v>
      </c>
      <c r="BC185">
        <v>4350700</v>
      </c>
      <c r="BD185">
        <v>4384000</v>
      </c>
      <c r="BE185">
        <v>4408100</v>
      </c>
      <c r="BF185">
        <v>4442100</v>
      </c>
      <c r="BG185">
        <v>4516500</v>
      </c>
      <c r="BH185">
        <v>4609400</v>
      </c>
      <c r="BI185">
        <v>4714100</v>
      </c>
      <c r="BJ185">
        <v>4813600</v>
      </c>
      <c r="BK185">
        <v>4900600</v>
      </c>
      <c r="BL185">
        <v>4970300</v>
      </c>
      <c r="BM185">
        <v>5072400</v>
      </c>
      <c r="BN185">
        <v>5084600</v>
      </c>
      <c r="BO185">
        <v>5081700</v>
      </c>
      <c r="BP185">
        <v>5200000</v>
      </c>
      <c r="BQ185">
        <v>5290000</v>
      </c>
      <c r="BR185">
        <v>5324700</v>
      </c>
    </row>
    <row r="186" spans="1:70" x14ac:dyDescent="0.35">
      <c r="A186" t="s">
        <v>637</v>
      </c>
      <c r="B186" t="s">
        <v>638</v>
      </c>
      <c r="C186" t="s">
        <v>295</v>
      </c>
      <c r="D186" t="s">
        <v>296</v>
      </c>
      <c r="E186">
        <v>809580211</v>
      </c>
      <c r="F186">
        <v>820795966</v>
      </c>
      <c r="G186">
        <v>832227425</v>
      </c>
      <c r="H186">
        <v>843650775</v>
      </c>
      <c r="I186">
        <v>855135046</v>
      </c>
      <c r="J186">
        <v>866300939</v>
      </c>
      <c r="K186">
        <v>877030636</v>
      </c>
      <c r="L186">
        <v>887553832</v>
      </c>
      <c r="M186">
        <v>897869478</v>
      </c>
      <c r="N186">
        <v>908238681</v>
      </c>
      <c r="O186">
        <v>918489195</v>
      </c>
      <c r="P186">
        <v>930596384</v>
      </c>
      <c r="Q186">
        <v>941467841</v>
      </c>
      <c r="R186">
        <v>952000973</v>
      </c>
      <c r="S186">
        <v>962281658</v>
      </c>
      <c r="T186">
        <v>972242932</v>
      </c>
      <c r="U186">
        <v>981612322</v>
      </c>
      <c r="V186">
        <v>990951247</v>
      </c>
      <c r="W186">
        <v>1000355869</v>
      </c>
      <c r="X186">
        <v>1009880602</v>
      </c>
      <c r="Y186">
        <v>1019332414</v>
      </c>
      <c r="Z186">
        <v>1028615740</v>
      </c>
      <c r="AA186">
        <v>1037419356</v>
      </c>
      <c r="AB186">
        <v>1046094679</v>
      </c>
      <c r="AC186">
        <v>1054395892</v>
      </c>
      <c r="AD186">
        <v>1062728299</v>
      </c>
      <c r="AE186">
        <v>1071222636</v>
      </c>
      <c r="AF186">
        <v>1079813087</v>
      </c>
      <c r="AG186">
        <v>1088587717</v>
      </c>
      <c r="AH186">
        <v>1097876374</v>
      </c>
      <c r="AI186">
        <v>1107695519</v>
      </c>
      <c r="AJ186">
        <v>1118410105</v>
      </c>
      <c r="AK186">
        <v>1129039882</v>
      </c>
      <c r="AL186">
        <v>1139203498</v>
      </c>
      <c r="AM186">
        <v>1148779736</v>
      </c>
      <c r="AN186">
        <v>1158068699</v>
      </c>
      <c r="AO186">
        <v>1167149370</v>
      </c>
      <c r="AP186">
        <v>1176191803</v>
      </c>
      <c r="AQ186">
        <v>1184928348</v>
      </c>
      <c r="AR186">
        <v>1193682861</v>
      </c>
      <c r="AS186">
        <v>1202226474</v>
      </c>
      <c r="AT186">
        <v>1211109104</v>
      </c>
      <c r="AU186">
        <v>1220101353</v>
      </c>
      <c r="AV186">
        <v>1229012217</v>
      </c>
      <c r="AW186">
        <v>1237896576</v>
      </c>
      <c r="AX186">
        <v>1246656490</v>
      </c>
      <c r="AY186">
        <v>1255746646</v>
      </c>
      <c r="AZ186">
        <v>1264728255</v>
      </c>
      <c r="BA186">
        <v>1274711058</v>
      </c>
      <c r="BB186">
        <v>1283973216</v>
      </c>
      <c r="BC186">
        <v>1292701737</v>
      </c>
      <c r="BD186">
        <v>1299644689</v>
      </c>
      <c r="BE186">
        <v>1307733583</v>
      </c>
      <c r="BF186">
        <v>1315426979</v>
      </c>
      <c r="BG186">
        <v>1323458714</v>
      </c>
      <c r="BH186">
        <v>1331674197</v>
      </c>
      <c r="BI186">
        <v>1340141055</v>
      </c>
      <c r="BJ186">
        <v>1348125258</v>
      </c>
      <c r="BK186">
        <v>1356197538</v>
      </c>
      <c r="BL186">
        <v>1364143219</v>
      </c>
      <c r="BM186">
        <v>1369306579</v>
      </c>
      <c r="BN186">
        <v>1371780402</v>
      </c>
      <c r="BO186">
        <v>1378591781</v>
      </c>
      <c r="BP186">
        <v>1387846131</v>
      </c>
      <c r="BQ186">
        <v>1396826761</v>
      </c>
      <c r="BR186">
        <v>1402243571</v>
      </c>
    </row>
    <row r="187" spans="1:70" x14ac:dyDescent="0.35">
      <c r="A187" t="s">
        <v>639</v>
      </c>
      <c r="B187" t="s">
        <v>640</v>
      </c>
      <c r="C187" t="s">
        <v>295</v>
      </c>
      <c r="D187" t="s">
        <v>296</v>
      </c>
      <c r="E187">
        <v>530485</v>
      </c>
      <c r="F187">
        <v>539854</v>
      </c>
      <c r="G187">
        <v>549941</v>
      </c>
      <c r="H187">
        <v>560827</v>
      </c>
      <c r="I187">
        <v>572577</v>
      </c>
      <c r="J187">
        <v>585236</v>
      </c>
      <c r="K187">
        <v>598804</v>
      </c>
      <c r="L187">
        <v>613318</v>
      </c>
      <c r="M187">
        <v>628798</v>
      </c>
      <c r="N187">
        <v>645255</v>
      </c>
      <c r="O187">
        <v>662680</v>
      </c>
      <c r="P187">
        <v>681119</v>
      </c>
      <c r="Q187">
        <v>700593</v>
      </c>
      <c r="R187">
        <v>721179</v>
      </c>
      <c r="S187">
        <v>746988</v>
      </c>
      <c r="T187">
        <v>778864</v>
      </c>
      <c r="U187">
        <v>814701</v>
      </c>
      <c r="V187">
        <v>855314</v>
      </c>
      <c r="W187">
        <v>900304</v>
      </c>
      <c r="X187">
        <v>949116</v>
      </c>
      <c r="Y187">
        <v>1001248</v>
      </c>
      <c r="Z187">
        <v>1057320</v>
      </c>
      <c r="AA187">
        <v>1117678</v>
      </c>
      <c r="AB187">
        <v>1181459</v>
      </c>
      <c r="AC187">
        <v>1247716</v>
      </c>
      <c r="AD187">
        <v>1325480</v>
      </c>
      <c r="AE187">
        <v>1413419</v>
      </c>
      <c r="AF187">
        <v>1500996</v>
      </c>
      <c r="AG187">
        <v>1588568</v>
      </c>
      <c r="AH187">
        <v>1676228</v>
      </c>
      <c r="AI187">
        <v>1763954</v>
      </c>
      <c r="AJ187">
        <v>1851473</v>
      </c>
      <c r="AK187">
        <v>1938238</v>
      </c>
      <c r="AL187">
        <v>2021675</v>
      </c>
      <c r="AM187">
        <v>2081834</v>
      </c>
      <c r="AN187">
        <v>2120528</v>
      </c>
      <c r="AO187">
        <v>2156926</v>
      </c>
      <c r="AP187">
        <v>2190720</v>
      </c>
      <c r="AQ187">
        <v>2222489</v>
      </c>
      <c r="AR187">
        <v>2252909</v>
      </c>
      <c r="AS187">
        <v>2282131</v>
      </c>
      <c r="AT187">
        <v>2310217</v>
      </c>
      <c r="AU187">
        <v>2337140</v>
      </c>
      <c r="AV187">
        <v>2363796</v>
      </c>
      <c r="AW187">
        <v>2404821</v>
      </c>
      <c r="AX187">
        <v>2459802</v>
      </c>
      <c r="AY187">
        <v>2514795</v>
      </c>
      <c r="AZ187">
        <v>2570174</v>
      </c>
      <c r="BA187">
        <v>2626529</v>
      </c>
      <c r="BB187">
        <v>2684659</v>
      </c>
      <c r="BC187">
        <v>2757446</v>
      </c>
      <c r="BD187">
        <v>3076763</v>
      </c>
      <c r="BE187">
        <v>3547106</v>
      </c>
      <c r="BF187">
        <v>3833913</v>
      </c>
      <c r="BG187">
        <v>4002439</v>
      </c>
      <c r="BH187">
        <v>4184895</v>
      </c>
      <c r="BI187">
        <v>4390877</v>
      </c>
      <c r="BJ187">
        <v>4537396</v>
      </c>
      <c r="BK187">
        <v>4597877</v>
      </c>
      <c r="BL187">
        <v>4591241</v>
      </c>
      <c r="BM187">
        <v>4522497</v>
      </c>
      <c r="BN187">
        <v>4500424</v>
      </c>
      <c r="BO187">
        <v>4730226</v>
      </c>
      <c r="BP187">
        <v>5049269</v>
      </c>
      <c r="BQ187">
        <v>5281538</v>
      </c>
      <c r="BR187">
        <v>5494691</v>
      </c>
    </row>
    <row r="188" spans="1:70" x14ac:dyDescent="0.35">
      <c r="A188" t="s">
        <v>641</v>
      </c>
      <c r="B188" t="s">
        <v>642</v>
      </c>
      <c r="C188" t="s">
        <v>295</v>
      </c>
      <c r="D188" t="s">
        <v>296</v>
      </c>
      <c r="E188">
        <v>5297024</v>
      </c>
      <c r="F188">
        <v>5374964</v>
      </c>
      <c r="G188">
        <v>5476102</v>
      </c>
      <c r="H188">
        <v>5578740</v>
      </c>
      <c r="I188">
        <v>5680872</v>
      </c>
      <c r="J188">
        <v>5779625</v>
      </c>
      <c r="K188">
        <v>5872358</v>
      </c>
      <c r="L188">
        <v>5959394</v>
      </c>
      <c r="M188">
        <v>6047701</v>
      </c>
      <c r="N188">
        <v>6141108</v>
      </c>
      <c r="O188">
        <v>6240826</v>
      </c>
      <c r="P188">
        <v>6348289</v>
      </c>
      <c r="Q188">
        <v>6460753</v>
      </c>
      <c r="R188">
        <v>6573195</v>
      </c>
      <c r="S188">
        <v>6679456</v>
      </c>
      <c r="T188">
        <v>6790788</v>
      </c>
      <c r="U188">
        <v>6913443</v>
      </c>
      <c r="V188">
        <v>7044675</v>
      </c>
      <c r="W188">
        <v>7176063</v>
      </c>
      <c r="X188">
        <v>7309677</v>
      </c>
      <c r="Y188">
        <v>7444817</v>
      </c>
      <c r="Z188">
        <v>7577614</v>
      </c>
      <c r="AA188">
        <v>7711694</v>
      </c>
      <c r="AB188">
        <v>7843045</v>
      </c>
      <c r="AC188">
        <v>7975015</v>
      </c>
      <c r="AD188">
        <v>8118973</v>
      </c>
      <c r="AE188">
        <v>8271747</v>
      </c>
      <c r="AF188">
        <v>8429468</v>
      </c>
      <c r="AG188">
        <v>8592255</v>
      </c>
      <c r="AH188">
        <v>8765561</v>
      </c>
      <c r="AI188">
        <v>8949306</v>
      </c>
      <c r="AJ188">
        <v>9131087</v>
      </c>
      <c r="AK188">
        <v>9201490</v>
      </c>
      <c r="AL188">
        <v>9249106</v>
      </c>
      <c r="AM188">
        <v>9328189</v>
      </c>
      <c r="AN188">
        <v>9389918</v>
      </c>
      <c r="AO188">
        <v>9493131</v>
      </c>
      <c r="AP188">
        <v>9618823</v>
      </c>
      <c r="AQ188">
        <v>9746302</v>
      </c>
      <c r="AR188">
        <v>9758520</v>
      </c>
      <c r="AS188">
        <v>9788238</v>
      </c>
      <c r="AT188">
        <v>9961679</v>
      </c>
      <c r="AU188">
        <v>10136134</v>
      </c>
      <c r="AV188">
        <v>10269557</v>
      </c>
      <c r="AW188">
        <v>10371059</v>
      </c>
      <c r="AX188">
        <v>10479844</v>
      </c>
      <c r="AY188">
        <v>10601352</v>
      </c>
      <c r="AZ188">
        <v>10730365</v>
      </c>
      <c r="BA188">
        <v>10862640</v>
      </c>
      <c r="BB188">
        <v>10989567</v>
      </c>
      <c r="BC188">
        <v>11112466</v>
      </c>
      <c r="BD188">
        <v>11226214</v>
      </c>
      <c r="BE188">
        <v>11346082</v>
      </c>
      <c r="BF188">
        <v>11466589</v>
      </c>
      <c r="BG188">
        <v>11591200</v>
      </c>
      <c r="BH188">
        <v>11722398</v>
      </c>
      <c r="BI188">
        <v>11851918</v>
      </c>
      <c r="BJ188">
        <v>11989367</v>
      </c>
      <c r="BK188">
        <v>12135267</v>
      </c>
      <c r="BL188">
        <v>12281907</v>
      </c>
      <c r="BM188">
        <v>12417333</v>
      </c>
      <c r="BN188">
        <v>12541889</v>
      </c>
      <c r="BO188">
        <v>12699005</v>
      </c>
      <c r="BP188">
        <v>12822134</v>
      </c>
      <c r="BQ188">
        <v>12931878</v>
      </c>
      <c r="BR188">
        <v>13034928</v>
      </c>
    </row>
    <row r="189" spans="1:70" x14ac:dyDescent="0.35">
      <c r="A189" t="s">
        <v>643</v>
      </c>
      <c r="B189" t="s">
        <v>644</v>
      </c>
      <c r="C189" t="s">
        <v>295</v>
      </c>
      <c r="D189" t="s">
        <v>296</v>
      </c>
      <c r="E189">
        <v>45709310</v>
      </c>
      <c r="F189">
        <v>46921277</v>
      </c>
      <c r="G189">
        <v>48156128</v>
      </c>
      <c r="H189">
        <v>49447776</v>
      </c>
      <c r="I189">
        <v>50799999</v>
      </c>
      <c r="J189">
        <v>52209010</v>
      </c>
      <c r="K189">
        <v>53678667</v>
      </c>
      <c r="L189">
        <v>55214768</v>
      </c>
      <c r="M189">
        <v>56810507</v>
      </c>
      <c r="N189">
        <v>58460939</v>
      </c>
      <c r="O189">
        <v>60166719</v>
      </c>
      <c r="P189">
        <v>61847899</v>
      </c>
      <c r="Q189">
        <v>63583194</v>
      </c>
      <c r="R189">
        <v>65461912</v>
      </c>
      <c r="S189">
        <v>67415487</v>
      </c>
      <c r="T189">
        <v>69461175</v>
      </c>
      <c r="U189">
        <v>71620254</v>
      </c>
      <c r="V189">
        <v>73901827</v>
      </c>
      <c r="W189">
        <v>76307379</v>
      </c>
      <c r="X189">
        <v>78997039</v>
      </c>
      <c r="Y189">
        <v>82291010</v>
      </c>
      <c r="Z189">
        <v>85802049</v>
      </c>
      <c r="AA189">
        <v>89089246</v>
      </c>
      <c r="AB189">
        <v>92227711</v>
      </c>
      <c r="AC189">
        <v>95164936</v>
      </c>
      <c r="AD189">
        <v>98229285</v>
      </c>
      <c r="AE189">
        <v>101606764</v>
      </c>
      <c r="AF189">
        <v>105130717</v>
      </c>
      <c r="AG189">
        <v>108724739</v>
      </c>
      <c r="AH189">
        <v>112336629</v>
      </c>
      <c r="AI189">
        <v>116155576</v>
      </c>
      <c r="AJ189">
        <v>120060406</v>
      </c>
      <c r="AK189">
        <v>123546848</v>
      </c>
      <c r="AL189">
        <v>127020117</v>
      </c>
      <c r="AM189">
        <v>130748083</v>
      </c>
      <c r="AN189">
        <v>134582253</v>
      </c>
      <c r="AO189">
        <v>138557092</v>
      </c>
      <c r="AP189">
        <v>142531804</v>
      </c>
      <c r="AQ189">
        <v>146522356</v>
      </c>
      <c r="AR189">
        <v>150565377</v>
      </c>
      <c r="AS189">
        <v>154879127</v>
      </c>
      <c r="AT189">
        <v>159270907</v>
      </c>
      <c r="AU189">
        <v>163222549</v>
      </c>
      <c r="AV189">
        <v>167110248</v>
      </c>
      <c r="AW189">
        <v>171286000</v>
      </c>
      <c r="AX189">
        <v>175453212</v>
      </c>
      <c r="AY189">
        <v>179682690</v>
      </c>
      <c r="AZ189">
        <v>184493231</v>
      </c>
      <c r="BA189">
        <v>189499113</v>
      </c>
      <c r="BB189">
        <v>194376534</v>
      </c>
      <c r="BC189">
        <v>199239047</v>
      </c>
      <c r="BD189">
        <v>203746065</v>
      </c>
      <c r="BE189">
        <v>207667125</v>
      </c>
      <c r="BF189">
        <v>211073978</v>
      </c>
      <c r="BG189">
        <v>214264647</v>
      </c>
      <c r="BH189">
        <v>217290883</v>
      </c>
      <c r="BI189">
        <v>220138869</v>
      </c>
      <c r="BJ189">
        <v>223273967</v>
      </c>
      <c r="BK189">
        <v>226928892</v>
      </c>
      <c r="BL189">
        <v>230800899</v>
      </c>
      <c r="BM189">
        <v>235001746</v>
      </c>
      <c r="BN189">
        <v>239477801</v>
      </c>
      <c r="BO189">
        <v>243700667</v>
      </c>
      <c r="BP189">
        <v>247504495</v>
      </c>
      <c r="BQ189">
        <v>251269164</v>
      </c>
      <c r="BR189">
        <v>255219554</v>
      </c>
    </row>
    <row r="190" spans="1:70" x14ac:dyDescent="0.35">
      <c r="A190" t="s">
        <v>645</v>
      </c>
      <c r="B190" t="s">
        <v>646</v>
      </c>
      <c r="C190" t="s">
        <v>295</v>
      </c>
      <c r="D190" t="s">
        <v>296</v>
      </c>
      <c r="E190">
        <v>1126005</v>
      </c>
      <c r="F190">
        <v>1159870</v>
      </c>
      <c r="G190">
        <v>1195301</v>
      </c>
      <c r="H190">
        <v>1232124</v>
      </c>
      <c r="I190">
        <v>1270065</v>
      </c>
      <c r="J190">
        <v>1308835</v>
      </c>
      <c r="K190">
        <v>1348388</v>
      </c>
      <c r="L190">
        <v>1388628</v>
      </c>
      <c r="M190">
        <v>1429447</v>
      </c>
      <c r="N190">
        <v>1470886</v>
      </c>
      <c r="O190">
        <v>1513070</v>
      </c>
      <c r="P190">
        <v>1556081</v>
      </c>
      <c r="Q190">
        <v>1599723</v>
      </c>
      <c r="R190">
        <v>1643690</v>
      </c>
      <c r="S190">
        <v>1687926</v>
      </c>
      <c r="T190">
        <v>1732389</v>
      </c>
      <c r="U190">
        <v>1776935</v>
      </c>
      <c r="V190">
        <v>1821543</v>
      </c>
      <c r="W190">
        <v>1866311</v>
      </c>
      <c r="X190">
        <v>1911552</v>
      </c>
      <c r="Y190">
        <v>1957534</v>
      </c>
      <c r="Z190">
        <v>2004418</v>
      </c>
      <c r="AA190">
        <v>2052271</v>
      </c>
      <c r="AB190">
        <v>2101106</v>
      </c>
      <c r="AC190">
        <v>2150782</v>
      </c>
      <c r="AD190">
        <v>2200915</v>
      </c>
      <c r="AE190">
        <v>2251325</v>
      </c>
      <c r="AF190">
        <v>2301970</v>
      </c>
      <c r="AG190">
        <v>2352848</v>
      </c>
      <c r="AH190">
        <v>2403820</v>
      </c>
      <c r="AI190">
        <v>2455583</v>
      </c>
      <c r="AJ190">
        <v>2508265</v>
      </c>
      <c r="AK190">
        <v>2561336</v>
      </c>
      <c r="AL190">
        <v>2615099</v>
      </c>
      <c r="AM190">
        <v>2669546</v>
      </c>
      <c r="AN190">
        <v>2724557</v>
      </c>
      <c r="AO190">
        <v>2780227</v>
      </c>
      <c r="AP190">
        <v>2836695</v>
      </c>
      <c r="AQ190">
        <v>2893914</v>
      </c>
      <c r="AR190">
        <v>2951822</v>
      </c>
      <c r="AS190">
        <v>3010369</v>
      </c>
      <c r="AT190">
        <v>3069537</v>
      </c>
      <c r="AU190">
        <v>3129344</v>
      </c>
      <c r="AV190">
        <v>3189807</v>
      </c>
      <c r="AW190">
        <v>3251155</v>
      </c>
      <c r="AX190">
        <v>3313026</v>
      </c>
      <c r="AY190">
        <v>3375024</v>
      </c>
      <c r="AZ190">
        <v>3437490</v>
      </c>
      <c r="BA190">
        <v>3500648</v>
      </c>
      <c r="BB190">
        <v>3564381</v>
      </c>
      <c r="BC190">
        <v>3628535</v>
      </c>
      <c r="BD190">
        <v>3693505</v>
      </c>
      <c r="BE190">
        <v>3759256</v>
      </c>
      <c r="BF190">
        <v>3825329</v>
      </c>
      <c r="BG190">
        <v>3892101</v>
      </c>
      <c r="BH190">
        <v>3960035</v>
      </c>
      <c r="BI190">
        <v>4029086</v>
      </c>
      <c r="BJ190">
        <v>4098707</v>
      </c>
      <c r="BK190">
        <v>4167860</v>
      </c>
      <c r="BL190">
        <v>4234700</v>
      </c>
      <c r="BM190">
        <v>4293261</v>
      </c>
      <c r="BN190">
        <v>4345405</v>
      </c>
      <c r="BO190">
        <v>4400773</v>
      </c>
      <c r="BP190">
        <v>4458759</v>
      </c>
      <c r="BQ190">
        <v>4515577</v>
      </c>
      <c r="BR190">
        <v>4571189</v>
      </c>
    </row>
    <row r="191" spans="1:70" x14ac:dyDescent="0.35">
      <c r="A191" t="s">
        <v>647</v>
      </c>
      <c r="B191" t="s">
        <v>648</v>
      </c>
      <c r="C191" t="s">
        <v>295</v>
      </c>
      <c r="D191" t="s">
        <v>296</v>
      </c>
      <c r="E191">
        <v>10174127</v>
      </c>
      <c r="F191">
        <v>10475123</v>
      </c>
      <c r="G191">
        <v>10784612</v>
      </c>
      <c r="H191">
        <v>11102099</v>
      </c>
      <c r="I191">
        <v>11427978</v>
      </c>
      <c r="J191">
        <v>11761085</v>
      </c>
      <c r="K191">
        <v>12101297</v>
      </c>
      <c r="L191">
        <v>12448814</v>
      </c>
      <c r="M191">
        <v>12803993</v>
      </c>
      <c r="N191">
        <v>13166767</v>
      </c>
      <c r="O191">
        <v>13501237</v>
      </c>
      <c r="P191">
        <v>13838067</v>
      </c>
      <c r="Q191">
        <v>14210147</v>
      </c>
      <c r="R191">
        <v>14582867</v>
      </c>
      <c r="S191">
        <v>14956552</v>
      </c>
      <c r="T191">
        <v>15333957</v>
      </c>
      <c r="U191">
        <v>15716809</v>
      </c>
      <c r="V191">
        <v>16109806</v>
      </c>
      <c r="W191">
        <v>16516059</v>
      </c>
      <c r="X191">
        <v>16933139</v>
      </c>
      <c r="Y191">
        <v>17360949</v>
      </c>
      <c r="Z191">
        <v>17798805</v>
      </c>
      <c r="AA191">
        <v>18246503</v>
      </c>
      <c r="AB191">
        <v>18705957</v>
      </c>
      <c r="AC191">
        <v>19174716</v>
      </c>
      <c r="AD191">
        <v>19648204</v>
      </c>
      <c r="AE191">
        <v>20117122</v>
      </c>
      <c r="AF191">
        <v>20582320</v>
      </c>
      <c r="AG191">
        <v>21054702</v>
      </c>
      <c r="AH191">
        <v>21532589</v>
      </c>
      <c r="AI191">
        <v>22014771</v>
      </c>
      <c r="AJ191">
        <v>22483775</v>
      </c>
      <c r="AK191">
        <v>22946340</v>
      </c>
      <c r="AL191">
        <v>23413783</v>
      </c>
      <c r="AM191">
        <v>23881493</v>
      </c>
      <c r="AN191">
        <v>24348919</v>
      </c>
      <c r="AO191">
        <v>24811171</v>
      </c>
      <c r="AP191">
        <v>25274147</v>
      </c>
      <c r="AQ191">
        <v>25738095</v>
      </c>
      <c r="AR191">
        <v>26186504</v>
      </c>
      <c r="AS191">
        <v>26598331</v>
      </c>
      <c r="AT191">
        <v>26964601</v>
      </c>
      <c r="AU191">
        <v>27288217</v>
      </c>
      <c r="AV191">
        <v>27580490</v>
      </c>
      <c r="AW191">
        <v>27852190</v>
      </c>
      <c r="AX191">
        <v>28101180</v>
      </c>
      <c r="AY191">
        <v>28324491</v>
      </c>
      <c r="AZ191">
        <v>28530699</v>
      </c>
      <c r="BA191">
        <v>28719041</v>
      </c>
      <c r="BB191">
        <v>28896811</v>
      </c>
      <c r="BC191">
        <v>29086019</v>
      </c>
      <c r="BD191">
        <v>29304086</v>
      </c>
      <c r="BE191">
        <v>29550366</v>
      </c>
      <c r="BF191">
        <v>29817919</v>
      </c>
      <c r="BG191">
        <v>30115826</v>
      </c>
      <c r="BH191">
        <v>30457600</v>
      </c>
      <c r="BI191">
        <v>30866494</v>
      </c>
      <c r="BJ191">
        <v>31324637</v>
      </c>
      <c r="BK191">
        <v>31897584</v>
      </c>
      <c r="BL191">
        <v>32449303</v>
      </c>
      <c r="BM191">
        <v>32838579</v>
      </c>
      <c r="BN191">
        <v>33155882</v>
      </c>
      <c r="BO191">
        <v>33475438</v>
      </c>
      <c r="BP191">
        <v>33845617</v>
      </c>
      <c r="BQ191">
        <v>34217848</v>
      </c>
      <c r="BR191">
        <v>34576665</v>
      </c>
    </row>
    <row r="192" spans="1:70" x14ac:dyDescent="0.35">
      <c r="A192" t="s">
        <v>649</v>
      </c>
      <c r="B192" t="s">
        <v>650</v>
      </c>
      <c r="C192" t="s">
        <v>295</v>
      </c>
      <c r="D192" t="s">
        <v>296</v>
      </c>
      <c r="E192">
        <v>27891897</v>
      </c>
      <c r="F192">
        <v>28792621</v>
      </c>
      <c r="G192">
        <v>29723536</v>
      </c>
      <c r="H192">
        <v>30674731</v>
      </c>
      <c r="I192">
        <v>31643032</v>
      </c>
      <c r="J192">
        <v>32625316</v>
      </c>
      <c r="K192">
        <v>33617170</v>
      </c>
      <c r="L192">
        <v>34621320</v>
      </c>
      <c r="M192">
        <v>35638342</v>
      </c>
      <c r="N192">
        <v>36660799</v>
      </c>
      <c r="O192">
        <v>37622204</v>
      </c>
      <c r="P192">
        <v>38518659</v>
      </c>
      <c r="Q192">
        <v>39408560</v>
      </c>
      <c r="R192">
        <v>40294130</v>
      </c>
      <c r="S192">
        <v>41174341</v>
      </c>
      <c r="T192">
        <v>42120826</v>
      </c>
      <c r="U192">
        <v>43201488</v>
      </c>
      <c r="V192">
        <v>44367962</v>
      </c>
      <c r="W192">
        <v>45575281</v>
      </c>
      <c r="X192">
        <v>46807103</v>
      </c>
      <c r="Y192">
        <v>48043740</v>
      </c>
      <c r="Z192">
        <v>49311727</v>
      </c>
      <c r="AA192">
        <v>50695707</v>
      </c>
      <c r="AB192">
        <v>52194620</v>
      </c>
      <c r="AC192">
        <v>53726181</v>
      </c>
      <c r="AD192">
        <v>55213006</v>
      </c>
      <c r="AE192">
        <v>56645077</v>
      </c>
      <c r="AF192">
        <v>58157496</v>
      </c>
      <c r="AG192">
        <v>59739052</v>
      </c>
      <c r="AH192">
        <v>61265260</v>
      </c>
      <c r="AI192">
        <v>62854666</v>
      </c>
      <c r="AJ192">
        <v>64382249</v>
      </c>
      <c r="AK192">
        <v>65926125</v>
      </c>
      <c r="AL192">
        <v>67530621</v>
      </c>
      <c r="AM192">
        <v>69019291</v>
      </c>
      <c r="AN192">
        <v>70546246</v>
      </c>
      <c r="AO192">
        <v>72190242</v>
      </c>
      <c r="AP192">
        <v>73908810</v>
      </c>
      <c r="AQ192">
        <v>75791024</v>
      </c>
      <c r="AR192">
        <v>77753257</v>
      </c>
      <c r="AS192">
        <v>79625397</v>
      </c>
      <c r="AT192">
        <v>81401488</v>
      </c>
      <c r="AU192">
        <v>83068889</v>
      </c>
      <c r="AV192">
        <v>84731835</v>
      </c>
      <c r="AW192">
        <v>86394504</v>
      </c>
      <c r="AX192">
        <v>88015962</v>
      </c>
      <c r="AY192">
        <v>89508986</v>
      </c>
      <c r="AZ192">
        <v>91075184</v>
      </c>
      <c r="BA192">
        <v>92699095</v>
      </c>
      <c r="BB192">
        <v>94384250</v>
      </c>
      <c r="BC192">
        <v>96337125</v>
      </c>
      <c r="BD192">
        <v>98248614</v>
      </c>
      <c r="BE192">
        <v>100175512</v>
      </c>
      <c r="BF192">
        <v>102076336</v>
      </c>
      <c r="BG192">
        <v>103767130</v>
      </c>
      <c r="BH192">
        <v>105312992</v>
      </c>
      <c r="BI192">
        <v>106735719</v>
      </c>
      <c r="BJ192">
        <v>108119693</v>
      </c>
      <c r="BK192">
        <v>109465287</v>
      </c>
      <c r="BL192">
        <v>110804683</v>
      </c>
      <c r="BM192">
        <v>112081264</v>
      </c>
      <c r="BN192">
        <v>113100950</v>
      </c>
      <c r="BO192">
        <v>113964338</v>
      </c>
      <c r="BP192">
        <v>114891199</v>
      </c>
      <c r="BQ192">
        <v>115843670</v>
      </c>
      <c r="BR192">
        <v>116786962</v>
      </c>
    </row>
    <row r="193" spans="1:70" x14ac:dyDescent="0.35">
      <c r="A193" t="s">
        <v>651</v>
      </c>
      <c r="B193" t="s">
        <v>652</v>
      </c>
      <c r="C193" t="s">
        <v>295</v>
      </c>
      <c r="D193" t="s">
        <v>296</v>
      </c>
      <c r="E193">
        <v>9328</v>
      </c>
      <c r="F193">
        <v>9555</v>
      </c>
      <c r="G193">
        <v>9793</v>
      </c>
      <c r="H193">
        <v>10037</v>
      </c>
      <c r="I193">
        <v>10292</v>
      </c>
      <c r="J193">
        <v>10547</v>
      </c>
      <c r="K193">
        <v>10805</v>
      </c>
      <c r="L193">
        <v>10988</v>
      </c>
      <c r="M193">
        <v>11080</v>
      </c>
      <c r="N193">
        <v>11159</v>
      </c>
      <c r="O193">
        <v>11368</v>
      </c>
      <c r="P193">
        <v>11759</v>
      </c>
      <c r="Q193">
        <v>12194</v>
      </c>
      <c r="R193">
        <v>12552</v>
      </c>
      <c r="S193">
        <v>12687</v>
      </c>
      <c r="T193">
        <v>12655</v>
      </c>
      <c r="U193">
        <v>12598</v>
      </c>
      <c r="V193">
        <v>12525</v>
      </c>
      <c r="W193">
        <v>12440</v>
      </c>
      <c r="X193">
        <v>12337</v>
      </c>
      <c r="Y193">
        <v>12271</v>
      </c>
      <c r="Z193">
        <v>12402</v>
      </c>
      <c r="AA193">
        <v>12694</v>
      </c>
      <c r="AB193">
        <v>13006</v>
      </c>
      <c r="AC193">
        <v>13337</v>
      </c>
      <c r="AD193">
        <v>13688</v>
      </c>
      <c r="AE193">
        <v>14024</v>
      </c>
      <c r="AF193">
        <v>14334</v>
      </c>
      <c r="AG193">
        <v>14645</v>
      </c>
      <c r="AH193">
        <v>14945</v>
      </c>
      <c r="AI193">
        <v>15259</v>
      </c>
      <c r="AJ193">
        <v>15614</v>
      </c>
      <c r="AK193">
        <v>15989</v>
      </c>
      <c r="AL193">
        <v>16372</v>
      </c>
      <c r="AM193">
        <v>16770</v>
      </c>
      <c r="AN193">
        <v>17195</v>
      </c>
      <c r="AO193">
        <v>17654</v>
      </c>
      <c r="AP193">
        <v>18108</v>
      </c>
      <c r="AQ193">
        <v>18524</v>
      </c>
      <c r="AR193">
        <v>18901</v>
      </c>
      <c r="AS193">
        <v>19178</v>
      </c>
      <c r="AT193">
        <v>19352</v>
      </c>
      <c r="AU193">
        <v>19503</v>
      </c>
      <c r="AV193">
        <v>19659</v>
      </c>
      <c r="AW193">
        <v>19820</v>
      </c>
      <c r="AX193">
        <v>19819</v>
      </c>
      <c r="AY193">
        <v>19593</v>
      </c>
      <c r="AZ193">
        <v>19302</v>
      </c>
      <c r="BA193">
        <v>19009</v>
      </c>
      <c r="BB193">
        <v>18709</v>
      </c>
      <c r="BC193">
        <v>18396</v>
      </c>
      <c r="BD193">
        <v>18078</v>
      </c>
      <c r="BE193">
        <v>17765</v>
      </c>
      <c r="BF193">
        <v>17648</v>
      </c>
      <c r="BG193">
        <v>17715</v>
      </c>
      <c r="BH193">
        <v>17770</v>
      </c>
      <c r="BI193">
        <v>17797</v>
      </c>
      <c r="BJ193">
        <v>17812</v>
      </c>
      <c r="BK193">
        <v>17814</v>
      </c>
      <c r="BL193">
        <v>17798</v>
      </c>
      <c r="BM193">
        <v>17792</v>
      </c>
      <c r="BN193">
        <v>17783</v>
      </c>
      <c r="BO193">
        <v>17759</v>
      </c>
      <c r="BP193">
        <v>17727</v>
      </c>
      <c r="BQ193">
        <v>17695</v>
      </c>
      <c r="BR193">
        <v>17663</v>
      </c>
    </row>
    <row r="194" spans="1:70" x14ac:dyDescent="0.35">
      <c r="A194" t="s">
        <v>653</v>
      </c>
      <c r="B194" t="s">
        <v>654</v>
      </c>
      <c r="C194" t="s">
        <v>295</v>
      </c>
      <c r="D194" t="s">
        <v>296</v>
      </c>
      <c r="E194">
        <v>1995110</v>
      </c>
      <c r="F194">
        <v>2046127</v>
      </c>
      <c r="G194">
        <v>2093919</v>
      </c>
      <c r="H194">
        <v>2141376</v>
      </c>
      <c r="I194">
        <v>2188325</v>
      </c>
      <c r="J194">
        <v>2235820</v>
      </c>
      <c r="K194">
        <v>2285774</v>
      </c>
      <c r="L194">
        <v>2337532</v>
      </c>
      <c r="M194">
        <v>2390803</v>
      </c>
      <c r="N194">
        <v>2446927</v>
      </c>
      <c r="O194">
        <v>2505628</v>
      </c>
      <c r="P194">
        <v>2566421</v>
      </c>
      <c r="Q194">
        <v>2628432</v>
      </c>
      <c r="R194">
        <v>2690629</v>
      </c>
      <c r="S194">
        <v>2752671</v>
      </c>
      <c r="T194">
        <v>2814820</v>
      </c>
      <c r="U194">
        <v>2877327</v>
      </c>
      <c r="V194">
        <v>2940327</v>
      </c>
      <c r="W194">
        <v>3003714</v>
      </c>
      <c r="X194">
        <v>3067341</v>
      </c>
      <c r="Y194">
        <v>3131512</v>
      </c>
      <c r="Z194">
        <v>3197019</v>
      </c>
      <c r="AA194">
        <v>3264291</v>
      </c>
      <c r="AB194">
        <v>3333633</v>
      </c>
      <c r="AC194">
        <v>3405198</v>
      </c>
      <c r="AD194">
        <v>3478936</v>
      </c>
      <c r="AE194">
        <v>3554793</v>
      </c>
      <c r="AF194">
        <v>3632543</v>
      </c>
      <c r="AG194">
        <v>3711880</v>
      </c>
      <c r="AH194">
        <v>3796078</v>
      </c>
      <c r="AI194">
        <v>3896481</v>
      </c>
      <c r="AJ194">
        <v>4021837</v>
      </c>
      <c r="AK194">
        <v>4166699</v>
      </c>
      <c r="AL194">
        <v>4320872</v>
      </c>
      <c r="AM194">
        <v>4480208</v>
      </c>
      <c r="AN194">
        <v>4644278</v>
      </c>
      <c r="AO194">
        <v>4813361</v>
      </c>
      <c r="AP194">
        <v>4987883</v>
      </c>
      <c r="AQ194">
        <v>5166390</v>
      </c>
      <c r="AR194">
        <v>5349333</v>
      </c>
      <c r="AS194">
        <v>5537064</v>
      </c>
      <c r="AT194">
        <v>5728435</v>
      </c>
      <c r="AU194">
        <v>5924003</v>
      </c>
      <c r="AV194">
        <v>6123997</v>
      </c>
      <c r="AW194">
        <v>6328041</v>
      </c>
      <c r="AX194">
        <v>6535905</v>
      </c>
      <c r="AY194">
        <v>6747720</v>
      </c>
      <c r="AZ194">
        <v>6963345</v>
      </c>
      <c r="BA194">
        <v>7183002</v>
      </c>
      <c r="BB194">
        <v>7406438</v>
      </c>
      <c r="BC194">
        <v>7633523</v>
      </c>
      <c r="BD194">
        <v>7859346</v>
      </c>
      <c r="BE194">
        <v>8081390</v>
      </c>
      <c r="BF194">
        <v>8302698</v>
      </c>
      <c r="BG194">
        <v>8523441</v>
      </c>
      <c r="BH194">
        <v>8743246</v>
      </c>
      <c r="BI194">
        <v>8961718</v>
      </c>
      <c r="BJ194">
        <v>9178714</v>
      </c>
      <c r="BK194">
        <v>9394513</v>
      </c>
      <c r="BL194">
        <v>9609010</v>
      </c>
      <c r="BM194">
        <v>9815746</v>
      </c>
      <c r="BN194">
        <v>10012896</v>
      </c>
      <c r="BO194">
        <v>10203169</v>
      </c>
      <c r="BP194">
        <v>10389635</v>
      </c>
      <c r="BQ194">
        <v>10576502</v>
      </c>
      <c r="BR194">
        <v>10762817</v>
      </c>
    </row>
    <row r="195" spans="1:70" x14ac:dyDescent="0.35">
      <c r="A195" t="s">
        <v>655</v>
      </c>
      <c r="B195" t="s">
        <v>656</v>
      </c>
      <c r="C195" t="s">
        <v>295</v>
      </c>
      <c r="D195" t="s">
        <v>296</v>
      </c>
      <c r="E195">
        <v>29637450</v>
      </c>
      <c r="F195">
        <v>29964000</v>
      </c>
      <c r="G195">
        <v>30308500</v>
      </c>
      <c r="H195">
        <v>30712000</v>
      </c>
      <c r="I195">
        <v>31139450</v>
      </c>
      <c r="J195">
        <v>31444950</v>
      </c>
      <c r="K195">
        <v>31681000</v>
      </c>
      <c r="L195">
        <v>31987155</v>
      </c>
      <c r="M195">
        <v>32294655</v>
      </c>
      <c r="N195">
        <v>32548300</v>
      </c>
      <c r="O195">
        <v>32664300</v>
      </c>
      <c r="P195">
        <v>32783500</v>
      </c>
      <c r="Q195">
        <v>33055650</v>
      </c>
      <c r="R195">
        <v>33357200</v>
      </c>
      <c r="S195">
        <v>33678899</v>
      </c>
      <c r="T195">
        <v>34015199</v>
      </c>
      <c r="U195">
        <v>34356300</v>
      </c>
      <c r="V195">
        <v>34689050</v>
      </c>
      <c r="W195">
        <v>34965600</v>
      </c>
      <c r="X195">
        <v>35247217</v>
      </c>
      <c r="Y195">
        <v>35574150</v>
      </c>
      <c r="Z195">
        <v>35898587</v>
      </c>
      <c r="AA195">
        <v>36230481</v>
      </c>
      <c r="AB195">
        <v>36571808</v>
      </c>
      <c r="AC195">
        <v>36904134</v>
      </c>
      <c r="AD195">
        <v>37201885</v>
      </c>
      <c r="AE195">
        <v>37456119</v>
      </c>
      <c r="AF195">
        <v>37668045</v>
      </c>
      <c r="AG195">
        <v>37824487</v>
      </c>
      <c r="AH195">
        <v>37961529</v>
      </c>
      <c r="AI195">
        <v>38110782</v>
      </c>
      <c r="AJ195">
        <v>38246193</v>
      </c>
      <c r="AK195">
        <v>38363667</v>
      </c>
      <c r="AL195">
        <v>38461408</v>
      </c>
      <c r="AM195">
        <v>38542652</v>
      </c>
      <c r="AN195">
        <v>38594998</v>
      </c>
      <c r="AO195">
        <v>38624370</v>
      </c>
      <c r="AP195">
        <v>38649660</v>
      </c>
      <c r="AQ195">
        <v>38663481</v>
      </c>
      <c r="AR195">
        <v>38660271</v>
      </c>
      <c r="AS195">
        <v>38258629</v>
      </c>
      <c r="AT195">
        <v>38248076</v>
      </c>
      <c r="AU195">
        <v>38230364</v>
      </c>
      <c r="AV195">
        <v>38204570</v>
      </c>
      <c r="AW195">
        <v>38182222</v>
      </c>
      <c r="AX195">
        <v>38165445</v>
      </c>
      <c r="AY195">
        <v>38141267</v>
      </c>
      <c r="AZ195">
        <v>38120560</v>
      </c>
      <c r="BA195">
        <v>38125759</v>
      </c>
      <c r="BB195">
        <v>38151603</v>
      </c>
      <c r="BC195">
        <v>38042794</v>
      </c>
      <c r="BD195">
        <v>38063255</v>
      </c>
      <c r="BE195">
        <v>38063164</v>
      </c>
      <c r="BF195">
        <v>38040196</v>
      </c>
      <c r="BG195">
        <v>38011735</v>
      </c>
      <c r="BH195">
        <v>37986412</v>
      </c>
      <c r="BI195">
        <v>37970087</v>
      </c>
      <c r="BJ195">
        <v>37974826</v>
      </c>
      <c r="BK195">
        <v>37974750</v>
      </c>
      <c r="BL195">
        <v>37965475</v>
      </c>
      <c r="BM195">
        <v>37515748</v>
      </c>
      <c r="BN195">
        <v>36981559</v>
      </c>
      <c r="BO195">
        <v>36821749</v>
      </c>
      <c r="BP195">
        <v>36687353</v>
      </c>
      <c r="BQ195">
        <v>36559233</v>
      </c>
      <c r="BR195">
        <v>36435861</v>
      </c>
    </row>
    <row r="196" spans="1:70" x14ac:dyDescent="0.35">
      <c r="A196" t="s">
        <v>657</v>
      </c>
      <c r="B196" t="s">
        <v>658</v>
      </c>
      <c r="C196" t="s">
        <v>295</v>
      </c>
      <c r="D196" t="s">
        <v>296</v>
      </c>
      <c r="E196">
        <v>188920253</v>
      </c>
      <c r="F196">
        <v>193342737</v>
      </c>
      <c r="G196">
        <v>198004977</v>
      </c>
      <c r="H196">
        <v>202879347</v>
      </c>
      <c r="I196">
        <v>207954439</v>
      </c>
      <c r="J196">
        <v>213227841</v>
      </c>
      <c r="K196">
        <v>218676503</v>
      </c>
      <c r="L196">
        <v>224309684</v>
      </c>
      <c r="M196">
        <v>230174253</v>
      </c>
      <c r="N196">
        <v>236297767</v>
      </c>
      <c r="O196">
        <v>242673874</v>
      </c>
      <c r="P196">
        <v>249246142</v>
      </c>
      <c r="Q196">
        <v>255979584</v>
      </c>
      <c r="R196">
        <v>263133989</v>
      </c>
      <c r="S196">
        <v>270712922</v>
      </c>
      <c r="T196">
        <v>278545758</v>
      </c>
      <c r="U196">
        <v>286578588</v>
      </c>
      <c r="V196">
        <v>294933501</v>
      </c>
      <c r="W196">
        <v>304118502</v>
      </c>
      <c r="X196">
        <v>313762197</v>
      </c>
      <c r="Y196">
        <v>322835936</v>
      </c>
      <c r="Z196">
        <v>330855075</v>
      </c>
      <c r="AA196">
        <v>339422442</v>
      </c>
      <c r="AB196">
        <v>349036467</v>
      </c>
      <c r="AC196">
        <v>359032614</v>
      </c>
      <c r="AD196">
        <v>369324410</v>
      </c>
      <c r="AE196">
        <v>379632077</v>
      </c>
      <c r="AF196">
        <v>390114130</v>
      </c>
      <c r="AG196">
        <v>400552017</v>
      </c>
      <c r="AH196">
        <v>411406002</v>
      </c>
      <c r="AI196">
        <v>422186377</v>
      </c>
      <c r="AJ196">
        <v>432818968</v>
      </c>
      <c r="AK196">
        <v>445110952</v>
      </c>
      <c r="AL196">
        <v>459209732</v>
      </c>
      <c r="AM196">
        <v>474703936</v>
      </c>
      <c r="AN196">
        <v>489818238</v>
      </c>
      <c r="AO196">
        <v>503086910</v>
      </c>
      <c r="AP196">
        <v>516443569</v>
      </c>
      <c r="AQ196">
        <v>531140936</v>
      </c>
      <c r="AR196">
        <v>546555560</v>
      </c>
      <c r="AS196">
        <v>562071710</v>
      </c>
      <c r="AT196">
        <v>578214152</v>
      </c>
      <c r="AU196">
        <v>595728391</v>
      </c>
      <c r="AV196">
        <v>613871091</v>
      </c>
      <c r="AW196">
        <v>632030219</v>
      </c>
      <c r="AX196">
        <v>650889143</v>
      </c>
      <c r="AY196">
        <v>669788208</v>
      </c>
      <c r="AZ196">
        <v>688282695</v>
      </c>
      <c r="BA196">
        <v>708363596</v>
      </c>
      <c r="BB196">
        <v>729873044</v>
      </c>
      <c r="BC196">
        <v>751639870</v>
      </c>
      <c r="BD196">
        <v>774151525</v>
      </c>
      <c r="BE196">
        <v>797555707</v>
      </c>
      <c r="BF196">
        <v>821651825</v>
      </c>
      <c r="BG196">
        <v>845885930</v>
      </c>
      <c r="BH196">
        <v>869996107</v>
      </c>
      <c r="BI196">
        <v>894582467</v>
      </c>
      <c r="BJ196">
        <v>919835947</v>
      </c>
      <c r="BK196">
        <v>945516605</v>
      </c>
      <c r="BL196">
        <v>971459360</v>
      </c>
      <c r="BM196">
        <v>997742595</v>
      </c>
      <c r="BN196">
        <v>1024018110</v>
      </c>
      <c r="BO196">
        <v>1050180429</v>
      </c>
      <c r="BP196">
        <v>1077143557</v>
      </c>
      <c r="BQ196">
        <v>1104843110</v>
      </c>
      <c r="BR196">
        <v>1133132223</v>
      </c>
    </row>
    <row r="197" spans="1:70" x14ac:dyDescent="0.35">
      <c r="A197" t="s">
        <v>659</v>
      </c>
      <c r="B197" t="s">
        <v>660</v>
      </c>
      <c r="C197" t="s">
        <v>295</v>
      </c>
      <c r="D197" t="s">
        <v>296</v>
      </c>
      <c r="E197">
        <v>2358000</v>
      </c>
      <c r="F197">
        <v>2399722</v>
      </c>
      <c r="G197">
        <v>2450322</v>
      </c>
      <c r="H197">
        <v>2504530</v>
      </c>
      <c r="I197">
        <v>2554066</v>
      </c>
      <c r="J197">
        <v>2594000</v>
      </c>
      <c r="K197">
        <v>2624995</v>
      </c>
      <c r="L197">
        <v>2645674</v>
      </c>
      <c r="M197">
        <v>2662064</v>
      </c>
      <c r="N197">
        <v>2684150</v>
      </c>
      <c r="O197">
        <v>2718000</v>
      </c>
      <c r="P197">
        <v>2762190</v>
      </c>
      <c r="Q197">
        <v>2817256</v>
      </c>
      <c r="R197">
        <v>2878786</v>
      </c>
      <c r="S197">
        <v>2939299</v>
      </c>
      <c r="T197">
        <v>2994000</v>
      </c>
      <c r="U197">
        <v>3043854</v>
      </c>
      <c r="V197">
        <v>3088690</v>
      </c>
      <c r="W197">
        <v>3129421</v>
      </c>
      <c r="X197">
        <v>3168088</v>
      </c>
      <c r="Y197">
        <v>3206000</v>
      </c>
      <c r="Z197">
        <v>3242552</v>
      </c>
      <c r="AA197">
        <v>3277453</v>
      </c>
      <c r="AB197">
        <v>3311138</v>
      </c>
      <c r="AC197">
        <v>3344190</v>
      </c>
      <c r="AD197">
        <v>3377000</v>
      </c>
      <c r="AE197">
        <v>3409554</v>
      </c>
      <c r="AF197">
        <v>3441850</v>
      </c>
      <c r="AG197">
        <v>3473898</v>
      </c>
      <c r="AH197">
        <v>3505650</v>
      </c>
      <c r="AI197">
        <v>3537000</v>
      </c>
      <c r="AJ197">
        <v>3562110</v>
      </c>
      <c r="AK197">
        <v>3585176</v>
      </c>
      <c r="AL197">
        <v>3615497</v>
      </c>
      <c r="AM197">
        <v>3649237</v>
      </c>
      <c r="AN197">
        <v>3683103</v>
      </c>
      <c r="AO197">
        <v>3724655</v>
      </c>
      <c r="AP197">
        <v>3759430</v>
      </c>
      <c r="AQ197">
        <v>3781101</v>
      </c>
      <c r="AR197">
        <v>3800081</v>
      </c>
      <c r="AS197">
        <v>3810605</v>
      </c>
      <c r="AT197">
        <v>3818774</v>
      </c>
      <c r="AU197">
        <v>3823701</v>
      </c>
      <c r="AV197">
        <v>3826095</v>
      </c>
      <c r="AW197">
        <v>3826878</v>
      </c>
      <c r="AX197">
        <v>3821362</v>
      </c>
      <c r="AY197">
        <v>3805214</v>
      </c>
      <c r="AZ197">
        <v>3782995</v>
      </c>
      <c r="BA197">
        <v>3760866</v>
      </c>
      <c r="BB197">
        <v>3740410</v>
      </c>
      <c r="BC197">
        <v>3724465</v>
      </c>
      <c r="BD197">
        <v>3693464</v>
      </c>
      <c r="BE197">
        <v>3661045</v>
      </c>
      <c r="BF197">
        <v>3631427</v>
      </c>
      <c r="BG197">
        <v>3585017</v>
      </c>
      <c r="BH197">
        <v>3535167</v>
      </c>
      <c r="BI197">
        <v>3480432</v>
      </c>
      <c r="BJ197">
        <v>3410837</v>
      </c>
      <c r="BK197">
        <v>3290690</v>
      </c>
      <c r="BL197">
        <v>3302691</v>
      </c>
      <c r="BM197">
        <v>3281591</v>
      </c>
      <c r="BN197">
        <v>3262731</v>
      </c>
      <c r="BO197">
        <v>3220148</v>
      </c>
      <c r="BP197">
        <v>3203794</v>
      </c>
      <c r="BQ197">
        <v>3202521</v>
      </c>
      <c r="BR197">
        <v>3184835</v>
      </c>
    </row>
    <row r="198" spans="1:70" x14ac:dyDescent="0.35">
      <c r="A198" t="s">
        <v>661</v>
      </c>
      <c r="B198" t="s">
        <v>662</v>
      </c>
      <c r="C198" t="s">
        <v>295</v>
      </c>
      <c r="D198" t="s">
        <v>296</v>
      </c>
      <c r="E198">
        <v>11722953</v>
      </c>
      <c r="F198">
        <v>11990713</v>
      </c>
      <c r="G198">
        <v>12262882</v>
      </c>
      <c r="H198">
        <v>12567057</v>
      </c>
      <c r="I198">
        <v>12889770</v>
      </c>
      <c r="J198">
        <v>13219369</v>
      </c>
      <c r="K198">
        <v>13569094</v>
      </c>
      <c r="L198">
        <v>13958350</v>
      </c>
      <c r="M198">
        <v>14365596</v>
      </c>
      <c r="N198">
        <v>14767615</v>
      </c>
      <c r="O198">
        <v>15172775</v>
      </c>
      <c r="P198">
        <v>15572457</v>
      </c>
      <c r="Q198">
        <v>15975069</v>
      </c>
      <c r="R198">
        <v>16350367</v>
      </c>
      <c r="S198">
        <v>16673121</v>
      </c>
      <c r="T198">
        <v>16971055</v>
      </c>
      <c r="U198">
        <v>17243450</v>
      </c>
      <c r="V198">
        <v>17492798</v>
      </c>
      <c r="W198">
        <v>17735995</v>
      </c>
      <c r="X198">
        <v>17983470</v>
      </c>
      <c r="Y198">
        <v>18236786</v>
      </c>
      <c r="Z198">
        <v>18501295</v>
      </c>
      <c r="AA198">
        <v>18776357</v>
      </c>
      <c r="AB198">
        <v>19054034</v>
      </c>
      <c r="AC198">
        <v>19335043</v>
      </c>
      <c r="AD198">
        <v>19620388</v>
      </c>
      <c r="AE198">
        <v>19910855</v>
      </c>
      <c r="AF198">
        <v>20205483</v>
      </c>
      <c r="AG198">
        <v>20503161</v>
      </c>
      <c r="AH198">
        <v>20804367</v>
      </c>
      <c r="AI198">
        <v>21112137</v>
      </c>
      <c r="AJ198">
        <v>21428638</v>
      </c>
      <c r="AK198">
        <v>21750911</v>
      </c>
      <c r="AL198">
        <v>22073352</v>
      </c>
      <c r="AM198">
        <v>22393975</v>
      </c>
      <c r="AN198">
        <v>22669304</v>
      </c>
      <c r="AO198">
        <v>22895746</v>
      </c>
      <c r="AP198">
        <v>23110830</v>
      </c>
      <c r="AQ198">
        <v>23311564</v>
      </c>
      <c r="AR198">
        <v>23497599</v>
      </c>
      <c r="AS198">
        <v>23665910</v>
      </c>
      <c r="AT198">
        <v>23815358</v>
      </c>
      <c r="AU198">
        <v>23943973</v>
      </c>
      <c r="AV198">
        <v>24090380</v>
      </c>
      <c r="AW198">
        <v>24254943</v>
      </c>
      <c r="AX198">
        <v>24396433</v>
      </c>
      <c r="AY198">
        <v>24524507</v>
      </c>
      <c r="AZ198">
        <v>24646383</v>
      </c>
      <c r="BA198">
        <v>24764618</v>
      </c>
      <c r="BB198">
        <v>24878332</v>
      </c>
      <c r="BC198">
        <v>24987258</v>
      </c>
      <c r="BD198">
        <v>25097874</v>
      </c>
      <c r="BE198">
        <v>25211728</v>
      </c>
      <c r="BF198">
        <v>25329451</v>
      </c>
      <c r="BG198">
        <v>25451262</v>
      </c>
      <c r="BH198">
        <v>25575350</v>
      </c>
      <c r="BI198">
        <v>25698326</v>
      </c>
      <c r="BJ198">
        <v>25817709</v>
      </c>
      <c r="BK198">
        <v>25931147</v>
      </c>
      <c r="BL198">
        <v>26037632</v>
      </c>
      <c r="BM198">
        <v>26136312</v>
      </c>
      <c r="BN198">
        <v>26232534</v>
      </c>
      <c r="BO198">
        <v>26328845</v>
      </c>
      <c r="BP198">
        <v>26418204</v>
      </c>
      <c r="BQ198">
        <v>26498823</v>
      </c>
      <c r="BR198">
        <v>26571036</v>
      </c>
    </row>
    <row r="199" spans="1:70" x14ac:dyDescent="0.35">
      <c r="A199" t="s">
        <v>663</v>
      </c>
      <c r="B199" t="s">
        <v>664</v>
      </c>
      <c r="C199" t="s">
        <v>295</v>
      </c>
      <c r="D199" t="s">
        <v>296</v>
      </c>
      <c r="E199">
        <v>8857716</v>
      </c>
      <c r="F199">
        <v>8929316</v>
      </c>
      <c r="G199">
        <v>8993985</v>
      </c>
      <c r="H199">
        <v>9030355</v>
      </c>
      <c r="I199">
        <v>9035365</v>
      </c>
      <c r="J199">
        <v>8998595</v>
      </c>
      <c r="K199">
        <v>8930990</v>
      </c>
      <c r="L199">
        <v>8874520</v>
      </c>
      <c r="M199">
        <v>8836650</v>
      </c>
      <c r="N199">
        <v>8757705</v>
      </c>
      <c r="O199">
        <v>8680431</v>
      </c>
      <c r="P199">
        <v>8643756</v>
      </c>
      <c r="Q199">
        <v>8630430</v>
      </c>
      <c r="R199">
        <v>8633100</v>
      </c>
      <c r="S199">
        <v>8754365</v>
      </c>
      <c r="T199">
        <v>9093470</v>
      </c>
      <c r="U199">
        <v>9355810</v>
      </c>
      <c r="V199">
        <v>9455675</v>
      </c>
      <c r="W199">
        <v>9558250</v>
      </c>
      <c r="X199">
        <v>9661265</v>
      </c>
      <c r="Y199">
        <v>9766312</v>
      </c>
      <c r="Z199">
        <v>9851362</v>
      </c>
      <c r="AA199">
        <v>9911771</v>
      </c>
      <c r="AB199">
        <v>9957865</v>
      </c>
      <c r="AC199">
        <v>9996232</v>
      </c>
      <c r="AD199">
        <v>10023613</v>
      </c>
      <c r="AE199">
        <v>10032734</v>
      </c>
      <c r="AF199">
        <v>10030031</v>
      </c>
      <c r="AG199">
        <v>10019610</v>
      </c>
      <c r="AH199">
        <v>10005000</v>
      </c>
      <c r="AI199">
        <v>9983218</v>
      </c>
      <c r="AJ199">
        <v>9960235</v>
      </c>
      <c r="AK199">
        <v>9952494</v>
      </c>
      <c r="AL199">
        <v>9964675</v>
      </c>
      <c r="AM199">
        <v>9991525</v>
      </c>
      <c r="AN199">
        <v>10026176</v>
      </c>
      <c r="AO199">
        <v>10063945</v>
      </c>
      <c r="AP199">
        <v>10108977</v>
      </c>
      <c r="AQ199">
        <v>10160196</v>
      </c>
      <c r="AR199">
        <v>10217828</v>
      </c>
      <c r="AS199">
        <v>10289898</v>
      </c>
      <c r="AT199">
        <v>10362722</v>
      </c>
      <c r="AU199">
        <v>10419631</v>
      </c>
      <c r="AV199">
        <v>10458821</v>
      </c>
      <c r="AW199">
        <v>10483861</v>
      </c>
      <c r="AX199">
        <v>10503330</v>
      </c>
      <c r="AY199">
        <v>10522288</v>
      </c>
      <c r="AZ199">
        <v>10542964</v>
      </c>
      <c r="BA199">
        <v>10558177</v>
      </c>
      <c r="BB199">
        <v>10568247</v>
      </c>
      <c r="BC199">
        <v>10573100</v>
      </c>
      <c r="BD199">
        <v>10557560</v>
      </c>
      <c r="BE199">
        <v>10514844</v>
      </c>
      <c r="BF199">
        <v>10457295</v>
      </c>
      <c r="BG199">
        <v>10401062</v>
      </c>
      <c r="BH199">
        <v>10358076</v>
      </c>
      <c r="BI199">
        <v>10325452</v>
      </c>
      <c r="BJ199">
        <v>10300300</v>
      </c>
      <c r="BK199">
        <v>10283822</v>
      </c>
      <c r="BL199">
        <v>10286263</v>
      </c>
      <c r="BM199">
        <v>10297081</v>
      </c>
      <c r="BN199">
        <v>10361831</v>
      </c>
      <c r="BO199">
        <v>10434332</v>
      </c>
      <c r="BP199">
        <v>10578174</v>
      </c>
      <c r="BQ199">
        <v>10694681</v>
      </c>
      <c r="BR199">
        <v>10804871</v>
      </c>
    </row>
    <row r="200" spans="1:70" x14ac:dyDescent="0.35">
      <c r="A200" t="s">
        <v>665</v>
      </c>
      <c r="B200" t="s">
        <v>666</v>
      </c>
      <c r="C200" t="s">
        <v>295</v>
      </c>
      <c r="D200" t="s">
        <v>296</v>
      </c>
      <c r="E200">
        <v>1883514</v>
      </c>
      <c r="F200">
        <v>1927394</v>
      </c>
      <c r="G200">
        <v>1973130</v>
      </c>
      <c r="H200">
        <v>2021909</v>
      </c>
      <c r="I200">
        <v>2073119</v>
      </c>
      <c r="J200">
        <v>2125177</v>
      </c>
      <c r="K200">
        <v>2177584</v>
      </c>
      <c r="L200">
        <v>2229994</v>
      </c>
      <c r="M200">
        <v>2282391</v>
      </c>
      <c r="N200">
        <v>2334992</v>
      </c>
      <c r="O200">
        <v>2388028</v>
      </c>
      <c r="P200">
        <v>2442537</v>
      </c>
      <c r="Q200">
        <v>2499881</v>
      </c>
      <c r="R200">
        <v>2561102</v>
      </c>
      <c r="S200">
        <v>2625621</v>
      </c>
      <c r="T200">
        <v>2691648</v>
      </c>
      <c r="U200">
        <v>2758836</v>
      </c>
      <c r="V200">
        <v>2827874</v>
      </c>
      <c r="W200">
        <v>2899269</v>
      </c>
      <c r="X200">
        <v>2973968</v>
      </c>
      <c r="Y200">
        <v>3053235</v>
      </c>
      <c r="Z200">
        <v>3137604</v>
      </c>
      <c r="AA200">
        <v>3226189</v>
      </c>
      <c r="AB200">
        <v>3318068</v>
      </c>
      <c r="AC200">
        <v>3412936</v>
      </c>
      <c r="AD200">
        <v>3510671</v>
      </c>
      <c r="AE200">
        <v>3611474</v>
      </c>
      <c r="AF200">
        <v>3714889</v>
      </c>
      <c r="AG200">
        <v>3820546</v>
      </c>
      <c r="AH200">
        <v>3927802</v>
      </c>
      <c r="AI200">
        <v>4035747</v>
      </c>
      <c r="AJ200">
        <v>4144364</v>
      </c>
      <c r="AK200">
        <v>4253600</v>
      </c>
      <c r="AL200">
        <v>4362696</v>
      </c>
      <c r="AM200">
        <v>4471417</v>
      </c>
      <c r="AN200">
        <v>4579806</v>
      </c>
      <c r="AO200">
        <v>4687543</v>
      </c>
      <c r="AP200">
        <v>4794412</v>
      </c>
      <c r="AQ200">
        <v>4900025</v>
      </c>
      <c r="AR200">
        <v>5003135</v>
      </c>
      <c r="AS200">
        <v>5100868</v>
      </c>
      <c r="AT200">
        <v>5187689</v>
      </c>
      <c r="AU200">
        <v>5261328</v>
      </c>
      <c r="AV200">
        <v>5326436</v>
      </c>
      <c r="AW200">
        <v>5388175</v>
      </c>
      <c r="AX200">
        <v>5448097</v>
      </c>
      <c r="AY200">
        <v>5505148</v>
      </c>
      <c r="AZ200">
        <v>5559386</v>
      </c>
      <c r="BA200">
        <v>5613574</v>
      </c>
      <c r="BB200">
        <v>5671236</v>
      </c>
      <c r="BC200">
        <v>5737971</v>
      </c>
      <c r="BD200">
        <v>5814626</v>
      </c>
      <c r="BE200">
        <v>5897008</v>
      </c>
      <c r="BF200">
        <v>5982445</v>
      </c>
      <c r="BG200">
        <v>6069811</v>
      </c>
      <c r="BH200">
        <v>6159103</v>
      </c>
      <c r="BI200">
        <v>6249126</v>
      </c>
      <c r="BJ200">
        <v>6338660</v>
      </c>
      <c r="BK200">
        <v>6427382</v>
      </c>
      <c r="BL200">
        <v>6515058</v>
      </c>
      <c r="BM200">
        <v>6603739</v>
      </c>
      <c r="BN200">
        <v>6684182</v>
      </c>
      <c r="BO200">
        <v>6760464</v>
      </c>
      <c r="BP200">
        <v>6844146</v>
      </c>
      <c r="BQ200">
        <v>6929153</v>
      </c>
      <c r="BR200">
        <v>7013078</v>
      </c>
    </row>
    <row r="201" spans="1:70" x14ac:dyDescent="0.35">
      <c r="A201" t="s">
        <v>667</v>
      </c>
      <c r="B201" t="s">
        <v>668</v>
      </c>
      <c r="C201" t="s">
        <v>295</v>
      </c>
      <c r="D201" t="s">
        <v>296</v>
      </c>
      <c r="AI201">
        <v>1978248</v>
      </c>
      <c r="AJ201">
        <v>2068845</v>
      </c>
      <c r="AK201">
        <v>2163591</v>
      </c>
      <c r="AL201">
        <v>2262676</v>
      </c>
      <c r="AM201">
        <v>2366298</v>
      </c>
      <c r="AN201">
        <v>2474666</v>
      </c>
      <c r="AO201">
        <v>2587997</v>
      </c>
      <c r="AP201">
        <v>2706518</v>
      </c>
      <c r="AQ201">
        <v>2776568</v>
      </c>
      <c r="AR201">
        <v>2848431</v>
      </c>
      <c r="AS201">
        <v>2922153</v>
      </c>
      <c r="AT201">
        <v>2997784</v>
      </c>
      <c r="AU201">
        <v>3075373</v>
      </c>
      <c r="AV201">
        <v>3154969</v>
      </c>
      <c r="AW201">
        <v>3236626</v>
      </c>
      <c r="AX201">
        <v>3320396</v>
      </c>
      <c r="AY201">
        <v>3406334</v>
      </c>
      <c r="AZ201">
        <v>3494496</v>
      </c>
      <c r="BA201">
        <v>3591977</v>
      </c>
      <c r="BB201">
        <v>3689099</v>
      </c>
      <c r="BC201">
        <v>3786161</v>
      </c>
      <c r="BD201">
        <v>3882986</v>
      </c>
      <c r="BE201">
        <v>3979998</v>
      </c>
      <c r="BF201">
        <v>4076708</v>
      </c>
      <c r="BG201">
        <v>4173398</v>
      </c>
      <c r="BH201">
        <v>4270092</v>
      </c>
      <c r="BI201">
        <v>4367088</v>
      </c>
      <c r="BJ201">
        <v>4454805</v>
      </c>
      <c r="BK201">
        <v>4569087</v>
      </c>
      <c r="BL201">
        <v>4685306</v>
      </c>
      <c r="BM201">
        <v>4803269</v>
      </c>
      <c r="BN201">
        <v>4922749</v>
      </c>
      <c r="BO201">
        <v>5043612</v>
      </c>
      <c r="BP201">
        <v>5165775</v>
      </c>
      <c r="BQ201">
        <v>5289152</v>
      </c>
      <c r="BR201">
        <v>5413596</v>
      </c>
    </row>
    <row r="202" spans="1:70" x14ac:dyDescent="0.35">
      <c r="A202" t="s">
        <v>669</v>
      </c>
      <c r="B202" t="s">
        <v>670</v>
      </c>
      <c r="C202" t="s">
        <v>295</v>
      </c>
      <c r="D202" t="s">
        <v>296</v>
      </c>
      <c r="E202">
        <v>912120</v>
      </c>
      <c r="F202">
        <v>938244</v>
      </c>
      <c r="G202">
        <v>965430</v>
      </c>
      <c r="H202">
        <v>993524</v>
      </c>
      <c r="I202">
        <v>1022081</v>
      </c>
      <c r="J202">
        <v>1051140</v>
      </c>
      <c r="K202">
        <v>1079689</v>
      </c>
      <c r="L202">
        <v>1105889</v>
      </c>
      <c r="M202">
        <v>1130851</v>
      </c>
      <c r="N202">
        <v>1156327</v>
      </c>
      <c r="O202">
        <v>1181537</v>
      </c>
      <c r="P202">
        <v>1205879</v>
      </c>
      <c r="Q202">
        <v>1229695</v>
      </c>
      <c r="R202">
        <v>1253169</v>
      </c>
      <c r="S202">
        <v>1277600</v>
      </c>
      <c r="T202">
        <v>1303608</v>
      </c>
      <c r="U202">
        <v>1331351</v>
      </c>
      <c r="V202">
        <v>1360619</v>
      </c>
      <c r="W202">
        <v>1390784</v>
      </c>
      <c r="X202">
        <v>1422234</v>
      </c>
      <c r="Y202">
        <v>1454476</v>
      </c>
      <c r="Z202">
        <v>1487561</v>
      </c>
      <c r="AA202">
        <v>1521261</v>
      </c>
      <c r="AB202">
        <v>1555284</v>
      </c>
      <c r="AC202">
        <v>1590058</v>
      </c>
      <c r="AD202">
        <v>1625654</v>
      </c>
      <c r="AE202">
        <v>1660533</v>
      </c>
      <c r="AF202">
        <v>1692234</v>
      </c>
      <c r="AG202">
        <v>1721206</v>
      </c>
      <c r="AH202">
        <v>1748900</v>
      </c>
      <c r="AI202">
        <v>1775607</v>
      </c>
      <c r="AJ202">
        <v>1801531</v>
      </c>
      <c r="AK202">
        <v>1827395</v>
      </c>
      <c r="AL202">
        <v>1853148</v>
      </c>
      <c r="AM202">
        <v>1878007</v>
      </c>
      <c r="AN202">
        <v>1901782</v>
      </c>
      <c r="AO202">
        <v>1926342</v>
      </c>
      <c r="AP202">
        <v>1954642</v>
      </c>
      <c r="AQ202">
        <v>1984859</v>
      </c>
      <c r="AR202">
        <v>2014289</v>
      </c>
      <c r="AS202">
        <v>2042274</v>
      </c>
      <c r="AT202">
        <v>2069097</v>
      </c>
      <c r="AU202">
        <v>2095273</v>
      </c>
      <c r="AV202">
        <v>2120592</v>
      </c>
      <c r="AW202">
        <v>2145505</v>
      </c>
      <c r="AX202">
        <v>2170029</v>
      </c>
      <c r="AY202">
        <v>2194265</v>
      </c>
      <c r="AZ202">
        <v>2218230</v>
      </c>
      <c r="BA202">
        <v>2240739</v>
      </c>
      <c r="BB202">
        <v>2262456</v>
      </c>
      <c r="BC202">
        <v>2289399</v>
      </c>
      <c r="BD202">
        <v>2320899</v>
      </c>
      <c r="BE202">
        <v>2351924</v>
      </c>
      <c r="BF202">
        <v>2382931</v>
      </c>
      <c r="BG202">
        <v>2414338</v>
      </c>
      <c r="BH202">
        <v>2445989</v>
      </c>
      <c r="BI202">
        <v>2477794</v>
      </c>
      <c r="BJ202">
        <v>2509999</v>
      </c>
      <c r="BK202">
        <v>2542009</v>
      </c>
      <c r="BL202">
        <v>2568656</v>
      </c>
      <c r="BM202">
        <v>2595522</v>
      </c>
      <c r="BN202">
        <v>2625493</v>
      </c>
      <c r="BO202">
        <v>2656049</v>
      </c>
      <c r="BP202">
        <v>2689224</v>
      </c>
      <c r="BQ202">
        <v>2722467</v>
      </c>
      <c r="BR202">
        <v>2755649</v>
      </c>
    </row>
    <row r="203" spans="1:70" x14ac:dyDescent="0.35">
      <c r="A203" t="s">
        <v>671</v>
      </c>
      <c r="B203" t="s">
        <v>672</v>
      </c>
      <c r="C203" t="s">
        <v>295</v>
      </c>
      <c r="D203" t="s">
        <v>296</v>
      </c>
      <c r="E203">
        <v>756359099</v>
      </c>
      <c r="F203">
        <v>765442136</v>
      </c>
      <c r="G203">
        <v>774678780</v>
      </c>
      <c r="H203">
        <v>783736508</v>
      </c>
      <c r="I203">
        <v>792735136</v>
      </c>
      <c r="J203">
        <v>801451274</v>
      </c>
      <c r="K203">
        <v>809623605</v>
      </c>
      <c r="L203">
        <v>817437528</v>
      </c>
      <c r="M203">
        <v>825029113</v>
      </c>
      <c r="N203">
        <v>832633761</v>
      </c>
      <c r="O203">
        <v>840190480</v>
      </c>
      <c r="P203">
        <v>849553629</v>
      </c>
      <c r="Q203">
        <v>857513072</v>
      </c>
      <c r="R203">
        <v>865015884</v>
      </c>
      <c r="S203">
        <v>872247955</v>
      </c>
      <c r="T203">
        <v>879088327</v>
      </c>
      <c r="U203">
        <v>885244462</v>
      </c>
      <c r="V203">
        <v>891301791</v>
      </c>
      <c r="W203">
        <v>897398355</v>
      </c>
      <c r="X203">
        <v>903773491</v>
      </c>
      <c r="Y203">
        <v>909919829</v>
      </c>
      <c r="Z203">
        <v>916024683</v>
      </c>
      <c r="AA203">
        <v>921558505</v>
      </c>
      <c r="AB203">
        <v>926768139</v>
      </c>
      <c r="AC203">
        <v>931624894</v>
      </c>
      <c r="AD203">
        <v>936480384</v>
      </c>
      <c r="AE203">
        <v>941566838</v>
      </c>
      <c r="AF203">
        <v>946817118</v>
      </c>
      <c r="AG203">
        <v>952284317</v>
      </c>
      <c r="AH203">
        <v>958176572</v>
      </c>
      <c r="AI203">
        <v>964371624</v>
      </c>
      <c r="AJ203">
        <v>971291914</v>
      </c>
      <c r="AK203">
        <v>978087877</v>
      </c>
      <c r="AL203">
        <v>984398082</v>
      </c>
      <c r="AM203">
        <v>990028770</v>
      </c>
      <c r="AN203">
        <v>995338472</v>
      </c>
      <c r="AO203">
        <v>1000836719</v>
      </c>
      <c r="AP203">
        <v>1006102041</v>
      </c>
      <c r="AQ203">
        <v>1011086034</v>
      </c>
      <c r="AR203">
        <v>1015990094</v>
      </c>
      <c r="AS203">
        <v>1021150563</v>
      </c>
      <c r="AT203">
        <v>1026105872</v>
      </c>
      <c r="AU203">
        <v>1031302538</v>
      </c>
      <c r="AV203">
        <v>1036498631</v>
      </c>
      <c r="AW203">
        <v>1041890752</v>
      </c>
      <c r="AX203">
        <v>1047140108</v>
      </c>
      <c r="AY203">
        <v>1052866351</v>
      </c>
      <c r="AZ203">
        <v>1059147302</v>
      </c>
      <c r="BA203">
        <v>1065603711</v>
      </c>
      <c r="BB203">
        <v>1071118156</v>
      </c>
      <c r="BC203">
        <v>1076208648</v>
      </c>
      <c r="BD203">
        <v>1079468050</v>
      </c>
      <c r="BE203">
        <v>1084193277</v>
      </c>
      <c r="BF203">
        <v>1088423167</v>
      </c>
      <c r="BG203">
        <v>1093024476</v>
      </c>
      <c r="BH203">
        <v>1097889139</v>
      </c>
      <c r="BI203">
        <v>1102965925</v>
      </c>
      <c r="BJ203">
        <v>1107159559</v>
      </c>
      <c r="BK203">
        <v>1111104033</v>
      </c>
      <c r="BL203">
        <v>1114895817</v>
      </c>
      <c r="BM203">
        <v>1117003860</v>
      </c>
      <c r="BN203">
        <v>1116578102</v>
      </c>
      <c r="BO203">
        <v>1117420833</v>
      </c>
      <c r="BP203">
        <v>1121263972</v>
      </c>
      <c r="BQ203">
        <v>1128299339</v>
      </c>
      <c r="BR203">
        <v>1132621782</v>
      </c>
    </row>
    <row r="204" spans="1:70" x14ac:dyDescent="0.35">
      <c r="A204" t="s">
        <v>673</v>
      </c>
      <c r="B204" t="s">
        <v>674</v>
      </c>
      <c r="C204" t="s">
        <v>295</v>
      </c>
      <c r="D204" t="s">
        <v>296</v>
      </c>
      <c r="E204">
        <v>83671</v>
      </c>
      <c r="F204">
        <v>85434</v>
      </c>
      <c r="G204">
        <v>87261</v>
      </c>
      <c r="H204">
        <v>89737</v>
      </c>
      <c r="I204">
        <v>92823</v>
      </c>
      <c r="J204">
        <v>96017</v>
      </c>
      <c r="K204">
        <v>99320</v>
      </c>
      <c r="L204">
        <v>102754</v>
      </c>
      <c r="M204">
        <v>106353</v>
      </c>
      <c r="N204">
        <v>110111</v>
      </c>
      <c r="O204">
        <v>114010</v>
      </c>
      <c r="P204">
        <v>117945</v>
      </c>
      <c r="Q204">
        <v>121886</v>
      </c>
      <c r="R204">
        <v>125897</v>
      </c>
      <c r="S204">
        <v>129960</v>
      </c>
      <c r="T204">
        <v>134045</v>
      </c>
      <c r="U204">
        <v>138114</v>
      </c>
      <c r="V204">
        <v>142313</v>
      </c>
      <c r="W204">
        <v>146821</v>
      </c>
      <c r="X204">
        <v>151569</v>
      </c>
      <c r="Y204">
        <v>156471</v>
      </c>
      <c r="Z204">
        <v>161506</v>
      </c>
      <c r="AA204">
        <v>166646</v>
      </c>
      <c r="AB204">
        <v>171750</v>
      </c>
      <c r="AC204">
        <v>176469</v>
      </c>
      <c r="AD204">
        <v>180988</v>
      </c>
      <c r="AE204">
        <v>185669</v>
      </c>
      <c r="AF204">
        <v>190449</v>
      </c>
      <c r="AG204">
        <v>195193</v>
      </c>
      <c r="AH204">
        <v>199643</v>
      </c>
      <c r="AI204">
        <v>203776</v>
      </c>
      <c r="AJ204">
        <v>207744</v>
      </c>
      <c r="AK204">
        <v>211559</v>
      </c>
      <c r="AL204">
        <v>215219</v>
      </c>
      <c r="AM204">
        <v>218738</v>
      </c>
      <c r="AN204">
        <v>222118</v>
      </c>
      <c r="AO204">
        <v>225489</v>
      </c>
      <c r="AP204">
        <v>229121</v>
      </c>
      <c r="AQ204">
        <v>232891</v>
      </c>
      <c r="AR204">
        <v>236595</v>
      </c>
      <c r="AS204">
        <v>240337</v>
      </c>
      <c r="AT204">
        <v>244097</v>
      </c>
      <c r="AU204">
        <v>247775</v>
      </c>
      <c r="AV204">
        <v>251637</v>
      </c>
      <c r="AW204">
        <v>255654</v>
      </c>
      <c r="AX204">
        <v>259507</v>
      </c>
      <c r="AY204">
        <v>263223</v>
      </c>
      <c r="AZ204">
        <v>266438</v>
      </c>
      <c r="BA204">
        <v>268379</v>
      </c>
      <c r="BB204">
        <v>269481</v>
      </c>
      <c r="BC204">
        <v>270580</v>
      </c>
      <c r="BD204">
        <v>271727</v>
      </c>
      <c r="BE204">
        <v>273084</v>
      </c>
      <c r="BF204">
        <v>274728</v>
      </c>
      <c r="BG204">
        <v>276387</v>
      </c>
      <c r="BH204">
        <v>277866</v>
      </c>
      <c r="BI204">
        <v>279178</v>
      </c>
      <c r="BJ204">
        <v>280087</v>
      </c>
      <c r="BK204">
        <v>279815</v>
      </c>
      <c r="BL204">
        <v>279034</v>
      </c>
      <c r="BM204">
        <v>279209</v>
      </c>
      <c r="BN204">
        <v>279792</v>
      </c>
      <c r="BO204">
        <v>280378</v>
      </c>
      <c r="BP204">
        <v>281118</v>
      </c>
      <c r="BQ204">
        <v>281807</v>
      </c>
      <c r="BR204">
        <v>282465</v>
      </c>
    </row>
    <row r="205" spans="1:70" x14ac:dyDescent="0.35">
      <c r="A205" t="s">
        <v>675</v>
      </c>
      <c r="B205" t="s">
        <v>676</v>
      </c>
      <c r="C205" t="s">
        <v>295</v>
      </c>
      <c r="D205" t="s">
        <v>296</v>
      </c>
      <c r="E205">
        <v>36010</v>
      </c>
      <c r="F205">
        <v>39680</v>
      </c>
      <c r="G205">
        <v>44630</v>
      </c>
      <c r="H205">
        <v>50380</v>
      </c>
      <c r="I205">
        <v>56867</v>
      </c>
      <c r="J205">
        <v>64065</v>
      </c>
      <c r="K205">
        <v>72192</v>
      </c>
      <c r="L205">
        <v>81439</v>
      </c>
      <c r="M205">
        <v>91749</v>
      </c>
      <c r="N205">
        <v>103025</v>
      </c>
      <c r="O205">
        <v>116350</v>
      </c>
      <c r="P205">
        <v>131346</v>
      </c>
      <c r="Q205">
        <v>146506</v>
      </c>
      <c r="R205">
        <v>161841</v>
      </c>
      <c r="S205">
        <v>177362</v>
      </c>
      <c r="T205">
        <v>193087</v>
      </c>
      <c r="U205">
        <v>209052</v>
      </c>
      <c r="V205">
        <v>225285</v>
      </c>
      <c r="W205">
        <v>241808</v>
      </c>
      <c r="X205">
        <v>258670</v>
      </c>
      <c r="Y205">
        <v>275913</v>
      </c>
      <c r="Z205">
        <v>293553</v>
      </c>
      <c r="AA205">
        <v>311537</v>
      </c>
      <c r="AB205">
        <v>329709</v>
      </c>
      <c r="AC205">
        <v>347878</v>
      </c>
      <c r="AD205">
        <v>365940</v>
      </c>
      <c r="AE205">
        <v>382422</v>
      </c>
      <c r="AF205">
        <v>397005</v>
      </c>
      <c r="AG205">
        <v>411264</v>
      </c>
      <c r="AH205">
        <v>425646</v>
      </c>
      <c r="AI205">
        <v>440175</v>
      </c>
      <c r="AJ205">
        <v>454853</v>
      </c>
      <c r="AK205">
        <v>469657</v>
      </c>
      <c r="AL205">
        <v>484545</v>
      </c>
      <c r="AM205">
        <v>499459</v>
      </c>
      <c r="AN205">
        <v>514325</v>
      </c>
      <c r="AO205">
        <v>529019</v>
      </c>
      <c r="AP205">
        <v>550500</v>
      </c>
      <c r="AQ205">
        <v>580540</v>
      </c>
      <c r="AR205">
        <v>612500</v>
      </c>
      <c r="AS205">
        <v>644989</v>
      </c>
      <c r="AT205">
        <v>677925</v>
      </c>
      <c r="AU205">
        <v>711205</v>
      </c>
      <c r="AV205">
        <v>744682</v>
      </c>
      <c r="AW205">
        <v>773332</v>
      </c>
      <c r="AX205">
        <v>825408</v>
      </c>
      <c r="AY205">
        <v>972831</v>
      </c>
      <c r="AZ205">
        <v>1208595</v>
      </c>
      <c r="BA205">
        <v>1426938</v>
      </c>
      <c r="BB205">
        <v>1608903</v>
      </c>
      <c r="BC205">
        <v>1616832</v>
      </c>
      <c r="BD205">
        <v>1624761</v>
      </c>
      <c r="BE205">
        <v>1722438</v>
      </c>
      <c r="BF205">
        <v>1916426</v>
      </c>
      <c r="BG205">
        <v>2151745</v>
      </c>
      <c r="BH205">
        <v>2344557</v>
      </c>
      <c r="BI205">
        <v>2477113</v>
      </c>
      <c r="BJ205">
        <v>2545820</v>
      </c>
      <c r="BK205">
        <v>2580734</v>
      </c>
      <c r="BL205">
        <v>2638657</v>
      </c>
      <c r="BM205">
        <v>2794148</v>
      </c>
      <c r="BN205">
        <v>2504910</v>
      </c>
      <c r="BO205">
        <v>2657333</v>
      </c>
      <c r="BP205">
        <v>2656032</v>
      </c>
      <c r="BQ205">
        <v>2857822</v>
      </c>
      <c r="BR205">
        <v>2972215</v>
      </c>
    </row>
    <row r="206" spans="1:70" x14ac:dyDescent="0.35">
      <c r="A206" t="s">
        <v>677</v>
      </c>
      <c r="B206" t="s">
        <v>678</v>
      </c>
      <c r="C206" t="s">
        <v>295</v>
      </c>
      <c r="D206" t="s">
        <v>296</v>
      </c>
      <c r="E206">
        <v>18406905</v>
      </c>
      <c r="F206">
        <v>18555250</v>
      </c>
      <c r="G206">
        <v>18676550</v>
      </c>
      <c r="H206">
        <v>18797850</v>
      </c>
      <c r="I206">
        <v>18919126</v>
      </c>
      <c r="J206">
        <v>19031576</v>
      </c>
      <c r="K206">
        <v>19215450</v>
      </c>
      <c r="L206">
        <v>19534242</v>
      </c>
      <c r="M206">
        <v>19799831</v>
      </c>
      <c r="N206">
        <v>20009141</v>
      </c>
      <c r="O206">
        <v>20250398</v>
      </c>
      <c r="P206">
        <v>20461567</v>
      </c>
      <c r="Q206">
        <v>20657957</v>
      </c>
      <c r="R206">
        <v>20835681</v>
      </c>
      <c r="S206">
        <v>21029429</v>
      </c>
      <c r="T206">
        <v>21293583</v>
      </c>
      <c r="U206">
        <v>21551634</v>
      </c>
      <c r="V206">
        <v>21756096</v>
      </c>
      <c r="W206">
        <v>21951464</v>
      </c>
      <c r="X206">
        <v>22090488</v>
      </c>
      <c r="Y206">
        <v>22207282</v>
      </c>
      <c r="Z206">
        <v>22353070</v>
      </c>
      <c r="AA206">
        <v>22475741</v>
      </c>
      <c r="AB206">
        <v>22560478</v>
      </c>
      <c r="AC206">
        <v>22640547</v>
      </c>
      <c r="AD206">
        <v>22732999</v>
      </c>
      <c r="AE206">
        <v>22836841</v>
      </c>
      <c r="AF206">
        <v>22949430</v>
      </c>
      <c r="AG206">
        <v>23057662</v>
      </c>
      <c r="AH206">
        <v>23161458</v>
      </c>
      <c r="AI206">
        <v>23201835</v>
      </c>
      <c r="AJ206">
        <v>23001155</v>
      </c>
      <c r="AK206">
        <v>22794284</v>
      </c>
      <c r="AL206">
        <v>22763280</v>
      </c>
      <c r="AM206">
        <v>22730211</v>
      </c>
      <c r="AN206">
        <v>22684270</v>
      </c>
      <c r="AO206">
        <v>22619004</v>
      </c>
      <c r="AP206">
        <v>22553978</v>
      </c>
      <c r="AQ206">
        <v>22507344</v>
      </c>
      <c r="AR206">
        <v>22472040</v>
      </c>
      <c r="AS206">
        <v>22442971</v>
      </c>
      <c r="AT206">
        <v>22131970</v>
      </c>
      <c r="AU206">
        <v>21730496</v>
      </c>
      <c r="AV206">
        <v>21574326</v>
      </c>
      <c r="AW206">
        <v>21451748</v>
      </c>
      <c r="AX206">
        <v>21319685</v>
      </c>
      <c r="AY206">
        <v>21193760</v>
      </c>
      <c r="AZ206">
        <v>20882982</v>
      </c>
      <c r="BA206">
        <v>20537875</v>
      </c>
      <c r="BB206">
        <v>20367487</v>
      </c>
      <c r="BC206">
        <v>20246871</v>
      </c>
      <c r="BD206">
        <v>20147528</v>
      </c>
      <c r="BE206">
        <v>20058035</v>
      </c>
      <c r="BF206">
        <v>19983693</v>
      </c>
      <c r="BG206">
        <v>19908979</v>
      </c>
      <c r="BH206">
        <v>19815616</v>
      </c>
      <c r="BI206">
        <v>19702267</v>
      </c>
      <c r="BJ206">
        <v>19588715</v>
      </c>
      <c r="BK206">
        <v>19473970</v>
      </c>
      <c r="BL206">
        <v>19371648</v>
      </c>
      <c r="BM206">
        <v>19265250</v>
      </c>
      <c r="BN206">
        <v>19122059</v>
      </c>
      <c r="BO206">
        <v>19048502</v>
      </c>
      <c r="BP206">
        <v>19061062</v>
      </c>
      <c r="BQ206">
        <v>19051804</v>
      </c>
      <c r="BR206">
        <v>19020271</v>
      </c>
    </row>
    <row r="207" spans="1:70" x14ac:dyDescent="0.35">
      <c r="A207" t="s">
        <v>679</v>
      </c>
      <c r="B207" t="s">
        <v>680</v>
      </c>
      <c r="C207" t="s">
        <v>295</v>
      </c>
      <c r="D207" t="s">
        <v>296</v>
      </c>
      <c r="E207">
        <v>119897000</v>
      </c>
      <c r="F207">
        <v>121236000</v>
      </c>
      <c r="G207">
        <v>122591000</v>
      </c>
      <c r="H207">
        <v>123960000</v>
      </c>
      <c r="I207">
        <v>125345000</v>
      </c>
      <c r="J207">
        <v>126745000</v>
      </c>
      <c r="K207">
        <v>127468000</v>
      </c>
      <c r="L207">
        <v>128196000</v>
      </c>
      <c r="M207">
        <v>128928000</v>
      </c>
      <c r="N207">
        <v>129664000</v>
      </c>
      <c r="O207">
        <v>130404000</v>
      </c>
      <c r="P207">
        <v>131155000</v>
      </c>
      <c r="Q207">
        <v>131909000</v>
      </c>
      <c r="R207">
        <v>132669000</v>
      </c>
      <c r="S207">
        <v>133432000</v>
      </c>
      <c r="T207">
        <v>134200000</v>
      </c>
      <c r="U207">
        <v>135147000</v>
      </c>
      <c r="V207">
        <v>136100000</v>
      </c>
      <c r="W207">
        <v>137060000</v>
      </c>
      <c r="X207">
        <v>138027000</v>
      </c>
      <c r="Y207">
        <v>139010000</v>
      </c>
      <c r="Z207">
        <v>139941000</v>
      </c>
      <c r="AA207">
        <v>140823000</v>
      </c>
      <c r="AB207">
        <v>141668000</v>
      </c>
      <c r="AC207">
        <v>142745000</v>
      </c>
      <c r="AD207">
        <v>143858000</v>
      </c>
      <c r="AE207">
        <v>144894000</v>
      </c>
      <c r="AF207">
        <v>145908000</v>
      </c>
      <c r="AG207">
        <v>146857000</v>
      </c>
      <c r="AH207">
        <v>147721000</v>
      </c>
      <c r="AI207">
        <v>147969406</v>
      </c>
      <c r="AJ207">
        <v>148394216</v>
      </c>
      <c r="AK207">
        <v>148538197</v>
      </c>
      <c r="AL207">
        <v>148458777</v>
      </c>
      <c r="AM207">
        <v>148407912</v>
      </c>
      <c r="AN207">
        <v>148375787</v>
      </c>
      <c r="AO207">
        <v>148160129</v>
      </c>
      <c r="AP207">
        <v>147915361</v>
      </c>
      <c r="AQ207">
        <v>147670784</v>
      </c>
      <c r="AR207">
        <v>147214776</v>
      </c>
      <c r="AS207">
        <v>146596869</v>
      </c>
      <c r="AT207">
        <v>145976482</v>
      </c>
      <c r="AU207">
        <v>145306497</v>
      </c>
      <c r="AV207">
        <v>144648618</v>
      </c>
      <c r="AW207">
        <v>144067316</v>
      </c>
      <c r="AX207">
        <v>143518814</v>
      </c>
      <c r="AY207">
        <v>143049637</v>
      </c>
      <c r="AZ207">
        <v>142805114</v>
      </c>
      <c r="BA207">
        <v>142742366</v>
      </c>
      <c r="BB207">
        <v>142785348</v>
      </c>
      <c r="BC207">
        <v>142849468</v>
      </c>
      <c r="BD207">
        <v>143018195</v>
      </c>
      <c r="BE207">
        <v>143378447</v>
      </c>
      <c r="BF207">
        <v>143805638</v>
      </c>
      <c r="BG207">
        <v>144237223</v>
      </c>
      <c r="BH207">
        <v>144640716</v>
      </c>
      <c r="BI207">
        <v>145015460</v>
      </c>
      <c r="BJ207">
        <v>145293260</v>
      </c>
      <c r="BK207">
        <v>145398106</v>
      </c>
      <c r="BL207">
        <v>145453291</v>
      </c>
      <c r="BM207">
        <v>145245148</v>
      </c>
      <c r="BN207">
        <v>144746762</v>
      </c>
      <c r="BO207">
        <v>144236933</v>
      </c>
      <c r="BP207">
        <v>143826130</v>
      </c>
      <c r="BQ207">
        <v>143669648</v>
      </c>
      <c r="BR207">
        <v>143513328</v>
      </c>
    </row>
    <row r="208" spans="1:70" x14ac:dyDescent="0.35">
      <c r="A208" t="s">
        <v>681</v>
      </c>
      <c r="B208" t="s">
        <v>682</v>
      </c>
      <c r="C208" t="s">
        <v>295</v>
      </c>
      <c r="D208" t="s">
        <v>296</v>
      </c>
      <c r="E208">
        <v>3022294</v>
      </c>
      <c r="F208">
        <v>3106779</v>
      </c>
      <c r="G208">
        <v>3186025</v>
      </c>
      <c r="H208">
        <v>3258890</v>
      </c>
      <c r="I208">
        <v>3334834</v>
      </c>
      <c r="J208">
        <v>3423210</v>
      </c>
      <c r="K208">
        <v>3521626</v>
      </c>
      <c r="L208">
        <v>3629577</v>
      </c>
      <c r="M208">
        <v>3744010</v>
      </c>
      <c r="N208">
        <v>3861271</v>
      </c>
      <c r="O208">
        <v>3980669</v>
      </c>
      <c r="P208">
        <v>4100044</v>
      </c>
      <c r="Q208">
        <v>4220335</v>
      </c>
      <c r="R208">
        <v>4345047</v>
      </c>
      <c r="S208">
        <v>4474228</v>
      </c>
      <c r="T208">
        <v>4607728</v>
      </c>
      <c r="U208">
        <v>4745954</v>
      </c>
      <c r="V208">
        <v>4888240</v>
      </c>
      <c r="W208">
        <v>5035171</v>
      </c>
      <c r="X208">
        <v>5189541</v>
      </c>
      <c r="Y208">
        <v>5353259</v>
      </c>
      <c r="Z208">
        <v>5527230</v>
      </c>
      <c r="AA208">
        <v>5711549</v>
      </c>
      <c r="AB208">
        <v>5905311</v>
      </c>
      <c r="AC208">
        <v>6107627</v>
      </c>
      <c r="AD208">
        <v>6317228</v>
      </c>
      <c r="AE208">
        <v>6531881</v>
      </c>
      <c r="AF208">
        <v>6749493</v>
      </c>
      <c r="AG208">
        <v>6968071</v>
      </c>
      <c r="AH208">
        <v>7184706</v>
      </c>
      <c r="AI208">
        <v>7375307</v>
      </c>
      <c r="AJ208">
        <v>7526966</v>
      </c>
      <c r="AK208">
        <v>7683266</v>
      </c>
      <c r="AL208">
        <v>7981132</v>
      </c>
      <c r="AM208">
        <v>6792352</v>
      </c>
      <c r="AN208">
        <v>5674118</v>
      </c>
      <c r="AO208">
        <v>6708764</v>
      </c>
      <c r="AP208">
        <v>7755238</v>
      </c>
      <c r="AQ208">
        <v>8081681</v>
      </c>
      <c r="AR208">
        <v>8147912</v>
      </c>
      <c r="AS208">
        <v>8213931</v>
      </c>
      <c r="AT208">
        <v>8287094</v>
      </c>
      <c r="AU208">
        <v>8400180</v>
      </c>
      <c r="AV208">
        <v>8586875</v>
      </c>
      <c r="AW208">
        <v>8816844</v>
      </c>
      <c r="AX208">
        <v>9054528</v>
      </c>
      <c r="AY208">
        <v>9299246</v>
      </c>
      <c r="AZ208">
        <v>9549933</v>
      </c>
      <c r="BA208">
        <v>9804269</v>
      </c>
      <c r="BB208">
        <v>10060432</v>
      </c>
      <c r="BC208">
        <v>10317553</v>
      </c>
      <c r="BD208">
        <v>10573733</v>
      </c>
      <c r="BE208">
        <v>10829901</v>
      </c>
      <c r="BF208">
        <v>11093340</v>
      </c>
      <c r="BG208">
        <v>11364757</v>
      </c>
      <c r="BH208">
        <v>11640022</v>
      </c>
      <c r="BI208">
        <v>11919183</v>
      </c>
      <c r="BJ208">
        <v>12202060</v>
      </c>
      <c r="BK208">
        <v>12487996</v>
      </c>
      <c r="BL208">
        <v>12776103</v>
      </c>
      <c r="BM208">
        <v>13065837</v>
      </c>
      <c r="BN208">
        <v>13355260</v>
      </c>
      <c r="BO208">
        <v>13651030</v>
      </c>
      <c r="BP208">
        <v>13954471</v>
      </c>
      <c r="BQ208">
        <v>14256567</v>
      </c>
      <c r="BR208">
        <v>14569341</v>
      </c>
    </row>
    <row r="209" spans="1:70" x14ac:dyDescent="0.35">
      <c r="A209" t="s">
        <v>683</v>
      </c>
      <c r="B209" t="s">
        <v>684</v>
      </c>
      <c r="C209" t="s">
        <v>295</v>
      </c>
      <c r="D209" t="s">
        <v>296</v>
      </c>
      <c r="E209">
        <v>507919318</v>
      </c>
      <c r="F209">
        <v>520416897</v>
      </c>
      <c r="G209">
        <v>533162544</v>
      </c>
      <c r="H209">
        <v>546111213</v>
      </c>
      <c r="I209">
        <v>559361410</v>
      </c>
      <c r="J209">
        <v>572498343</v>
      </c>
      <c r="K209">
        <v>585381018</v>
      </c>
      <c r="L209">
        <v>598618725</v>
      </c>
      <c r="M209">
        <v>612171905</v>
      </c>
      <c r="N209">
        <v>625773349</v>
      </c>
      <c r="O209">
        <v>640078209</v>
      </c>
      <c r="P209">
        <v>654081362</v>
      </c>
      <c r="Q209">
        <v>668383197</v>
      </c>
      <c r="R209">
        <v>684000704</v>
      </c>
      <c r="S209">
        <v>700247383</v>
      </c>
      <c r="T209">
        <v>717092514</v>
      </c>
      <c r="U209">
        <v>734217635</v>
      </c>
      <c r="V209">
        <v>751760482</v>
      </c>
      <c r="W209">
        <v>769329109</v>
      </c>
      <c r="X209">
        <v>787440583</v>
      </c>
      <c r="Y209">
        <v>806369775</v>
      </c>
      <c r="Z209">
        <v>825638560</v>
      </c>
      <c r="AA209">
        <v>845349352</v>
      </c>
      <c r="AB209">
        <v>865442337</v>
      </c>
      <c r="AC209">
        <v>885894499</v>
      </c>
      <c r="AD209">
        <v>906622025</v>
      </c>
      <c r="AE209">
        <v>927646189</v>
      </c>
      <c r="AF209">
        <v>948802143</v>
      </c>
      <c r="AG209">
        <v>970044151</v>
      </c>
      <c r="AH209">
        <v>991571016</v>
      </c>
      <c r="AI209">
        <v>1013297018</v>
      </c>
      <c r="AJ209">
        <v>1035058149</v>
      </c>
      <c r="AK209">
        <v>1057074570</v>
      </c>
      <c r="AL209">
        <v>1079256381</v>
      </c>
      <c r="AM209">
        <v>1101305517</v>
      </c>
      <c r="AN209">
        <v>1123515559</v>
      </c>
      <c r="AO209">
        <v>1145998648</v>
      </c>
      <c r="AP209">
        <v>1168625898</v>
      </c>
      <c r="AQ209">
        <v>1191405930</v>
      </c>
      <c r="AR209">
        <v>1214263809</v>
      </c>
      <c r="AS209">
        <v>1237185482</v>
      </c>
      <c r="AT209">
        <v>1260149056</v>
      </c>
      <c r="AU209">
        <v>1282584796</v>
      </c>
      <c r="AV209">
        <v>1304347790</v>
      </c>
      <c r="AW209">
        <v>1325950587</v>
      </c>
      <c r="AX209">
        <v>1346886384</v>
      </c>
      <c r="AY209">
        <v>1367187349</v>
      </c>
      <c r="AZ209">
        <v>1386949456</v>
      </c>
      <c r="BA209">
        <v>1406047164</v>
      </c>
      <c r="BB209">
        <v>1425370200</v>
      </c>
      <c r="BC209">
        <v>1444967010</v>
      </c>
      <c r="BD209">
        <v>1464372623</v>
      </c>
      <c r="BE209">
        <v>1483553073</v>
      </c>
      <c r="BF209">
        <v>1501661991</v>
      </c>
      <c r="BG209">
        <v>1519839246</v>
      </c>
      <c r="BH209">
        <v>1537370078</v>
      </c>
      <c r="BI209">
        <v>1555111864</v>
      </c>
      <c r="BJ209">
        <v>1572520427</v>
      </c>
      <c r="BK209">
        <v>1589164714</v>
      </c>
      <c r="BL209">
        <v>1605412986</v>
      </c>
      <c r="BM209">
        <v>1621073417</v>
      </c>
      <c r="BN209">
        <v>1634785356</v>
      </c>
      <c r="BO209">
        <v>1648009565</v>
      </c>
      <c r="BP209">
        <v>1662580579</v>
      </c>
      <c r="BQ209">
        <v>1677384532</v>
      </c>
      <c r="BR209">
        <v>1692252900</v>
      </c>
    </row>
    <row r="210" spans="1:70" x14ac:dyDescent="0.35">
      <c r="A210" t="s">
        <v>685</v>
      </c>
      <c r="B210" t="s">
        <v>686</v>
      </c>
      <c r="C210" t="s">
        <v>295</v>
      </c>
      <c r="D210" t="s">
        <v>296</v>
      </c>
      <c r="E210">
        <v>2435403</v>
      </c>
      <c r="F210">
        <v>2526347</v>
      </c>
      <c r="G210">
        <v>2620910</v>
      </c>
      <c r="H210">
        <v>2719341</v>
      </c>
      <c r="I210">
        <v>2821968</v>
      </c>
      <c r="J210">
        <v>2928771</v>
      </c>
      <c r="K210">
        <v>3039887</v>
      </c>
      <c r="L210">
        <v>3157242</v>
      </c>
      <c r="M210">
        <v>3282711</v>
      </c>
      <c r="N210">
        <v>3417114</v>
      </c>
      <c r="O210">
        <v>3562470</v>
      </c>
      <c r="P210">
        <v>3724031</v>
      </c>
      <c r="Q210">
        <v>3905722</v>
      </c>
      <c r="R210">
        <v>4106344</v>
      </c>
      <c r="S210">
        <v>4323632</v>
      </c>
      <c r="T210">
        <v>4556287</v>
      </c>
      <c r="U210">
        <v>4807933</v>
      </c>
      <c r="V210">
        <v>5083048</v>
      </c>
      <c r="W210">
        <v>5381902</v>
      </c>
      <c r="X210">
        <v>5703698</v>
      </c>
      <c r="Y210">
        <v>6047997</v>
      </c>
      <c r="Z210">
        <v>6420551</v>
      </c>
      <c r="AA210">
        <v>6824486</v>
      </c>
      <c r="AB210">
        <v>7252941</v>
      </c>
      <c r="AC210">
        <v>7697307</v>
      </c>
      <c r="AD210">
        <v>8151779</v>
      </c>
      <c r="AE210">
        <v>8628639</v>
      </c>
      <c r="AF210">
        <v>9130194</v>
      </c>
      <c r="AG210">
        <v>9629165</v>
      </c>
      <c r="AH210">
        <v>10128394</v>
      </c>
      <c r="AI210">
        <v>10640691</v>
      </c>
      <c r="AJ210">
        <v>11160744</v>
      </c>
      <c r="AK210">
        <v>11686676</v>
      </c>
      <c r="AL210">
        <v>12215862</v>
      </c>
      <c r="AM210">
        <v>12750040</v>
      </c>
      <c r="AN210">
        <v>13289245</v>
      </c>
      <c r="AO210">
        <v>13831009</v>
      </c>
      <c r="AP210">
        <v>14374943</v>
      </c>
      <c r="AQ210">
        <v>14922185</v>
      </c>
      <c r="AR210">
        <v>15472075</v>
      </c>
      <c r="AS210">
        <v>16177722</v>
      </c>
      <c r="AT210">
        <v>17041397</v>
      </c>
      <c r="AU210">
        <v>17910910</v>
      </c>
      <c r="AV210">
        <v>18786767</v>
      </c>
      <c r="AW210">
        <v>19669480</v>
      </c>
      <c r="AX210">
        <v>20559890</v>
      </c>
      <c r="AY210">
        <v>21459144</v>
      </c>
      <c r="AZ210">
        <v>22368313</v>
      </c>
      <c r="BA210">
        <v>23287877</v>
      </c>
      <c r="BB210">
        <v>24217654</v>
      </c>
      <c r="BC210">
        <v>23978487</v>
      </c>
      <c r="BD210">
        <v>25091867</v>
      </c>
      <c r="BE210">
        <v>26168861</v>
      </c>
      <c r="BF210">
        <v>27624004</v>
      </c>
      <c r="BG210">
        <v>28309273</v>
      </c>
      <c r="BH210">
        <v>29816382</v>
      </c>
      <c r="BI210">
        <v>30954198</v>
      </c>
      <c r="BJ210">
        <v>30977355</v>
      </c>
      <c r="BK210">
        <v>30196281</v>
      </c>
      <c r="BL210">
        <v>30063799</v>
      </c>
      <c r="BM210">
        <v>31552510</v>
      </c>
      <c r="BN210">
        <v>30784383</v>
      </c>
      <c r="BO210">
        <v>32175224</v>
      </c>
      <c r="BP210">
        <v>33702731</v>
      </c>
      <c r="BQ210">
        <v>35300280</v>
      </c>
      <c r="BR210">
        <v>36973555</v>
      </c>
    </row>
    <row r="211" spans="1:70" x14ac:dyDescent="0.35">
      <c r="A211" t="s">
        <v>687</v>
      </c>
      <c r="B211" t="s">
        <v>688</v>
      </c>
      <c r="C211" t="s">
        <v>295</v>
      </c>
      <c r="D211" t="s">
        <v>296</v>
      </c>
      <c r="E211">
        <v>8364489</v>
      </c>
      <c r="F211">
        <v>8634941</v>
      </c>
      <c r="G211">
        <v>8919028</v>
      </c>
      <c r="H211">
        <v>9218077</v>
      </c>
      <c r="I211">
        <v>9531109</v>
      </c>
      <c r="J211">
        <v>9858030</v>
      </c>
      <c r="K211">
        <v>10197578</v>
      </c>
      <c r="L211">
        <v>10550597</v>
      </c>
      <c r="M211">
        <v>10917999</v>
      </c>
      <c r="N211">
        <v>11298936</v>
      </c>
      <c r="O211">
        <v>11695771</v>
      </c>
      <c r="P211">
        <v>12105539</v>
      </c>
      <c r="Q211">
        <v>12527856</v>
      </c>
      <c r="R211">
        <v>13049315</v>
      </c>
      <c r="S211">
        <v>13580723</v>
      </c>
      <c r="T211">
        <v>14064798</v>
      </c>
      <c r="U211">
        <v>14569716</v>
      </c>
      <c r="V211">
        <v>15086614</v>
      </c>
      <c r="W211">
        <v>15695003</v>
      </c>
      <c r="X211">
        <v>16355352</v>
      </c>
      <c r="Y211">
        <v>17058905</v>
      </c>
      <c r="Z211">
        <v>17780572</v>
      </c>
      <c r="AA211">
        <v>18486645</v>
      </c>
      <c r="AB211">
        <v>19109770</v>
      </c>
      <c r="AC211">
        <v>19546528</v>
      </c>
      <c r="AD211">
        <v>19905872</v>
      </c>
      <c r="AE211">
        <v>20288238</v>
      </c>
      <c r="AF211">
        <v>20704904</v>
      </c>
      <c r="AG211">
        <v>21138431</v>
      </c>
      <c r="AH211">
        <v>21578022</v>
      </c>
      <c r="AI211">
        <v>22021481</v>
      </c>
      <c r="AJ211">
        <v>22470676</v>
      </c>
      <c r="AK211">
        <v>22927355</v>
      </c>
      <c r="AL211">
        <v>23445592</v>
      </c>
      <c r="AM211">
        <v>24043948</v>
      </c>
      <c r="AN211">
        <v>24672143</v>
      </c>
      <c r="AO211">
        <v>25231528</v>
      </c>
      <c r="AP211">
        <v>25799821</v>
      </c>
      <c r="AQ211">
        <v>26458999</v>
      </c>
      <c r="AR211">
        <v>27130613</v>
      </c>
      <c r="AS211">
        <v>27816745</v>
      </c>
      <c r="AT211">
        <v>28516770</v>
      </c>
      <c r="AU211">
        <v>29228727</v>
      </c>
      <c r="AV211">
        <v>29896035</v>
      </c>
      <c r="AW211">
        <v>30556637</v>
      </c>
      <c r="AX211">
        <v>31262444</v>
      </c>
      <c r="AY211">
        <v>31992435</v>
      </c>
      <c r="AZ211">
        <v>32764135</v>
      </c>
      <c r="BA211">
        <v>33623980</v>
      </c>
      <c r="BB211">
        <v>34569113</v>
      </c>
      <c r="BC211">
        <v>35414399</v>
      </c>
      <c r="BD211">
        <v>36140806</v>
      </c>
      <c r="BE211">
        <v>36923178</v>
      </c>
      <c r="BF211">
        <v>37785849</v>
      </c>
      <c r="BG211">
        <v>38823318</v>
      </c>
      <c r="BH211">
        <v>40024431</v>
      </c>
      <c r="BI211">
        <v>41259892</v>
      </c>
      <c r="BJ211">
        <v>42714306</v>
      </c>
      <c r="BK211">
        <v>44230596</v>
      </c>
      <c r="BL211">
        <v>45548175</v>
      </c>
      <c r="BM211">
        <v>46789231</v>
      </c>
      <c r="BN211">
        <v>48066924</v>
      </c>
      <c r="BO211">
        <v>49383346</v>
      </c>
      <c r="BP211">
        <v>50042791</v>
      </c>
      <c r="BQ211">
        <v>50448963</v>
      </c>
      <c r="BR211">
        <v>51662147</v>
      </c>
    </row>
    <row r="212" spans="1:70" x14ac:dyDescent="0.35">
      <c r="A212" t="s">
        <v>689</v>
      </c>
      <c r="B212" t="s">
        <v>690</v>
      </c>
      <c r="C212" t="s">
        <v>295</v>
      </c>
      <c r="D212" t="s">
        <v>296</v>
      </c>
      <c r="E212">
        <v>3340907</v>
      </c>
      <c r="F212">
        <v>3436375</v>
      </c>
      <c r="G212">
        <v>3534686</v>
      </c>
      <c r="H212">
        <v>3635876</v>
      </c>
      <c r="I212">
        <v>3740535</v>
      </c>
      <c r="J212">
        <v>3849788</v>
      </c>
      <c r="K212">
        <v>3964299</v>
      </c>
      <c r="L212">
        <v>4083870</v>
      </c>
      <c r="M212">
        <v>4207587</v>
      </c>
      <c r="N212">
        <v>4334974</v>
      </c>
      <c r="O212">
        <v>4466328</v>
      </c>
      <c r="P212">
        <v>4601864</v>
      </c>
      <c r="Q212">
        <v>4741631</v>
      </c>
      <c r="R212">
        <v>4885181</v>
      </c>
      <c r="S212">
        <v>5029437</v>
      </c>
      <c r="T212">
        <v>5170810</v>
      </c>
      <c r="U212">
        <v>5308564</v>
      </c>
      <c r="V212">
        <v>5439549</v>
      </c>
      <c r="W212">
        <v>5568096</v>
      </c>
      <c r="X212">
        <v>5702895</v>
      </c>
      <c r="Y212">
        <v>5845638</v>
      </c>
      <c r="Z212">
        <v>5997160</v>
      </c>
      <c r="AA212">
        <v>6156961</v>
      </c>
      <c r="AB212">
        <v>6324504</v>
      </c>
      <c r="AC212">
        <v>6499364</v>
      </c>
      <c r="AD212">
        <v>6683287</v>
      </c>
      <c r="AE212">
        <v>6878192</v>
      </c>
      <c r="AF212">
        <v>7081530</v>
      </c>
      <c r="AG212">
        <v>7289618</v>
      </c>
      <c r="AH212">
        <v>7502207</v>
      </c>
      <c r="AI212">
        <v>7720523</v>
      </c>
      <c r="AJ212">
        <v>7943085</v>
      </c>
      <c r="AK212">
        <v>8168395</v>
      </c>
      <c r="AL212">
        <v>8396288</v>
      </c>
      <c r="AM212">
        <v>8624078</v>
      </c>
      <c r="AN212">
        <v>8848101</v>
      </c>
      <c r="AO212">
        <v>9067014</v>
      </c>
      <c r="AP212">
        <v>9283495</v>
      </c>
      <c r="AQ212">
        <v>9502952</v>
      </c>
      <c r="AR212">
        <v>9730887</v>
      </c>
      <c r="AS212">
        <v>9968260</v>
      </c>
      <c r="AT212">
        <v>10212942</v>
      </c>
      <c r="AU212">
        <v>10466214</v>
      </c>
      <c r="AV212">
        <v>10721176</v>
      </c>
      <c r="AW212">
        <v>10975704</v>
      </c>
      <c r="AX212">
        <v>11235472</v>
      </c>
      <c r="AY212">
        <v>11500094</v>
      </c>
      <c r="AZ212">
        <v>11770344</v>
      </c>
      <c r="BA212">
        <v>12048959</v>
      </c>
      <c r="BB212">
        <v>12337389</v>
      </c>
      <c r="BC212">
        <v>12635413</v>
      </c>
      <c r="BD212">
        <v>12958897</v>
      </c>
      <c r="BE212">
        <v>13310495</v>
      </c>
      <c r="BF212">
        <v>13710849</v>
      </c>
      <c r="BG212">
        <v>14152102</v>
      </c>
      <c r="BH212">
        <v>14593331</v>
      </c>
      <c r="BI212">
        <v>15034521</v>
      </c>
      <c r="BJ212">
        <v>15475002</v>
      </c>
      <c r="BK212">
        <v>15914498</v>
      </c>
      <c r="BL212">
        <v>16352922</v>
      </c>
      <c r="BM212">
        <v>16789219</v>
      </c>
      <c r="BN212">
        <v>17220867</v>
      </c>
      <c r="BO212">
        <v>17651103</v>
      </c>
      <c r="BP212">
        <v>18077573</v>
      </c>
      <c r="BQ212">
        <v>18501984</v>
      </c>
      <c r="BR212">
        <v>18931966</v>
      </c>
    </row>
    <row r="213" spans="1:70" x14ac:dyDescent="0.35">
      <c r="A213" t="s">
        <v>691</v>
      </c>
      <c r="B213" t="s">
        <v>692</v>
      </c>
      <c r="C213" t="s">
        <v>295</v>
      </c>
      <c r="D213" t="s">
        <v>296</v>
      </c>
      <c r="E213">
        <v>1646400</v>
      </c>
      <c r="F213">
        <v>1702400</v>
      </c>
      <c r="G213">
        <v>1750200</v>
      </c>
      <c r="H213">
        <v>1795000</v>
      </c>
      <c r="I213">
        <v>1841600</v>
      </c>
      <c r="J213">
        <v>1886900</v>
      </c>
      <c r="K213">
        <v>1934400</v>
      </c>
      <c r="L213">
        <v>1977600</v>
      </c>
      <c r="M213">
        <v>2012000</v>
      </c>
      <c r="N213">
        <v>2042500</v>
      </c>
      <c r="O213">
        <v>2074507</v>
      </c>
      <c r="P213">
        <v>2112900</v>
      </c>
      <c r="Q213">
        <v>2152400</v>
      </c>
      <c r="R213">
        <v>2193000</v>
      </c>
      <c r="S213">
        <v>2229800</v>
      </c>
      <c r="T213">
        <v>2262600</v>
      </c>
      <c r="U213">
        <v>2293300</v>
      </c>
      <c r="V213">
        <v>2325300</v>
      </c>
      <c r="W213">
        <v>2353600</v>
      </c>
      <c r="X213">
        <v>2383500</v>
      </c>
      <c r="Y213">
        <v>2413945</v>
      </c>
      <c r="Z213">
        <v>2532835</v>
      </c>
      <c r="AA213">
        <v>2646466</v>
      </c>
      <c r="AB213">
        <v>2681061</v>
      </c>
      <c r="AC213">
        <v>2732221</v>
      </c>
      <c r="AD213">
        <v>2735957</v>
      </c>
      <c r="AE213">
        <v>2733373</v>
      </c>
      <c r="AF213">
        <v>2774789</v>
      </c>
      <c r="AG213">
        <v>2846108</v>
      </c>
      <c r="AH213">
        <v>2930901</v>
      </c>
      <c r="AI213">
        <v>3047132</v>
      </c>
      <c r="AJ213">
        <v>3135083</v>
      </c>
      <c r="AK213">
        <v>3230698</v>
      </c>
      <c r="AL213">
        <v>3313471</v>
      </c>
      <c r="AM213">
        <v>3419048</v>
      </c>
      <c r="AN213">
        <v>3524506</v>
      </c>
      <c r="AO213">
        <v>3670704</v>
      </c>
      <c r="AP213">
        <v>3796038</v>
      </c>
      <c r="AQ213">
        <v>3927213</v>
      </c>
      <c r="AR213">
        <v>3958723</v>
      </c>
      <c r="AS213">
        <v>4027887</v>
      </c>
      <c r="AT213">
        <v>4138012</v>
      </c>
      <c r="AU213">
        <v>4175950</v>
      </c>
      <c r="AV213">
        <v>4114826</v>
      </c>
      <c r="AW213">
        <v>4166664</v>
      </c>
      <c r="AX213">
        <v>4265762</v>
      </c>
      <c r="AY213">
        <v>4401365</v>
      </c>
      <c r="AZ213">
        <v>4588599</v>
      </c>
      <c r="BA213">
        <v>4839396</v>
      </c>
      <c r="BB213">
        <v>4987573</v>
      </c>
      <c r="BC213">
        <v>5076732</v>
      </c>
      <c r="BD213">
        <v>5183688</v>
      </c>
      <c r="BE213">
        <v>5312437</v>
      </c>
      <c r="BF213">
        <v>5399162</v>
      </c>
      <c r="BG213">
        <v>5469724</v>
      </c>
      <c r="BH213">
        <v>5535002</v>
      </c>
      <c r="BI213">
        <v>5607283</v>
      </c>
      <c r="BJ213">
        <v>5612253</v>
      </c>
      <c r="BK213">
        <v>5638676</v>
      </c>
      <c r="BL213">
        <v>5703569</v>
      </c>
      <c r="BM213">
        <v>5685807</v>
      </c>
      <c r="BN213">
        <v>5453566</v>
      </c>
      <c r="BO213">
        <v>5637022</v>
      </c>
      <c r="BP213">
        <v>5917648</v>
      </c>
      <c r="BQ213">
        <v>6036860</v>
      </c>
      <c r="BR213">
        <v>6111175</v>
      </c>
    </row>
    <row r="214" spans="1:70" x14ac:dyDescent="0.35">
      <c r="A214" t="s">
        <v>693</v>
      </c>
      <c r="B214" t="s">
        <v>694</v>
      </c>
      <c r="C214" t="s">
        <v>295</v>
      </c>
      <c r="D214" t="s">
        <v>296</v>
      </c>
      <c r="E214">
        <v>139688</v>
      </c>
      <c r="F214">
        <v>142912</v>
      </c>
      <c r="G214">
        <v>146201</v>
      </c>
      <c r="H214">
        <v>149589</v>
      </c>
      <c r="I214">
        <v>153085</v>
      </c>
      <c r="J214">
        <v>156686</v>
      </c>
      <c r="K214">
        <v>160393</v>
      </c>
      <c r="L214">
        <v>164245</v>
      </c>
      <c r="M214">
        <v>168282</v>
      </c>
      <c r="N214">
        <v>172476</v>
      </c>
      <c r="O214">
        <v>176579</v>
      </c>
      <c r="P214">
        <v>180637</v>
      </c>
      <c r="Q214">
        <v>184994</v>
      </c>
      <c r="R214">
        <v>189774</v>
      </c>
      <c r="S214">
        <v>195041</v>
      </c>
      <c r="T214">
        <v>200744</v>
      </c>
      <c r="U214">
        <v>207194</v>
      </c>
      <c r="V214">
        <v>214418</v>
      </c>
      <c r="W214">
        <v>222029</v>
      </c>
      <c r="X214">
        <v>229953</v>
      </c>
      <c r="Y214">
        <v>238135</v>
      </c>
      <c r="Z214">
        <v>246555</v>
      </c>
      <c r="AA214">
        <v>255200</v>
      </c>
      <c r="AB214">
        <v>264068</v>
      </c>
      <c r="AC214">
        <v>273163</v>
      </c>
      <c r="AD214">
        <v>282455</v>
      </c>
      <c r="AE214">
        <v>291842</v>
      </c>
      <c r="AF214">
        <v>301414</v>
      </c>
      <c r="AG214">
        <v>311265</v>
      </c>
      <c r="AH214">
        <v>321282</v>
      </c>
      <c r="AI214">
        <v>331435</v>
      </c>
      <c r="AJ214">
        <v>341738</v>
      </c>
      <c r="AK214">
        <v>352205</v>
      </c>
      <c r="AL214">
        <v>362839</v>
      </c>
      <c r="AM214">
        <v>373675</v>
      </c>
      <c r="AN214">
        <v>384733</v>
      </c>
      <c r="AO214">
        <v>396009</v>
      </c>
      <c r="AP214">
        <v>407474</v>
      </c>
      <c r="AQ214">
        <v>419071</v>
      </c>
      <c r="AR214">
        <v>430500</v>
      </c>
      <c r="AS214">
        <v>440469</v>
      </c>
      <c r="AT214">
        <v>449125</v>
      </c>
      <c r="AU214">
        <v>457671</v>
      </c>
      <c r="AV214">
        <v>466154</v>
      </c>
      <c r="AW214">
        <v>474611</v>
      </c>
      <c r="AX214">
        <v>483080</v>
      </c>
      <c r="AY214">
        <v>491594</v>
      </c>
      <c r="AZ214">
        <v>500156</v>
      </c>
      <c r="BA214">
        <v>508790</v>
      </c>
      <c r="BB214">
        <v>518141</v>
      </c>
      <c r="BC214">
        <v>532968</v>
      </c>
      <c r="BD214">
        <v>552945</v>
      </c>
      <c r="BE214">
        <v>573606</v>
      </c>
      <c r="BF214">
        <v>594945</v>
      </c>
      <c r="BG214">
        <v>616908</v>
      </c>
      <c r="BH214">
        <v>639415</v>
      </c>
      <c r="BI214">
        <v>662379</v>
      </c>
      <c r="BJ214">
        <v>685672</v>
      </c>
      <c r="BK214">
        <v>709101</v>
      </c>
      <c r="BL214">
        <v>728147</v>
      </c>
      <c r="BM214">
        <v>744498</v>
      </c>
      <c r="BN214">
        <v>762591</v>
      </c>
      <c r="BO214">
        <v>781066</v>
      </c>
      <c r="BP214">
        <v>800005</v>
      </c>
      <c r="BQ214">
        <v>819198</v>
      </c>
      <c r="BR214">
        <v>838645</v>
      </c>
    </row>
    <row r="215" spans="1:70" x14ac:dyDescent="0.35">
      <c r="A215" t="s">
        <v>695</v>
      </c>
      <c r="B215" t="s">
        <v>696</v>
      </c>
      <c r="C215" t="s">
        <v>295</v>
      </c>
      <c r="D215" t="s">
        <v>296</v>
      </c>
      <c r="E215">
        <v>2268356</v>
      </c>
      <c r="F215">
        <v>2304227</v>
      </c>
      <c r="G215">
        <v>2342242</v>
      </c>
      <c r="H215">
        <v>2382258</v>
      </c>
      <c r="I215">
        <v>2424390</v>
      </c>
      <c r="J215">
        <v>2468666</v>
      </c>
      <c r="K215">
        <v>2514638</v>
      </c>
      <c r="L215">
        <v>2562384</v>
      </c>
      <c r="M215">
        <v>2611532</v>
      </c>
      <c r="N215">
        <v>2661365</v>
      </c>
      <c r="O215">
        <v>2712286</v>
      </c>
      <c r="P215">
        <v>2763222</v>
      </c>
      <c r="Q215">
        <v>2814388</v>
      </c>
      <c r="R215">
        <v>2866955</v>
      </c>
      <c r="S215">
        <v>2920459</v>
      </c>
      <c r="T215">
        <v>2974657</v>
      </c>
      <c r="U215">
        <v>3028820</v>
      </c>
      <c r="V215">
        <v>3085354</v>
      </c>
      <c r="W215">
        <v>3145517</v>
      </c>
      <c r="X215">
        <v>3207499</v>
      </c>
      <c r="Y215">
        <v>3272089</v>
      </c>
      <c r="Z215">
        <v>3338940</v>
      </c>
      <c r="AA215">
        <v>3408183</v>
      </c>
      <c r="AB215">
        <v>3481646</v>
      </c>
      <c r="AC215">
        <v>3558758</v>
      </c>
      <c r="AD215">
        <v>3638438</v>
      </c>
      <c r="AE215">
        <v>3728380</v>
      </c>
      <c r="AF215">
        <v>3829718</v>
      </c>
      <c r="AG215">
        <v>3934517</v>
      </c>
      <c r="AH215">
        <v>4034037</v>
      </c>
      <c r="AI215">
        <v>4196828</v>
      </c>
      <c r="AJ215">
        <v>4246267</v>
      </c>
      <c r="AK215">
        <v>4166366</v>
      </c>
      <c r="AL215">
        <v>4157130</v>
      </c>
      <c r="AM215">
        <v>4173105</v>
      </c>
      <c r="AN215">
        <v>4179179</v>
      </c>
      <c r="AO215">
        <v>4199210</v>
      </c>
      <c r="AP215">
        <v>4253716</v>
      </c>
      <c r="AQ215">
        <v>4295785</v>
      </c>
      <c r="AR215">
        <v>4318043</v>
      </c>
      <c r="AS215">
        <v>4423611</v>
      </c>
      <c r="AT215">
        <v>4692716</v>
      </c>
      <c r="AU215">
        <v>4971435</v>
      </c>
      <c r="AV215">
        <v>5177687</v>
      </c>
      <c r="AW215">
        <v>5355717</v>
      </c>
      <c r="AX215">
        <v>5501712</v>
      </c>
      <c r="AY215">
        <v>5624466</v>
      </c>
      <c r="AZ215">
        <v>5749352</v>
      </c>
      <c r="BA215">
        <v>5894722</v>
      </c>
      <c r="BB215">
        <v>6055646</v>
      </c>
      <c r="BC215">
        <v>6222714</v>
      </c>
      <c r="BD215">
        <v>6387251</v>
      </c>
      <c r="BE215">
        <v>6551080</v>
      </c>
      <c r="BF215">
        <v>6714051</v>
      </c>
      <c r="BG215">
        <v>6876385</v>
      </c>
      <c r="BH215">
        <v>7037655</v>
      </c>
      <c r="BI215">
        <v>7205328</v>
      </c>
      <c r="BJ215">
        <v>7379299</v>
      </c>
      <c r="BK215">
        <v>7554563</v>
      </c>
      <c r="BL215">
        <v>7731991</v>
      </c>
      <c r="BM215">
        <v>7912558</v>
      </c>
      <c r="BN215">
        <v>8094602</v>
      </c>
      <c r="BO215">
        <v>8276807</v>
      </c>
      <c r="BP215">
        <v>8460512</v>
      </c>
      <c r="BQ215">
        <v>8642022</v>
      </c>
      <c r="BR215">
        <v>8819794</v>
      </c>
    </row>
    <row r="216" spans="1:70" x14ac:dyDescent="0.35">
      <c r="A216" t="s">
        <v>697</v>
      </c>
      <c r="B216" t="s">
        <v>698</v>
      </c>
      <c r="C216" t="s">
        <v>295</v>
      </c>
      <c r="D216" t="s">
        <v>296</v>
      </c>
      <c r="E216">
        <v>2791459</v>
      </c>
      <c r="F216">
        <v>2870016</v>
      </c>
      <c r="G216">
        <v>2949204</v>
      </c>
      <c r="H216">
        <v>3028679</v>
      </c>
      <c r="I216">
        <v>3111883</v>
      </c>
      <c r="J216">
        <v>3199466</v>
      </c>
      <c r="K216">
        <v>3290961</v>
      </c>
      <c r="L216">
        <v>3385184</v>
      </c>
      <c r="M216">
        <v>3480773</v>
      </c>
      <c r="N216">
        <v>3576485</v>
      </c>
      <c r="O216">
        <v>3668796</v>
      </c>
      <c r="P216">
        <v>3757523</v>
      </c>
      <c r="Q216">
        <v>3846830</v>
      </c>
      <c r="R216">
        <v>3938068</v>
      </c>
      <c r="S216">
        <v>4029671</v>
      </c>
      <c r="T216">
        <v>4120449</v>
      </c>
      <c r="U216">
        <v>4210310</v>
      </c>
      <c r="V216">
        <v>4301256</v>
      </c>
      <c r="W216">
        <v>4394114</v>
      </c>
      <c r="X216">
        <v>4480388</v>
      </c>
      <c r="Y216">
        <v>4540382</v>
      </c>
      <c r="Z216">
        <v>4570599</v>
      </c>
      <c r="AA216">
        <v>4622477</v>
      </c>
      <c r="AB216">
        <v>4707367</v>
      </c>
      <c r="AC216">
        <v>4798003</v>
      </c>
      <c r="AD216">
        <v>4894706</v>
      </c>
      <c r="AE216">
        <v>4992769</v>
      </c>
      <c r="AF216">
        <v>5092441</v>
      </c>
      <c r="AG216">
        <v>5195833</v>
      </c>
      <c r="AH216">
        <v>5298979</v>
      </c>
      <c r="AI216">
        <v>5399726</v>
      </c>
      <c r="AJ216">
        <v>5495077</v>
      </c>
      <c r="AK216">
        <v>5585609</v>
      </c>
      <c r="AL216">
        <v>5659957</v>
      </c>
      <c r="AM216">
        <v>5714129</v>
      </c>
      <c r="AN216">
        <v>5762131</v>
      </c>
      <c r="AO216">
        <v>5805286</v>
      </c>
      <c r="AP216">
        <v>5844578</v>
      </c>
      <c r="AQ216">
        <v>5880781</v>
      </c>
      <c r="AR216">
        <v>5913900</v>
      </c>
      <c r="AS216">
        <v>5943366</v>
      </c>
      <c r="AT216">
        <v>5968060</v>
      </c>
      <c r="AU216">
        <v>5986631</v>
      </c>
      <c r="AV216">
        <v>5998599</v>
      </c>
      <c r="AW216">
        <v>6004671</v>
      </c>
      <c r="AX216">
        <v>6005578</v>
      </c>
      <c r="AY216">
        <v>6002319</v>
      </c>
      <c r="AZ216">
        <v>6009824</v>
      </c>
      <c r="BA216">
        <v>6029297</v>
      </c>
      <c r="BB216">
        <v>6048279</v>
      </c>
      <c r="BC216">
        <v>6068249</v>
      </c>
      <c r="BD216">
        <v>6090127</v>
      </c>
      <c r="BE216">
        <v>6113975</v>
      </c>
      <c r="BF216">
        <v>6138839</v>
      </c>
      <c r="BG216">
        <v>6162955</v>
      </c>
      <c r="BH216">
        <v>6183676</v>
      </c>
      <c r="BI216">
        <v>6200800</v>
      </c>
      <c r="BJ216">
        <v>6213533</v>
      </c>
      <c r="BK216">
        <v>6219807</v>
      </c>
      <c r="BL216">
        <v>6222318</v>
      </c>
      <c r="BM216">
        <v>6234673</v>
      </c>
      <c r="BN216">
        <v>6255782</v>
      </c>
      <c r="BO216">
        <v>6280319</v>
      </c>
      <c r="BP216">
        <v>6309624</v>
      </c>
      <c r="BQ216">
        <v>6338193</v>
      </c>
      <c r="BR216">
        <v>6365503</v>
      </c>
    </row>
    <row r="217" spans="1:70" x14ac:dyDescent="0.35">
      <c r="A217" t="s">
        <v>699</v>
      </c>
      <c r="B217" t="s">
        <v>700</v>
      </c>
      <c r="C217" t="s">
        <v>295</v>
      </c>
      <c r="D217" t="s">
        <v>296</v>
      </c>
      <c r="E217">
        <v>15428</v>
      </c>
      <c r="F217">
        <v>15799</v>
      </c>
      <c r="G217">
        <v>16183</v>
      </c>
      <c r="H217">
        <v>16580</v>
      </c>
      <c r="I217">
        <v>16977</v>
      </c>
      <c r="J217">
        <v>17305</v>
      </c>
      <c r="K217">
        <v>17523</v>
      </c>
      <c r="L217">
        <v>17688</v>
      </c>
      <c r="M217">
        <v>17861</v>
      </c>
      <c r="N217">
        <v>18026</v>
      </c>
      <c r="O217">
        <v>18168</v>
      </c>
      <c r="P217">
        <v>18419</v>
      </c>
      <c r="Q217">
        <v>18787</v>
      </c>
      <c r="R217">
        <v>18992</v>
      </c>
      <c r="S217">
        <v>19030</v>
      </c>
      <c r="T217">
        <v>19046</v>
      </c>
      <c r="U217">
        <v>19110</v>
      </c>
      <c r="V217">
        <v>20017</v>
      </c>
      <c r="W217">
        <v>21026</v>
      </c>
      <c r="X217">
        <v>21320</v>
      </c>
      <c r="Y217">
        <v>21585</v>
      </c>
      <c r="Z217">
        <v>21840</v>
      </c>
      <c r="AA217">
        <v>22055</v>
      </c>
      <c r="AB217">
        <v>22229</v>
      </c>
      <c r="AC217">
        <v>22346</v>
      </c>
      <c r="AD217">
        <v>22485</v>
      </c>
      <c r="AE217">
        <v>22636</v>
      </c>
      <c r="AF217">
        <v>22686</v>
      </c>
      <c r="AG217">
        <v>22843</v>
      </c>
      <c r="AH217">
        <v>23154</v>
      </c>
      <c r="AI217">
        <v>23475</v>
      </c>
      <c r="AJ217">
        <v>23797</v>
      </c>
      <c r="AK217">
        <v>24125</v>
      </c>
      <c r="AL217">
        <v>24472</v>
      </c>
      <c r="AM217">
        <v>24823</v>
      </c>
      <c r="AN217">
        <v>25158</v>
      </c>
      <c r="AO217">
        <v>25482</v>
      </c>
      <c r="AP217">
        <v>25800</v>
      </c>
      <c r="AQ217">
        <v>26125</v>
      </c>
      <c r="AR217">
        <v>26459</v>
      </c>
      <c r="AS217">
        <v>26799</v>
      </c>
      <c r="AT217">
        <v>27143</v>
      </c>
      <c r="AU217">
        <v>27491</v>
      </c>
      <c r="AV217">
        <v>27843</v>
      </c>
      <c r="AW217">
        <v>29457</v>
      </c>
      <c r="AX217">
        <v>29836</v>
      </c>
      <c r="AY217">
        <v>30184</v>
      </c>
      <c r="AZ217">
        <v>31211</v>
      </c>
      <c r="BA217">
        <v>31662</v>
      </c>
      <c r="BB217">
        <v>33066</v>
      </c>
      <c r="BC217">
        <v>33270</v>
      </c>
      <c r="BD217">
        <v>32620</v>
      </c>
      <c r="BE217">
        <v>33469</v>
      </c>
      <c r="BF217">
        <v>33041</v>
      </c>
      <c r="BG217">
        <v>32655</v>
      </c>
      <c r="BH217">
        <v>32897</v>
      </c>
      <c r="BI217">
        <v>33101</v>
      </c>
      <c r="BJ217">
        <v>33825</v>
      </c>
      <c r="BK217">
        <v>34522</v>
      </c>
      <c r="BL217">
        <v>34663</v>
      </c>
      <c r="BM217">
        <v>34770</v>
      </c>
      <c r="BN217">
        <v>34252</v>
      </c>
      <c r="BO217">
        <v>33755</v>
      </c>
      <c r="BP217">
        <v>33860</v>
      </c>
      <c r="BQ217">
        <v>33977</v>
      </c>
      <c r="BR217">
        <v>34109</v>
      </c>
    </row>
    <row r="218" spans="1:70" x14ac:dyDescent="0.35">
      <c r="A218" t="s">
        <v>701</v>
      </c>
      <c r="B218" t="s">
        <v>702</v>
      </c>
      <c r="C218" t="s">
        <v>295</v>
      </c>
      <c r="D218" t="s">
        <v>296</v>
      </c>
      <c r="E218">
        <v>2876331</v>
      </c>
      <c r="F218">
        <v>2952054</v>
      </c>
      <c r="G218">
        <v>3030091</v>
      </c>
      <c r="H218">
        <v>3110361</v>
      </c>
      <c r="I218">
        <v>3192796</v>
      </c>
      <c r="J218">
        <v>3277874</v>
      </c>
      <c r="K218">
        <v>3365106</v>
      </c>
      <c r="L218">
        <v>3454537</v>
      </c>
      <c r="M218">
        <v>3546590</v>
      </c>
      <c r="N218">
        <v>3641015</v>
      </c>
      <c r="O218">
        <v>3738448</v>
      </c>
      <c r="P218">
        <v>3837691</v>
      </c>
      <c r="Q218">
        <v>3939436</v>
      </c>
      <c r="R218">
        <v>4045592</v>
      </c>
      <c r="S218">
        <v>4151842</v>
      </c>
      <c r="T218">
        <v>4257535</v>
      </c>
      <c r="U218">
        <v>4365812</v>
      </c>
      <c r="V218">
        <v>4484050</v>
      </c>
      <c r="W218">
        <v>4814892</v>
      </c>
      <c r="X218">
        <v>5449117</v>
      </c>
      <c r="Y218">
        <v>5936154</v>
      </c>
      <c r="Z218">
        <v>5982849</v>
      </c>
      <c r="AA218">
        <v>6003840</v>
      </c>
      <c r="AB218">
        <v>6198430</v>
      </c>
      <c r="AC218">
        <v>6428389</v>
      </c>
      <c r="AD218">
        <v>6693289</v>
      </c>
      <c r="AE218">
        <v>6974788</v>
      </c>
      <c r="AF218">
        <v>7228302</v>
      </c>
      <c r="AG218">
        <v>7235360</v>
      </c>
      <c r="AH218">
        <v>7114817</v>
      </c>
      <c r="AI218">
        <v>7082811</v>
      </c>
      <c r="AJ218">
        <v>6813760</v>
      </c>
      <c r="AK218">
        <v>6495107</v>
      </c>
      <c r="AL218">
        <v>6681399</v>
      </c>
      <c r="AM218">
        <v>7026797</v>
      </c>
      <c r="AN218">
        <v>7285007</v>
      </c>
      <c r="AO218">
        <v>7554474</v>
      </c>
      <c r="AP218">
        <v>7824525</v>
      </c>
      <c r="AQ218">
        <v>8155417</v>
      </c>
      <c r="AR218">
        <v>8492059</v>
      </c>
      <c r="AS218">
        <v>8838713</v>
      </c>
      <c r="AT218">
        <v>9198493</v>
      </c>
      <c r="AU218">
        <v>9550063</v>
      </c>
      <c r="AV218">
        <v>9909157</v>
      </c>
      <c r="AW218">
        <v>10280998</v>
      </c>
      <c r="AX218">
        <v>10644228</v>
      </c>
      <c r="AY218">
        <v>10975502</v>
      </c>
      <c r="AZ218">
        <v>11322582</v>
      </c>
      <c r="BA218">
        <v>11663084</v>
      </c>
      <c r="BB218">
        <v>11961201</v>
      </c>
      <c r="BC218">
        <v>12261756</v>
      </c>
      <c r="BD218">
        <v>12348830</v>
      </c>
      <c r="BE218">
        <v>12461160</v>
      </c>
      <c r="BF218">
        <v>12869594</v>
      </c>
      <c r="BG218">
        <v>13339491</v>
      </c>
      <c r="BH218">
        <v>13806963</v>
      </c>
      <c r="BI218">
        <v>14348740</v>
      </c>
      <c r="BJ218">
        <v>14916629</v>
      </c>
      <c r="BK218">
        <v>15452487</v>
      </c>
      <c r="BL218">
        <v>16030971</v>
      </c>
      <c r="BM218">
        <v>16651191</v>
      </c>
      <c r="BN218">
        <v>17271431</v>
      </c>
      <c r="BO218">
        <v>17801897</v>
      </c>
      <c r="BP218">
        <v>18358615</v>
      </c>
      <c r="BQ218">
        <v>19009151</v>
      </c>
      <c r="BR218">
        <v>19654739</v>
      </c>
    </row>
    <row r="219" spans="1:70" x14ac:dyDescent="0.35">
      <c r="A219" t="s">
        <v>703</v>
      </c>
      <c r="B219" t="s">
        <v>704</v>
      </c>
      <c r="C219" t="s">
        <v>295</v>
      </c>
      <c r="D219" t="s">
        <v>296</v>
      </c>
      <c r="E219">
        <v>6638992</v>
      </c>
      <c r="F219">
        <v>6689077</v>
      </c>
      <c r="G219">
        <v>6740264</v>
      </c>
      <c r="H219">
        <v>6787950</v>
      </c>
      <c r="I219">
        <v>6832855</v>
      </c>
      <c r="J219">
        <v>6876624</v>
      </c>
      <c r="K219">
        <v>6927969</v>
      </c>
      <c r="L219">
        <v>6966522</v>
      </c>
      <c r="M219">
        <v>7007586</v>
      </c>
      <c r="N219">
        <v>7123249</v>
      </c>
      <c r="O219">
        <v>7164993</v>
      </c>
      <c r="P219">
        <v>7211716</v>
      </c>
      <c r="Q219">
        <v>7252012</v>
      </c>
      <c r="R219">
        <v>7283902</v>
      </c>
      <c r="S219">
        <v>7326043</v>
      </c>
      <c r="T219">
        <v>7368717</v>
      </c>
      <c r="U219">
        <v>7418973</v>
      </c>
      <c r="V219">
        <v>7462783</v>
      </c>
      <c r="W219">
        <v>7504017</v>
      </c>
      <c r="X219">
        <v>7541997</v>
      </c>
      <c r="Y219">
        <v>7709544</v>
      </c>
      <c r="Z219">
        <v>7736787</v>
      </c>
      <c r="AA219">
        <v>7763335</v>
      </c>
      <c r="AB219">
        <v>7788100</v>
      </c>
      <c r="AC219">
        <v>7813549</v>
      </c>
      <c r="AD219">
        <v>7835902</v>
      </c>
      <c r="AE219">
        <v>7853824</v>
      </c>
      <c r="AF219">
        <v>7868027</v>
      </c>
      <c r="AG219">
        <v>7884218</v>
      </c>
      <c r="AH219">
        <v>7893787</v>
      </c>
      <c r="AI219">
        <v>7897937</v>
      </c>
      <c r="AJ219">
        <v>7595636</v>
      </c>
      <c r="AK219">
        <v>7604063</v>
      </c>
      <c r="AL219">
        <v>7614328</v>
      </c>
      <c r="AM219">
        <v>7622711</v>
      </c>
      <c r="AN219">
        <v>7628264</v>
      </c>
      <c r="AO219">
        <v>7622185</v>
      </c>
      <c r="AP219">
        <v>7598538</v>
      </c>
      <c r="AQ219">
        <v>7567745</v>
      </c>
      <c r="AR219">
        <v>7540401</v>
      </c>
      <c r="AS219">
        <v>7516346</v>
      </c>
      <c r="AT219">
        <v>7503433</v>
      </c>
      <c r="AU219">
        <v>7500031</v>
      </c>
      <c r="AV219">
        <v>7480591</v>
      </c>
      <c r="AW219">
        <v>7463157</v>
      </c>
      <c r="AX219">
        <v>7440769</v>
      </c>
      <c r="AY219">
        <v>7411569</v>
      </c>
      <c r="AZ219">
        <v>7381579</v>
      </c>
      <c r="BA219">
        <v>7350222</v>
      </c>
      <c r="BB219">
        <v>7320807</v>
      </c>
      <c r="BC219">
        <v>7291436</v>
      </c>
      <c r="BD219">
        <v>7236519</v>
      </c>
      <c r="BE219">
        <v>7201497</v>
      </c>
      <c r="BF219">
        <v>7166553</v>
      </c>
      <c r="BG219">
        <v>7131787</v>
      </c>
      <c r="BH219">
        <v>7095383</v>
      </c>
      <c r="BI219">
        <v>7058322</v>
      </c>
      <c r="BJ219">
        <v>7020858</v>
      </c>
      <c r="BK219">
        <v>6982604</v>
      </c>
      <c r="BL219">
        <v>6945235</v>
      </c>
      <c r="BM219">
        <v>6899126</v>
      </c>
      <c r="BN219">
        <v>6834326</v>
      </c>
      <c r="BO219">
        <v>6664449</v>
      </c>
      <c r="BP219">
        <v>6623183</v>
      </c>
      <c r="BQ219">
        <v>6586476</v>
      </c>
      <c r="BR219">
        <v>6549143</v>
      </c>
    </row>
    <row r="220" spans="1:70" x14ac:dyDescent="0.35">
      <c r="A220" t="s">
        <v>705</v>
      </c>
      <c r="B220" t="s">
        <v>706</v>
      </c>
      <c r="C220" t="s">
        <v>295</v>
      </c>
      <c r="D220" t="s">
        <v>296</v>
      </c>
      <c r="E220">
        <v>227664953</v>
      </c>
      <c r="F220">
        <v>233198708</v>
      </c>
      <c r="G220">
        <v>238982373</v>
      </c>
      <c r="H220">
        <v>244989535</v>
      </c>
      <c r="I220">
        <v>251242182</v>
      </c>
      <c r="J220">
        <v>257740421</v>
      </c>
      <c r="K220">
        <v>264434433</v>
      </c>
      <c r="L220">
        <v>271366363</v>
      </c>
      <c r="M220">
        <v>278596195</v>
      </c>
      <c r="N220">
        <v>286118003</v>
      </c>
      <c r="O220">
        <v>293922626</v>
      </c>
      <c r="P220">
        <v>301942417</v>
      </c>
      <c r="Q220">
        <v>310145890</v>
      </c>
      <c r="R220">
        <v>318812946</v>
      </c>
      <c r="S220">
        <v>327932818</v>
      </c>
      <c r="T220">
        <v>337314373</v>
      </c>
      <c r="U220">
        <v>346965436</v>
      </c>
      <c r="V220">
        <v>356759722</v>
      </c>
      <c r="W220">
        <v>367293105</v>
      </c>
      <c r="X220">
        <v>378507642</v>
      </c>
      <c r="Y220">
        <v>389766500</v>
      </c>
      <c r="Z220">
        <v>401607934</v>
      </c>
      <c r="AA220">
        <v>414189325</v>
      </c>
      <c r="AB220">
        <v>426645643</v>
      </c>
      <c r="AC220">
        <v>439047137</v>
      </c>
      <c r="AD220">
        <v>451949649</v>
      </c>
      <c r="AE220">
        <v>465193648</v>
      </c>
      <c r="AF220">
        <v>478843300</v>
      </c>
      <c r="AG220">
        <v>492646700</v>
      </c>
      <c r="AH220">
        <v>506655735</v>
      </c>
      <c r="AI220">
        <v>520960465</v>
      </c>
      <c r="AJ220">
        <v>535258307</v>
      </c>
      <c r="AK220">
        <v>549902283</v>
      </c>
      <c r="AL220">
        <v>565179048</v>
      </c>
      <c r="AM220">
        <v>580408951</v>
      </c>
      <c r="AN220">
        <v>596006564</v>
      </c>
      <c r="AO220">
        <v>612190829</v>
      </c>
      <c r="AP220">
        <v>628490264</v>
      </c>
      <c r="AQ220">
        <v>645415467</v>
      </c>
      <c r="AR220">
        <v>662842306</v>
      </c>
      <c r="AS220">
        <v>680687661</v>
      </c>
      <c r="AT220">
        <v>699134145</v>
      </c>
      <c r="AU220">
        <v>718192286</v>
      </c>
      <c r="AV220">
        <v>737835295</v>
      </c>
      <c r="AW220">
        <v>758155481</v>
      </c>
      <c r="AX220">
        <v>779150778</v>
      </c>
      <c r="AY220">
        <v>800743764</v>
      </c>
      <c r="AZ220">
        <v>823039949</v>
      </c>
      <c r="BA220">
        <v>846137242</v>
      </c>
      <c r="BB220">
        <v>869839075</v>
      </c>
      <c r="BC220">
        <v>894170085</v>
      </c>
      <c r="BD220">
        <v>919024793</v>
      </c>
      <c r="BE220">
        <v>944434989</v>
      </c>
      <c r="BF220">
        <v>970656363</v>
      </c>
      <c r="BG220">
        <v>997334872</v>
      </c>
      <c r="BH220">
        <v>1024566002</v>
      </c>
      <c r="BI220">
        <v>1052072062</v>
      </c>
      <c r="BJ220">
        <v>1080113050</v>
      </c>
      <c r="BK220">
        <v>1109099666</v>
      </c>
      <c r="BL220">
        <v>1138374850</v>
      </c>
      <c r="BM220">
        <v>1168035323</v>
      </c>
      <c r="BN220">
        <v>1197970464</v>
      </c>
      <c r="BO220">
        <v>1228067573</v>
      </c>
      <c r="BP220">
        <v>1258689699</v>
      </c>
      <c r="BQ220">
        <v>1289814932</v>
      </c>
      <c r="BR220">
        <v>1321531487</v>
      </c>
    </row>
    <row r="221" spans="1:70" x14ac:dyDescent="0.35">
      <c r="A221" t="s">
        <v>707</v>
      </c>
      <c r="B221" t="s">
        <v>708</v>
      </c>
      <c r="C221" t="s">
        <v>295</v>
      </c>
      <c r="D221" t="s">
        <v>296</v>
      </c>
      <c r="E221">
        <v>2931559</v>
      </c>
      <c r="F221">
        <v>2976724</v>
      </c>
      <c r="G221">
        <v>3024308</v>
      </c>
      <c r="H221">
        <v>3072669</v>
      </c>
      <c r="I221">
        <v>3129918</v>
      </c>
      <c r="J221">
        <v>3189835</v>
      </c>
      <c r="K221">
        <v>3236423</v>
      </c>
      <c r="L221">
        <v>3277648</v>
      </c>
      <c r="M221">
        <v>3321528</v>
      </c>
      <c r="N221">
        <v>3365533</v>
      </c>
      <c r="O221">
        <v>3409614</v>
      </c>
      <c r="P221">
        <v>3468646</v>
      </c>
      <c r="Q221">
        <v>3542497</v>
      </c>
      <c r="R221">
        <v>3627383</v>
      </c>
      <c r="S221">
        <v>3723259</v>
      </c>
      <c r="T221">
        <v>3821494</v>
      </c>
      <c r="U221">
        <v>3921910</v>
      </c>
      <c r="V221">
        <v>4024032</v>
      </c>
      <c r="W221">
        <v>4127657</v>
      </c>
      <c r="X221">
        <v>4232605</v>
      </c>
      <c r="Y221">
        <v>4339030</v>
      </c>
      <c r="Z221">
        <v>4447272</v>
      </c>
      <c r="AA221">
        <v>4557686</v>
      </c>
      <c r="AB221">
        <v>4661574</v>
      </c>
      <c r="AC221">
        <v>4750627</v>
      </c>
      <c r="AD221">
        <v>4834296</v>
      </c>
      <c r="AE221">
        <v>4921240</v>
      </c>
      <c r="AF221">
        <v>4962395</v>
      </c>
      <c r="AG221">
        <v>4848029</v>
      </c>
      <c r="AH221">
        <v>4713229</v>
      </c>
      <c r="AI221">
        <v>4737633</v>
      </c>
      <c r="AJ221">
        <v>4836677</v>
      </c>
      <c r="AK221">
        <v>4909749</v>
      </c>
      <c r="AL221">
        <v>4956002</v>
      </c>
      <c r="AM221">
        <v>5071184</v>
      </c>
      <c r="AN221">
        <v>5225836</v>
      </c>
      <c r="AO221">
        <v>5356925</v>
      </c>
      <c r="AP221">
        <v>5509136</v>
      </c>
      <c r="AQ221">
        <v>5620068</v>
      </c>
      <c r="AR221">
        <v>5771628</v>
      </c>
      <c r="AS221">
        <v>6032267</v>
      </c>
      <c r="AT221">
        <v>6308391</v>
      </c>
      <c r="AU221">
        <v>6596806</v>
      </c>
      <c r="AV221">
        <v>6903127</v>
      </c>
      <c r="AW221">
        <v>7233041</v>
      </c>
      <c r="AX221">
        <v>7590143</v>
      </c>
      <c r="AY221">
        <v>7976526</v>
      </c>
      <c r="AZ221">
        <v>8388788</v>
      </c>
      <c r="BA221">
        <v>8817647</v>
      </c>
      <c r="BB221">
        <v>9243556</v>
      </c>
      <c r="BC221">
        <v>9745953</v>
      </c>
      <c r="BD221">
        <v>10288109</v>
      </c>
      <c r="BE221">
        <v>10756240</v>
      </c>
      <c r="BF221">
        <v>11166275</v>
      </c>
      <c r="BG221">
        <v>11235073</v>
      </c>
      <c r="BH221">
        <v>11107561</v>
      </c>
      <c r="BI221">
        <v>10830102</v>
      </c>
      <c r="BJ221">
        <v>10259154</v>
      </c>
      <c r="BK221">
        <v>10122977</v>
      </c>
      <c r="BL221">
        <v>10423384</v>
      </c>
      <c r="BM221">
        <v>10698467</v>
      </c>
      <c r="BN221">
        <v>10865780</v>
      </c>
      <c r="BO221">
        <v>11021177</v>
      </c>
      <c r="BP221">
        <v>11483374</v>
      </c>
      <c r="BQ221">
        <v>11943408</v>
      </c>
      <c r="BR221">
        <v>12188788</v>
      </c>
    </row>
    <row r="222" spans="1:70" x14ac:dyDescent="0.35">
      <c r="A222" t="s">
        <v>709</v>
      </c>
      <c r="B222" t="s">
        <v>710</v>
      </c>
      <c r="C222" t="s">
        <v>295</v>
      </c>
      <c r="D222" t="s">
        <v>296</v>
      </c>
      <c r="E222">
        <v>227706653</v>
      </c>
      <c r="F222">
        <v>233241597</v>
      </c>
      <c r="G222">
        <v>239026415</v>
      </c>
      <c r="H222">
        <v>245034711</v>
      </c>
      <c r="I222">
        <v>251288504</v>
      </c>
      <c r="J222">
        <v>257787921</v>
      </c>
      <c r="K222">
        <v>264483132</v>
      </c>
      <c r="L222">
        <v>271416274</v>
      </c>
      <c r="M222">
        <v>278647329</v>
      </c>
      <c r="N222">
        <v>286170368</v>
      </c>
      <c r="O222">
        <v>293976226</v>
      </c>
      <c r="P222">
        <v>301997112</v>
      </c>
      <c r="Q222">
        <v>310201919</v>
      </c>
      <c r="R222">
        <v>318869838</v>
      </c>
      <c r="S222">
        <v>327990755</v>
      </c>
      <c r="T222">
        <v>337373665</v>
      </c>
      <c r="U222">
        <v>347025940</v>
      </c>
      <c r="V222">
        <v>356821508</v>
      </c>
      <c r="W222">
        <v>367355255</v>
      </c>
      <c r="X222">
        <v>378570328</v>
      </c>
      <c r="Y222">
        <v>389829761</v>
      </c>
      <c r="Z222">
        <v>401671969</v>
      </c>
      <c r="AA222">
        <v>414253738</v>
      </c>
      <c r="AB222">
        <v>426709978</v>
      </c>
      <c r="AC222">
        <v>439111854</v>
      </c>
      <c r="AD222">
        <v>452014893</v>
      </c>
      <c r="AE222">
        <v>465259300</v>
      </c>
      <c r="AF222">
        <v>478911799</v>
      </c>
      <c r="AG222">
        <v>492715455</v>
      </c>
      <c r="AH222">
        <v>506724902</v>
      </c>
      <c r="AI222">
        <v>521029972</v>
      </c>
      <c r="AJ222">
        <v>535328746</v>
      </c>
      <c r="AK222">
        <v>549973046</v>
      </c>
      <c r="AL222">
        <v>565251301</v>
      </c>
      <c r="AM222">
        <v>580483156</v>
      </c>
      <c r="AN222">
        <v>596081868</v>
      </c>
      <c r="AO222">
        <v>612267246</v>
      </c>
      <c r="AP222">
        <v>628567583</v>
      </c>
      <c r="AQ222">
        <v>645494313</v>
      </c>
      <c r="AR222">
        <v>662922716</v>
      </c>
      <c r="AS222">
        <v>680768792</v>
      </c>
      <c r="AT222">
        <v>699215347</v>
      </c>
      <c r="AU222">
        <v>718276009</v>
      </c>
      <c r="AV222">
        <v>737918076</v>
      </c>
      <c r="AW222">
        <v>758237956</v>
      </c>
      <c r="AX222">
        <v>779233636</v>
      </c>
      <c r="AY222">
        <v>800828364</v>
      </c>
      <c r="AZ222">
        <v>823124982</v>
      </c>
      <c r="BA222">
        <v>846224198</v>
      </c>
      <c r="BB222">
        <v>869926373</v>
      </c>
      <c r="BC222">
        <v>894259855</v>
      </c>
      <c r="BD222">
        <v>919112234</v>
      </c>
      <c r="BE222">
        <v>944523292</v>
      </c>
      <c r="BF222">
        <v>970746312</v>
      </c>
      <c r="BG222">
        <v>997426231</v>
      </c>
      <c r="BH222">
        <v>1024659421</v>
      </c>
      <c r="BI222">
        <v>1052166739</v>
      </c>
      <c r="BJ222">
        <v>1080208893</v>
      </c>
      <c r="BK222">
        <v>1109196428</v>
      </c>
      <c r="BL222">
        <v>1138472475</v>
      </c>
      <c r="BM222">
        <v>1168133785</v>
      </c>
      <c r="BN222">
        <v>1198069722</v>
      </c>
      <c r="BO222">
        <v>1228187451</v>
      </c>
      <c r="BP222">
        <v>1258809472</v>
      </c>
      <c r="BQ222">
        <v>1289936286</v>
      </c>
      <c r="BR222">
        <v>1321654217</v>
      </c>
    </row>
    <row r="223" spans="1:70" x14ac:dyDescent="0.35">
      <c r="A223" t="s">
        <v>711</v>
      </c>
      <c r="B223" t="s">
        <v>712</v>
      </c>
      <c r="C223" t="s">
        <v>295</v>
      </c>
      <c r="D223" t="s">
        <v>296</v>
      </c>
      <c r="E223">
        <v>8767492</v>
      </c>
      <c r="F223">
        <v>8927466</v>
      </c>
      <c r="G223">
        <v>9111719</v>
      </c>
      <c r="H223">
        <v>9300542</v>
      </c>
      <c r="I223">
        <v>9487757</v>
      </c>
      <c r="J223">
        <v>9670463</v>
      </c>
      <c r="K223">
        <v>9846482</v>
      </c>
      <c r="L223">
        <v>10014042</v>
      </c>
      <c r="M223">
        <v>10181338</v>
      </c>
      <c r="N223">
        <v>10353360</v>
      </c>
      <c r="O223">
        <v>10526671</v>
      </c>
      <c r="P223">
        <v>10702728</v>
      </c>
      <c r="Q223">
        <v>10876065</v>
      </c>
      <c r="R223">
        <v>11041388</v>
      </c>
      <c r="S223">
        <v>11199859</v>
      </c>
      <c r="T223">
        <v>11364129</v>
      </c>
      <c r="U223">
        <v>11541204</v>
      </c>
      <c r="V223">
        <v>11728016</v>
      </c>
      <c r="W223">
        <v>11915233</v>
      </c>
      <c r="X223">
        <v>12105153</v>
      </c>
      <c r="Y223">
        <v>12298380</v>
      </c>
      <c r="Z223">
        <v>12490529</v>
      </c>
      <c r="AA223">
        <v>12683850</v>
      </c>
      <c r="AB223">
        <v>12874950</v>
      </c>
      <c r="AC223">
        <v>13067491</v>
      </c>
      <c r="AD223">
        <v>13275197</v>
      </c>
      <c r="AE223">
        <v>13492150</v>
      </c>
      <c r="AF223">
        <v>13707720</v>
      </c>
      <c r="AG223">
        <v>13924070</v>
      </c>
      <c r="AH223">
        <v>14148870</v>
      </c>
      <c r="AI223">
        <v>14379862</v>
      </c>
      <c r="AJ223">
        <v>14610383</v>
      </c>
      <c r="AK223">
        <v>14735408</v>
      </c>
      <c r="AL223">
        <v>14837410</v>
      </c>
      <c r="AM223">
        <v>14970002</v>
      </c>
      <c r="AN223">
        <v>15087617</v>
      </c>
      <c r="AO223">
        <v>15248657</v>
      </c>
      <c r="AP223">
        <v>15435138</v>
      </c>
      <c r="AQ223">
        <v>15624755</v>
      </c>
      <c r="AR223">
        <v>15698038</v>
      </c>
      <c r="AS223">
        <v>15786741</v>
      </c>
      <c r="AT223">
        <v>16017863</v>
      </c>
      <c r="AU223">
        <v>16250203</v>
      </c>
      <c r="AV223">
        <v>16441139</v>
      </c>
      <c r="AW223">
        <v>16597133</v>
      </c>
      <c r="AX223">
        <v>16699341</v>
      </c>
      <c r="AY223">
        <v>16868546</v>
      </c>
      <c r="AZ223">
        <v>17047450</v>
      </c>
      <c r="BA223">
        <v>17228345</v>
      </c>
      <c r="BB223">
        <v>17398922</v>
      </c>
      <c r="BC223">
        <v>17575200</v>
      </c>
      <c r="BD223">
        <v>17748220</v>
      </c>
      <c r="BE223">
        <v>17926451</v>
      </c>
      <c r="BF223">
        <v>18107202</v>
      </c>
      <c r="BG223">
        <v>18292084</v>
      </c>
      <c r="BH223">
        <v>18482578</v>
      </c>
      <c r="BI223">
        <v>18671045</v>
      </c>
      <c r="BJ223">
        <v>18865506</v>
      </c>
      <c r="BK223">
        <v>19084934</v>
      </c>
      <c r="BL223">
        <v>19293697</v>
      </c>
      <c r="BM223">
        <v>19472157</v>
      </c>
      <c r="BN223">
        <v>19646549</v>
      </c>
      <c r="BO223">
        <v>19852364</v>
      </c>
      <c r="BP223">
        <v>20031262</v>
      </c>
      <c r="BQ223">
        <v>20193405</v>
      </c>
      <c r="BR223">
        <v>20347135</v>
      </c>
    </row>
    <row r="224" spans="1:70" x14ac:dyDescent="0.35">
      <c r="A224" t="s">
        <v>713</v>
      </c>
      <c r="B224" t="s">
        <v>714</v>
      </c>
      <c r="C224" t="s">
        <v>295</v>
      </c>
      <c r="D224" t="s">
        <v>296</v>
      </c>
      <c r="E224">
        <v>68012</v>
      </c>
      <c r="F224">
        <v>68707</v>
      </c>
      <c r="G224">
        <v>69403</v>
      </c>
      <c r="H224">
        <v>70112</v>
      </c>
      <c r="I224">
        <v>70865</v>
      </c>
      <c r="J224">
        <v>71680</v>
      </c>
      <c r="K224">
        <v>72576</v>
      </c>
      <c r="L224">
        <v>73596</v>
      </c>
      <c r="M224">
        <v>74765</v>
      </c>
      <c r="N224">
        <v>76083</v>
      </c>
      <c r="O224">
        <v>77626</v>
      </c>
      <c r="P224">
        <v>79330</v>
      </c>
      <c r="Q224">
        <v>81041</v>
      </c>
      <c r="R224">
        <v>82798</v>
      </c>
      <c r="S224">
        <v>84672</v>
      </c>
      <c r="T224">
        <v>86708</v>
      </c>
      <c r="U224">
        <v>88922</v>
      </c>
      <c r="V224">
        <v>91301</v>
      </c>
      <c r="W224">
        <v>93794</v>
      </c>
      <c r="X224">
        <v>96252</v>
      </c>
      <c r="Y224">
        <v>98544</v>
      </c>
      <c r="Z224">
        <v>100615</v>
      </c>
      <c r="AA224">
        <v>102508</v>
      </c>
      <c r="AB224">
        <v>104380</v>
      </c>
      <c r="AC224">
        <v>106394</v>
      </c>
      <c r="AD224">
        <v>108658</v>
      </c>
      <c r="AE224">
        <v>111150</v>
      </c>
      <c r="AF224">
        <v>113919</v>
      </c>
      <c r="AG224">
        <v>116939</v>
      </c>
      <c r="AH224">
        <v>119979</v>
      </c>
      <c r="AI224">
        <v>122980</v>
      </c>
      <c r="AJ224">
        <v>125697</v>
      </c>
      <c r="AK224">
        <v>128110</v>
      </c>
      <c r="AL224">
        <v>130467</v>
      </c>
      <c r="AM224">
        <v>132732</v>
      </c>
      <c r="AN224">
        <v>134895</v>
      </c>
      <c r="AO224">
        <v>136962</v>
      </c>
      <c r="AP224">
        <v>138922</v>
      </c>
      <c r="AQ224">
        <v>140751</v>
      </c>
      <c r="AR224">
        <v>142442</v>
      </c>
      <c r="AS224">
        <v>144018</v>
      </c>
      <c r="AT224">
        <v>146375</v>
      </c>
      <c r="AU224">
        <v>149922</v>
      </c>
      <c r="AV224">
        <v>153814</v>
      </c>
      <c r="AW224">
        <v>157705</v>
      </c>
      <c r="AX224">
        <v>161639</v>
      </c>
      <c r="AY224">
        <v>165638</v>
      </c>
      <c r="AZ224">
        <v>169700</v>
      </c>
      <c r="BA224">
        <v>173793</v>
      </c>
      <c r="BB224">
        <v>177853</v>
      </c>
      <c r="BC224">
        <v>181802</v>
      </c>
      <c r="BD224">
        <v>185649</v>
      </c>
      <c r="BE224">
        <v>189439</v>
      </c>
      <c r="BF224">
        <v>193148</v>
      </c>
      <c r="BG224">
        <v>196767</v>
      </c>
      <c r="BH224">
        <v>200291</v>
      </c>
      <c r="BI224">
        <v>203689</v>
      </c>
      <c r="BJ224">
        <v>206970</v>
      </c>
      <c r="BK224">
        <v>210187</v>
      </c>
      <c r="BL224">
        <v>213392</v>
      </c>
      <c r="BM224">
        <v>217435</v>
      </c>
      <c r="BN224">
        <v>221961</v>
      </c>
      <c r="BO224">
        <v>226305</v>
      </c>
      <c r="BP224">
        <v>230871</v>
      </c>
      <c r="BQ224">
        <v>235536</v>
      </c>
      <c r="BR224">
        <v>240254</v>
      </c>
    </row>
    <row r="225" spans="1:70" x14ac:dyDescent="0.35">
      <c r="A225" t="s">
        <v>715</v>
      </c>
      <c r="B225" t="s">
        <v>716</v>
      </c>
      <c r="C225" t="s">
        <v>295</v>
      </c>
      <c r="D225" t="s">
        <v>296</v>
      </c>
      <c r="E225">
        <v>263918</v>
      </c>
      <c r="F225">
        <v>272791</v>
      </c>
      <c r="G225">
        <v>283912</v>
      </c>
      <c r="H225">
        <v>297034</v>
      </c>
      <c r="I225">
        <v>309041</v>
      </c>
      <c r="J225">
        <v>320000</v>
      </c>
      <c r="K225">
        <v>331135</v>
      </c>
      <c r="L225">
        <v>342679</v>
      </c>
      <c r="M225">
        <v>354616</v>
      </c>
      <c r="N225">
        <v>366906</v>
      </c>
      <c r="O225">
        <v>379442</v>
      </c>
      <c r="P225">
        <v>391932</v>
      </c>
      <c r="Q225">
        <v>397413</v>
      </c>
      <c r="R225">
        <v>395772</v>
      </c>
      <c r="S225">
        <v>393676</v>
      </c>
      <c r="T225">
        <v>391170</v>
      </c>
      <c r="U225">
        <v>388289</v>
      </c>
      <c r="V225">
        <v>385067</v>
      </c>
      <c r="W225">
        <v>381502</v>
      </c>
      <c r="X225">
        <v>377602</v>
      </c>
      <c r="Y225">
        <v>375377</v>
      </c>
      <c r="Z225">
        <v>375459</v>
      </c>
      <c r="AA225">
        <v>376555</v>
      </c>
      <c r="AB225">
        <v>378746</v>
      </c>
      <c r="AC225">
        <v>382193</v>
      </c>
      <c r="AD225">
        <v>386972</v>
      </c>
      <c r="AE225">
        <v>392330</v>
      </c>
      <c r="AF225">
        <v>396911</v>
      </c>
      <c r="AG225">
        <v>402227</v>
      </c>
      <c r="AH225">
        <v>408409</v>
      </c>
      <c r="AI225">
        <v>412493</v>
      </c>
      <c r="AJ225">
        <v>415013</v>
      </c>
      <c r="AK225">
        <v>417589</v>
      </c>
      <c r="AL225">
        <v>419352</v>
      </c>
      <c r="AM225">
        <v>422375</v>
      </c>
      <c r="AN225">
        <v>429606</v>
      </c>
      <c r="AO225">
        <v>438830</v>
      </c>
      <c r="AP225">
        <v>448067</v>
      </c>
      <c r="AQ225">
        <v>457406</v>
      </c>
      <c r="AR225">
        <v>466916</v>
      </c>
      <c r="AS225">
        <v>476643</v>
      </c>
      <c r="AT225">
        <v>486560</v>
      </c>
      <c r="AU225">
        <v>496551</v>
      </c>
      <c r="AV225">
        <v>506414</v>
      </c>
      <c r="AW225">
        <v>513923</v>
      </c>
      <c r="AX225">
        <v>519313</v>
      </c>
      <c r="AY225">
        <v>524997</v>
      </c>
      <c r="AZ225">
        <v>531016</v>
      </c>
      <c r="BA225">
        <v>537245</v>
      </c>
      <c r="BB225">
        <v>543568</v>
      </c>
      <c r="BC225">
        <v>549923</v>
      </c>
      <c r="BD225">
        <v>556269</v>
      </c>
      <c r="BE225">
        <v>562633</v>
      </c>
      <c r="BF225">
        <v>569020</v>
      </c>
      <c r="BG225">
        <v>575373</v>
      </c>
      <c r="BH225">
        <v>581627</v>
      </c>
      <c r="BI225">
        <v>587757</v>
      </c>
      <c r="BJ225">
        <v>593713</v>
      </c>
      <c r="BK225">
        <v>599513</v>
      </c>
      <c r="BL225">
        <v>605768</v>
      </c>
      <c r="BM225">
        <v>612317</v>
      </c>
      <c r="BN225">
        <v>617896</v>
      </c>
      <c r="BO225">
        <v>623164</v>
      </c>
      <c r="BP225">
        <v>628886</v>
      </c>
      <c r="BQ225">
        <v>634431</v>
      </c>
      <c r="BR225">
        <v>639850</v>
      </c>
    </row>
    <row r="226" spans="1:70" x14ac:dyDescent="0.35">
      <c r="A226" t="s">
        <v>717</v>
      </c>
      <c r="B226" t="s">
        <v>718</v>
      </c>
      <c r="C226" t="s">
        <v>295</v>
      </c>
      <c r="D226" t="s">
        <v>296</v>
      </c>
      <c r="E226">
        <v>4068095</v>
      </c>
      <c r="F226">
        <v>4191667</v>
      </c>
      <c r="G226">
        <v>4238188</v>
      </c>
      <c r="H226">
        <v>4282017</v>
      </c>
      <c r="I226">
        <v>4327341</v>
      </c>
      <c r="J226">
        <v>4370983</v>
      </c>
      <c r="K226">
        <v>4411666</v>
      </c>
      <c r="L226">
        <v>4449367</v>
      </c>
      <c r="M226">
        <v>4483915</v>
      </c>
      <c r="N226">
        <v>4518607</v>
      </c>
      <c r="O226">
        <v>4538223</v>
      </c>
      <c r="P226">
        <v>4557449</v>
      </c>
      <c r="Q226">
        <v>4596622</v>
      </c>
      <c r="R226">
        <v>4641445</v>
      </c>
      <c r="S226">
        <v>4689623</v>
      </c>
      <c r="T226">
        <v>4739105</v>
      </c>
      <c r="U226">
        <v>4789507</v>
      </c>
      <c r="V226">
        <v>4840501</v>
      </c>
      <c r="W226">
        <v>4890125</v>
      </c>
      <c r="X226">
        <v>4938973</v>
      </c>
      <c r="Y226">
        <v>4979815</v>
      </c>
      <c r="Z226">
        <v>5016105</v>
      </c>
      <c r="AA226">
        <v>5055099</v>
      </c>
      <c r="AB226">
        <v>5091971</v>
      </c>
      <c r="AC226">
        <v>5127097</v>
      </c>
      <c r="AD226">
        <v>5161768</v>
      </c>
      <c r="AE226">
        <v>5193838</v>
      </c>
      <c r="AF226">
        <v>5222840</v>
      </c>
      <c r="AG226">
        <v>5250596</v>
      </c>
      <c r="AH226">
        <v>5275942</v>
      </c>
      <c r="AI226">
        <v>5299187</v>
      </c>
      <c r="AJ226">
        <v>5303294</v>
      </c>
      <c r="AK226">
        <v>5305016</v>
      </c>
      <c r="AL226">
        <v>5325305</v>
      </c>
      <c r="AM226">
        <v>5346331</v>
      </c>
      <c r="AN226">
        <v>5361999</v>
      </c>
      <c r="AO226">
        <v>5373361</v>
      </c>
      <c r="AP226">
        <v>5383291</v>
      </c>
      <c r="AQ226">
        <v>5390516</v>
      </c>
      <c r="AR226">
        <v>5396020</v>
      </c>
      <c r="AS226">
        <v>5388720</v>
      </c>
      <c r="AT226">
        <v>5378867</v>
      </c>
      <c r="AU226">
        <v>5376912</v>
      </c>
      <c r="AV226">
        <v>5373374</v>
      </c>
      <c r="AW226">
        <v>5372280</v>
      </c>
      <c r="AX226">
        <v>5372807</v>
      </c>
      <c r="AY226">
        <v>5373054</v>
      </c>
      <c r="AZ226">
        <v>5374622</v>
      </c>
      <c r="BA226">
        <v>5379233</v>
      </c>
      <c r="BB226">
        <v>5386406</v>
      </c>
      <c r="BC226">
        <v>5391428</v>
      </c>
      <c r="BD226">
        <v>5398384</v>
      </c>
      <c r="BE226">
        <v>5407579</v>
      </c>
      <c r="BF226">
        <v>5413393</v>
      </c>
      <c r="BG226">
        <v>5418649</v>
      </c>
      <c r="BH226">
        <v>5423801</v>
      </c>
      <c r="BI226">
        <v>5430798</v>
      </c>
      <c r="BJ226">
        <v>5439232</v>
      </c>
      <c r="BK226">
        <v>5446771</v>
      </c>
      <c r="BL226">
        <v>5454147</v>
      </c>
      <c r="BM226">
        <v>5458827</v>
      </c>
      <c r="BN226">
        <v>5447247</v>
      </c>
      <c r="BO226">
        <v>5431752</v>
      </c>
      <c r="BP226">
        <v>5426740</v>
      </c>
      <c r="BQ226">
        <v>5422069</v>
      </c>
      <c r="BR226">
        <v>5413813</v>
      </c>
    </row>
    <row r="227" spans="1:70" x14ac:dyDescent="0.35">
      <c r="A227" t="s">
        <v>719</v>
      </c>
      <c r="B227" t="s">
        <v>720</v>
      </c>
      <c r="C227" t="s">
        <v>295</v>
      </c>
      <c r="D227" t="s">
        <v>296</v>
      </c>
      <c r="E227">
        <v>1584720</v>
      </c>
      <c r="F227">
        <v>1594131</v>
      </c>
      <c r="G227">
        <v>1603649</v>
      </c>
      <c r="H227">
        <v>1616971</v>
      </c>
      <c r="I227">
        <v>1632114</v>
      </c>
      <c r="J227">
        <v>1649160</v>
      </c>
      <c r="K227">
        <v>1669905</v>
      </c>
      <c r="L227">
        <v>1689528</v>
      </c>
      <c r="M227">
        <v>1704546</v>
      </c>
      <c r="N227">
        <v>1713874</v>
      </c>
      <c r="O227">
        <v>1724891</v>
      </c>
      <c r="P227">
        <v>1738335</v>
      </c>
      <c r="Q227">
        <v>1752233</v>
      </c>
      <c r="R227">
        <v>1766697</v>
      </c>
      <c r="S227">
        <v>1776132</v>
      </c>
      <c r="T227">
        <v>1793581</v>
      </c>
      <c r="U227">
        <v>1820249</v>
      </c>
      <c r="V227">
        <v>1842377</v>
      </c>
      <c r="W227">
        <v>1862548</v>
      </c>
      <c r="X227">
        <v>1882599</v>
      </c>
      <c r="Y227">
        <v>1901315</v>
      </c>
      <c r="Z227">
        <v>1906531</v>
      </c>
      <c r="AA227">
        <v>1910334</v>
      </c>
      <c r="AB227">
        <v>1922321</v>
      </c>
      <c r="AC227">
        <v>1932154</v>
      </c>
      <c r="AD227">
        <v>1941641</v>
      </c>
      <c r="AE227">
        <v>1965964</v>
      </c>
      <c r="AF227">
        <v>1989776</v>
      </c>
      <c r="AG227">
        <v>1995196</v>
      </c>
      <c r="AH227">
        <v>1996351</v>
      </c>
      <c r="AI227">
        <v>1998161</v>
      </c>
      <c r="AJ227">
        <v>1999429</v>
      </c>
      <c r="AK227">
        <v>1996498</v>
      </c>
      <c r="AL227">
        <v>1991746</v>
      </c>
      <c r="AM227">
        <v>1989443</v>
      </c>
      <c r="AN227">
        <v>1989872</v>
      </c>
      <c r="AO227">
        <v>1988628</v>
      </c>
      <c r="AP227">
        <v>1985956</v>
      </c>
      <c r="AQ227">
        <v>1981629</v>
      </c>
      <c r="AR227">
        <v>1983045</v>
      </c>
      <c r="AS227">
        <v>1988925</v>
      </c>
      <c r="AT227">
        <v>1992060</v>
      </c>
      <c r="AU227">
        <v>1994530</v>
      </c>
      <c r="AV227">
        <v>1995733</v>
      </c>
      <c r="AW227">
        <v>1997012</v>
      </c>
      <c r="AX227">
        <v>2000474</v>
      </c>
      <c r="AY227">
        <v>2006868</v>
      </c>
      <c r="AZ227">
        <v>2018122</v>
      </c>
      <c r="BA227">
        <v>2021316</v>
      </c>
      <c r="BB227">
        <v>2039669</v>
      </c>
      <c r="BC227">
        <v>2048583</v>
      </c>
      <c r="BD227">
        <v>2052843</v>
      </c>
      <c r="BE227">
        <v>2057159</v>
      </c>
      <c r="BF227">
        <v>2059953</v>
      </c>
      <c r="BG227">
        <v>2061980</v>
      </c>
      <c r="BH227">
        <v>2063531</v>
      </c>
      <c r="BI227">
        <v>2065042</v>
      </c>
      <c r="BJ227">
        <v>2066388</v>
      </c>
      <c r="BK227">
        <v>2073894</v>
      </c>
      <c r="BL227">
        <v>2088385</v>
      </c>
      <c r="BM227">
        <v>2102419</v>
      </c>
      <c r="BN227">
        <v>2108079</v>
      </c>
      <c r="BO227">
        <v>2112076</v>
      </c>
      <c r="BP227">
        <v>2120461</v>
      </c>
      <c r="BQ227">
        <v>2127400</v>
      </c>
      <c r="BR227">
        <v>2130986</v>
      </c>
    </row>
    <row r="228" spans="1:70" x14ac:dyDescent="0.35">
      <c r="A228" t="s">
        <v>279</v>
      </c>
      <c r="B228" t="s">
        <v>721</v>
      </c>
      <c r="C228" t="s">
        <v>295</v>
      </c>
      <c r="D228" t="s">
        <v>296</v>
      </c>
      <c r="E228">
        <v>7484656</v>
      </c>
      <c r="F228">
        <v>7519998</v>
      </c>
      <c r="G228">
        <v>7561588</v>
      </c>
      <c r="H228">
        <v>7604328</v>
      </c>
      <c r="I228">
        <v>7661354</v>
      </c>
      <c r="J228">
        <v>7733853</v>
      </c>
      <c r="K228">
        <v>7807797</v>
      </c>
      <c r="L228">
        <v>7867931</v>
      </c>
      <c r="M228">
        <v>7912273</v>
      </c>
      <c r="N228">
        <v>7968072</v>
      </c>
      <c r="O228">
        <v>8042801</v>
      </c>
      <c r="P228">
        <v>8098334</v>
      </c>
      <c r="Q228">
        <v>8122300</v>
      </c>
      <c r="R228">
        <v>8136312</v>
      </c>
      <c r="S228">
        <v>8159955</v>
      </c>
      <c r="T228">
        <v>8192437</v>
      </c>
      <c r="U228">
        <v>8222286</v>
      </c>
      <c r="V228">
        <v>8251540</v>
      </c>
      <c r="W228">
        <v>8275599</v>
      </c>
      <c r="X228">
        <v>8293678</v>
      </c>
      <c r="Y228">
        <v>8310531</v>
      </c>
      <c r="Z228">
        <v>8320503</v>
      </c>
      <c r="AA228">
        <v>8325263</v>
      </c>
      <c r="AB228">
        <v>8329033</v>
      </c>
      <c r="AC228">
        <v>8336605</v>
      </c>
      <c r="AD228">
        <v>8350386</v>
      </c>
      <c r="AE228">
        <v>8369829</v>
      </c>
      <c r="AF228">
        <v>8397804</v>
      </c>
      <c r="AG228">
        <v>8436489</v>
      </c>
      <c r="AH228">
        <v>8492964</v>
      </c>
      <c r="AI228">
        <v>8558835</v>
      </c>
      <c r="AJ228">
        <v>8617375</v>
      </c>
      <c r="AK228">
        <v>8668067</v>
      </c>
      <c r="AL228">
        <v>8718561</v>
      </c>
      <c r="AM228">
        <v>8780745</v>
      </c>
      <c r="AN228">
        <v>8826939</v>
      </c>
      <c r="AO228">
        <v>8840998</v>
      </c>
      <c r="AP228">
        <v>8846062</v>
      </c>
      <c r="AQ228">
        <v>8850974</v>
      </c>
      <c r="AR228">
        <v>8857874</v>
      </c>
      <c r="AS228">
        <v>8872109</v>
      </c>
      <c r="AT228">
        <v>8895960</v>
      </c>
      <c r="AU228">
        <v>8924958</v>
      </c>
      <c r="AV228">
        <v>8958229</v>
      </c>
      <c r="AW228">
        <v>8993531</v>
      </c>
      <c r="AX228">
        <v>9029572</v>
      </c>
      <c r="AY228">
        <v>9080505</v>
      </c>
      <c r="AZ228">
        <v>9148092</v>
      </c>
      <c r="BA228">
        <v>9219637</v>
      </c>
      <c r="BB228">
        <v>9298515</v>
      </c>
      <c r="BC228">
        <v>9378126</v>
      </c>
      <c r="BD228">
        <v>9449213</v>
      </c>
      <c r="BE228">
        <v>9519374</v>
      </c>
      <c r="BF228">
        <v>9600379</v>
      </c>
      <c r="BG228">
        <v>9696110</v>
      </c>
      <c r="BH228">
        <v>9799186</v>
      </c>
      <c r="BI228">
        <v>9923085</v>
      </c>
      <c r="BJ228">
        <v>10057698</v>
      </c>
      <c r="BK228">
        <v>10175214</v>
      </c>
      <c r="BL228">
        <v>10278887</v>
      </c>
      <c r="BM228">
        <v>10353442</v>
      </c>
      <c r="BN228">
        <v>10415811</v>
      </c>
      <c r="BO228">
        <v>10486941</v>
      </c>
      <c r="BP228">
        <v>10536632</v>
      </c>
      <c r="BQ228">
        <v>10569709</v>
      </c>
      <c r="BR228">
        <v>10596620</v>
      </c>
    </row>
    <row r="229" spans="1:70" x14ac:dyDescent="0.35">
      <c r="A229" t="s">
        <v>722</v>
      </c>
      <c r="B229" t="s">
        <v>723</v>
      </c>
      <c r="C229" t="s">
        <v>295</v>
      </c>
      <c r="D229" t="s">
        <v>296</v>
      </c>
      <c r="E229">
        <v>345337</v>
      </c>
      <c r="F229">
        <v>353264</v>
      </c>
      <c r="G229">
        <v>361365</v>
      </c>
      <c r="H229">
        <v>369759</v>
      </c>
      <c r="I229">
        <v>378656</v>
      </c>
      <c r="J229">
        <v>388336</v>
      </c>
      <c r="K229">
        <v>398766</v>
      </c>
      <c r="L229">
        <v>409031</v>
      </c>
      <c r="M229">
        <v>419147</v>
      </c>
      <c r="N229">
        <v>429875</v>
      </c>
      <c r="O229">
        <v>441216</v>
      </c>
      <c r="P229">
        <v>453183</v>
      </c>
      <c r="Q229">
        <v>465788</v>
      </c>
      <c r="R229">
        <v>479038</v>
      </c>
      <c r="S229">
        <v>492988</v>
      </c>
      <c r="T229">
        <v>507673</v>
      </c>
      <c r="U229">
        <v>523330</v>
      </c>
      <c r="V229">
        <v>540348</v>
      </c>
      <c r="W229">
        <v>558446</v>
      </c>
      <c r="X229">
        <v>577199</v>
      </c>
      <c r="Y229">
        <v>596644</v>
      </c>
      <c r="Z229">
        <v>616808</v>
      </c>
      <c r="AA229">
        <v>637652</v>
      </c>
      <c r="AB229">
        <v>658957</v>
      </c>
      <c r="AC229">
        <v>680783</v>
      </c>
      <c r="AD229">
        <v>706196</v>
      </c>
      <c r="AE229">
        <v>734732</v>
      </c>
      <c r="AF229">
        <v>763811</v>
      </c>
      <c r="AG229">
        <v>799798</v>
      </c>
      <c r="AH229">
        <v>837800</v>
      </c>
      <c r="AI229">
        <v>872428</v>
      </c>
      <c r="AJ229">
        <v>908189</v>
      </c>
      <c r="AK229">
        <v>943416</v>
      </c>
      <c r="AL229">
        <v>971318</v>
      </c>
      <c r="AM229">
        <v>971212</v>
      </c>
      <c r="AN229">
        <v>970433</v>
      </c>
      <c r="AO229">
        <v>989841</v>
      </c>
      <c r="AP229">
        <v>1006635</v>
      </c>
      <c r="AQ229">
        <v>1019653</v>
      </c>
      <c r="AR229">
        <v>1030782</v>
      </c>
      <c r="AS229">
        <v>1041414</v>
      </c>
      <c r="AT229">
        <v>1051064</v>
      </c>
      <c r="AU229">
        <v>1059441</v>
      </c>
      <c r="AV229">
        <v>1066700</v>
      </c>
      <c r="AW229">
        <v>1073159</v>
      </c>
      <c r="AX229">
        <v>1079022</v>
      </c>
      <c r="AY229">
        <v>1084436</v>
      </c>
      <c r="AZ229">
        <v>1090705</v>
      </c>
      <c r="BA229">
        <v>1098091</v>
      </c>
      <c r="BB229">
        <v>1105153</v>
      </c>
      <c r="BC229">
        <v>1111650</v>
      </c>
      <c r="BD229">
        <v>1117833</v>
      </c>
      <c r="BE229">
        <v>1123863</v>
      </c>
      <c r="BF229">
        <v>1129990</v>
      </c>
      <c r="BG229">
        <v>1136299</v>
      </c>
      <c r="BH229">
        <v>1142813</v>
      </c>
      <c r="BI229">
        <v>1149507</v>
      </c>
      <c r="BJ229">
        <v>1158195</v>
      </c>
      <c r="BK229">
        <v>1168929</v>
      </c>
      <c r="BL229">
        <v>1179874</v>
      </c>
      <c r="BM229">
        <v>1192729</v>
      </c>
      <c r="BN229">
        <v>1206593</v>
      </c>
      <c r="BO229">
        <v>1218917</v>
      </c>
      <c r="BP229">
        <v>1230506</v>
      </c>
      <c r="BQ229">
        <v>1242822</v>
      </c>
      <c r="BR229">
        <v>1256174</v>
      </c>
    </row>
    <row r="230" spans="1:70" x14ac:dyDescent="0.35">
      <c r="A230" t="s">
        <v>724</v>
      </c>
      <c r="B230" t="s">
        <v>725</v>
      </c>
      <c r="C230" t="s">
        <v>295</v>
      </c>
      <c r="D230" t="s">
        <v>296</v>
      </c>
      <c r="E230">
        <v>2715</v>
      </c>
      <c r="F230">
        <v>2970</v>
      </c>
      <c r="G230">
        <v>3264</v>
      </c>
      <c r="H230">
        <v>3584</v>
      </c>
      <c r="I230">
        <v>3922</v>
      </c>
      <c r="J230">
        <v>4282</v>
      </c>
      <c r="K230">
        <v>4664</v>
      </c>
      <c r="L230">
        <v>5071</v>
      </c>
      <c r="M230">
        <v>5500</v>
      </c>
      <c r="N230">
        <v>5948</v>
      </c>
      <c r="O230">
        <v>6414</v>
      </c>
      <c r="P230">
        <v>6888</v>
      </c>
      <c r="Q230">
        <v>7380</v>
      </c>
      <c r="R230">
        <v>7917</v>
      </c>
      <c r="S230">
        <v>8492</v>
      </c>
      <c r="T230">
        <v>9094</v>
      </c>
      <c r="U230">
        <v>9716</v>
      </c>
      <c r="V230">
        <v>10364</v>
      </c>
      <c r="W230">
        <v>11039</v>
      </c>
      <c r="X230">
        <v>11723</v>
      </c>
      <c r="Y230">
        <v>12410</v>
      </c>
      <c r="Z230">
        <v>13302</v>
      </c>
      <c r="AA230">
        <v>14607</v>
      </c>
      <c r="AB230">
        <v>16133</v>
      </c>
      <c r="AC230">
        <v>17694</v>
      </c>
      <c r="AD230">
        <v>19291</v>
      </c>
      <c r="AE230">
        <v>20930</v>
      </c>
      <c r="AF230">
        <v>22617</v>
      </c>
      <c r="AG230">
        <v>24357</v>
      </c>
      <c r="AH230">
        <v>26169</v>
      </c>
      <c r="AI230">
        <v>28061</v>
      </c>
      <c r="AJ230">
        <v>30046</v>
      </c>
      <c r="AK230">
        <v>31567</v>
      </c>
      <c r="AL230">
        <v>32026</v>
      </c>
      <c r="AM230">
        <v>31917</v>
      </c>
      <c r="AN230">
        <v>31772</v>
      </c>
      <c r="AO230">
        <v>31598</v>
      </c>
      <c r="AP230">
        <v>31404</v>
      </c>
      <c r="AQ230">
        <v>31193</v>
      </c>
      <c r="AR230">
        <v>30977</v>
      </c>
      <c r="AS230">
        <v>30773</v>
      </c>
      <c r="AT230">
        <v>30726</v>
      </c>
      <c r="AU230">
        <v>30960</v>
      </c>
      <c r="AV230">
        <v>31327</v>
      </c>
      <c r="AW230">
        <v>31690</v>
      </c>
      <c r="AX230">
        <v>32057</v>
      </c>
      <c r="AY230">
        <v>32428</v>
      </c>
      <c r="AZ230">
        <v>32791</v>
      </c>
      <c r="BA230">
        <v>33145</v>
      </c>
      <c r="BB230">
        <v>33491</v>
      </c>
      <c r="BC230">
        <v>33794</v>
      </c>
      <c r="BD230">
        <v>34267</v>
      </c>
      <c r="BE230">
        <v>35023</v>
      </c>
      <c r="BF230">
        <v>35854</v>
      </c>
      <c r="BG230">
        <v>36672</v>
      </c>
      <c r="BH230">
        <v>37471</v>
      </c>
      <c r="BI230">
        <v>38249</v>
      </c>
      <c r="BJ230">
        <v>38996</v>
      </c>
      <c r="BK230">
        <v>39712</v>
      </c>
      <c r="BL230">
        <v>40385</v>
      </c>
      <c r="BM230">
        <v>41008</v>
      </c>
      <c r="BN230">
        <v>41571</v>
      </c>
      <c r="BO230">
        <v>42139</v>
      </c>
      <c r="BP230">
        <v>42749</v>
      </c>
      <c r="BQ230">
        <v>43350</v>
      </c>
      <c r="BR230">
        <v>43923</v>
      </c>
    </row>
    <row r="231" spans="1:70" x14ac:dyDescent="0.35">
      <c r="A231" t="s">
        <v>726</v>
      </c>
      <c r="B231" t="s">
        <v>727</v>
      </c>
      <c r="C231" t="s">
        <v>295</v>
      </c>
      <c r="D231" t="s">
        <v>296</v>
      </c>
      <c r="E231">
        <v>41700</v>
      </c>
      <c r="F231">
        <v>42889</v>
      </c>
      <c r="G231">
        <v>44042</v>
      </c>
      <c r="H231">
        <v>45176</v>
      </c>
      <c r="I231">
        <v>46322</v>
      </c>
      <c r="J231">
        <v>47500</v>
      </c>
      <c r="K231">
        <v>48699</v>
      </c>
      <c r="L231">
        <v>49911</v>
      </c>
      <c r="M231">
        <v>51134</v>
      </c>
      <c r="N231">
        <v>52365</v>
      </c>
      <c r="O231">
        <v>53600</v>
      </c>
      <c r="P231">
        <v>54695</v>
      </c>
      <c r="Q231">
        <v>56029</v>
      </c>
      <c r="R231">
        <v>56892</v>
      </c>
      <c r="S231">
        <v>57937</v>
      </c>
      <c r="T231">
        <v>59292</v>
      </c>
      <c r="U231">
        <v>60504</v>
      </c>
      <c r="V231">
        <v>61786</v>
      </c>
      <c r="W231">
        <v>62150</v>
      </c>
      <c r="X231">
        <v>62686</v>
      </c>
      <c r="Y231">
        <v>63261</v>
      </c>
      <c r="Z231">
        <v>64035</v>
      </c>
      <c r="AA231">
        <v>64413</v>
      </c>
      <c r="AB231">
        <v>64335</v>
      </c>
      <c r="AC231">
        <v>64717</v>
      </c>
      <c r="AD231">
        <v>65244</v>
      </c>
      <c r="AE231">
        <v>65652</v>
      </c>
      <c r="AF231">
        <v>68499</v>
      </c>
      <c r="AG231">
        <v>68755</v>
      </c>
      <c r="AH231">
        <v>69167</v>
      </c>
      <c r="AI231">
        <v>69507</v>
      </c>
      <c r="AJ231">
        <v>70439</v>
      </c>
      <c r="AK231">
        <v>70763</v>
      </c>
      <c r="AL231">
        <v>72253</v>
      </c>
      <c r="AM231">
        <v>74205</v>
      </c>
      <c r="AN231">
        <v>75304</v>
      </c>
      <c r="AO231">
        <v>76417</v>
      </c>
      <c r="AP231">
        <v>77319</v>
      </c>
      <c r="AQ231">
        <v>78846</v>
      </c>
      <c r="AR231">
        <v>80410</v>
      </c>
      <c r="AS231">
        <v>81131</v>
      </c>
      <c r="AT231">
        <v>81202</v>
      </c>
      <c r="AU231">
        <v>83723</v>
      </c>
      <c r="AV231">
        <v>82781</v>
      </c>
      <c r="AW231">
        <v>82475</v>
      </c>
      <c r="AX231">
        <v>82858</v>
      </c>
      <c r="AY231">
        <v>84600</v>
      </c>
      <c r="AZ231">
        <v>85033</v>
      </c>
      <c r="BA231">
        <v>86956</v>
      </c>
      <c r="BB231">
        <v>87298</v>
      </c>
      <c r="BC231">
        <v>89770</v>
      </c>
      <c r="BD231">
        <v>87441</v>
      </c>
      <c r="BE231">
        <v>88303</v>
      </c>
      <c r="BF231">
        <v>89949</v>
      </c>
      <c r="BG231">
        <v>91359</v>
      </c>
      <c r="BH231">
        <v>93419</v>
      </c>
      <c r="BI231">
        <v>94677</v>
      </c>
      <c r="BJ231">
        <v>95843</v>
      </c>
      <c r="BK231">
        <v>96762</v>
      </c>
      <c r="BL231">
        <v>97625</v>
      </c>
      <c r="BM231">
        <v>98462</v>
      </c>
      <c r="BN231">
        <v>99258</v>
      </c>
      <c r="BO231">
        <v>119878</v>
      </c>
      <c r="BP231">
        <v>119773</v>
      </c>
      <c r="BQ231">
        <v>121354</v>
      </c>
      <c r="BR231">
        <v>122730</v>
      </c>
    </row>
    <row r="232" spans="1:70" x14ac:dyDescent="0.35">
      <c r="A232" t="s">
        <v>728</v>
      </c>
      <c r="B232" t="s">
        <v>729</v>
      </c>
      <c r="C232" t="s">
        <v>295</v>
      </c>
      <c r="D232" t="s">
        <v>296</v>
      </c>
      <c r="E232">
        <v>4673500</v>
      </c>
      <c r="F232">
        <v>4815466</v>
      </c>
      <c r="G232">
        <v>4959340</v>
      </c>
      <c r="H232">
        <v>5110467</v>
      </c>
      <c r="I232">
        <v>5269087</v>
      </c>
      <c r="J232">
        <v>5435267</v>
      </c>
      <c r="K232">
        <v>5609047</v>
      </c>
      <c r="L232">
        <v>5790198</v>
      </c>
      <c r="M232">
        <v>5978742</v>
      </c>
      <c r="N232">
        <v>6175166</v>
      </c>
      <c r="O232">
        <v>6380609</v>
      </c>
      <c r="P232">
        <v>6598094</v>
      </c>
      <c r="Q232">
        <v>6826024</v>
      </c>
      <c r="R232">
        <v>7060321</v>
      </c>
      <c r="S232">
        <v>7302160</v>
      </c>
      <c r="T232">
        <v>7554364</v>
      </c>
      <c r="U232">
        <v>7817320</v>
      </c>
      <c r="V232">
        <v>8090501</v>
      </c>
      <c r="W232">
        <v>8372759</v>
      </c>
      <c r="X232">
        <v>8661909</v>
      </c>
      <c r="Y232">
        <v>8957663</v>
      </c>
      <c r="Z232">
        <v>9260189</v>
      </c>
      <c r="AA232">
        <v>9572511</v>
      </c>
      <c r="AB232">
        <v>9904809</v>
      </c>
      <c r="AC232">
        <v>10258398</v>
      </c>
      <c r="AD232">
        <v>10625672</v>
      </c>
      <c r="AE232">
        <v>11002844</v>
      </c>
      <c r="AF232">
        <v>11388923</v>
      </c>
      <c r="AG232">
        <v>11782264</v>
      </c>
      <c r="AH232">
        <v>12179060</v>
      </c>
      <c r="AI232">
        <v>12579208</v>
      </c>
      <c r="AJ232">
        <v>12980821</v>
      </c>
      <c r="AK232">
        <v>13385571</v>
      </c>
      <c r="AL232">
        <v>13795686</v>
      </c>
      <c r="AM232">
        <v>14208583</v>
      </c>
      <c r="AN232">
        <v>14616801</v>
      </c>
      <c r="AO232">
        <v>15018104</v>
      </c>
      <c r="AP232">
        <v>15417542</v>
      </c>
      <c r="AQ232">
        <v>15820413</v>
      </c>
      <c r="AR232">
        <v>16228061</v>
      </c>
      <c r="AS232">
        <v>16637888</v>
      </c>
      <c r="AT232">
        <v>17051338</v>
      </c>
      <c r="AU232">
        <v>17468332</v>
      </c>
      <c r="AV232">
        <v>17889296</v>
      </c>
      <c r="AW232">
        <v>18336875</v>
      </c>
      <c r="AX232">
        <v>18814091</v>
      </c>
      <c r="AY232">
        <v>19637022</v>
      </c>
      <c r="AZ232">
        <v>20884125</v>
      </c>
      <c r="BA232">
        <v>21636564</v>
      </c>
      <c r="BB232">
        <v>21976969</v>
      </c>
      <c r="BC232">
        <v>22482421</v>
      </c>
      <c r="BD232">
        <v>22878098</v>
      </c>
      <c r="BE232">
        <v>22759763</v>
      </c>
      <c r="BF232">
        <v>21666917</v>
      </c>
      <c r="BG232">
        <v>20273659</v>
      </c>
      <c r="BH232">
        <v>19424618</v>
      </c>
      <c r="BI232">
        <v>19193834</v>
      </c>
      <c r="BJ232">
        <v>19224668</v>
      </c>
      <c r="BK232">
        <v>19577845</v>
      </c>
      <c r="BL232">
        <v>20353534</v>
      </c>
      <c r="BM232">
        <v>21049429</v>
      </c>
      <c r="BN232">
        <v>21628839</v>
      </c>
      <c r="BO232">
        <v>22462173</v>
      </c>
      <c r="BP232">
        <v>23594623</v>
      </c>
      <c r="BQ232">
        <v>24672760</v>
      </c>
      <c r="BR232">
        <v>25620427</v>
      </c>
    </row>
    <row r="233" spans="1:70" x14ac:dyDescent="0.35">
      <c r="A233" t="s">
        <v>730</v>
      </c>
      <c r="B233" t="s">
        <v>731</v>
      </c>
      <c r="C233" t="s">
        <v>295</v>
      </c>
      <c r="D233" t="s">
        <v>296</v>
      </c>
      <c r="E233">
        <v>5599</v>
      </c>
      <c r="F233">
        <v>5622</v>
      </c>
      <c r="G233">
        <v>5636</v>
      </c>
      <c r="H233">
        <v>5647</v>
      </c>
      <c r="I233">
        <v>5657</v>
      </c>
      <c r="J233">
        <v>5658</v>
      </c>
      <c r="K233">
        <v>5654</v>
      </c>
      <c r="L233">
        <v>5657</v>
      </c>
      <c r="M233">
        <v>5656</v>
      </c>
      <c r="N233">
        <v>5652</v>
      </c>
      <c r="O233">
        <v>5667</v>
      </c>
      <c r="P233">
        <v>5754</v>
      </c>
      <c r="Q233">
        <v>5915</v>
      </c>
      <c r="R233">
        <v>6090</v>
      </c>
      <c r="S233">
        <v>6273</v>
      </c>
      <c r="T233">
        <v>6463</v>
      </c>
      <c r="U233">
        <v>6660</v>
      </c>
      <c r="V233">
        <v>6864</v>
      </c>
      <c r="W233">
        <v>7083</v>
      </c>
      <c r="X233">
        <v>7306</v>
      </c>
      <c r="Y233">
        <v>7564</v>
      </c>
      <c r="Z233">
        <v>7908</v>
      </c>
      <c r="AA233">
        <v>8297</v>
      </c>
      <c r="AB233">
        <v>8697</v>
      </c>
      <c r="AC233">
        <v>9107</v>
      </c>
      <c r="AD233">
        <v>9521</v>
      </c>
      <c r="AE233">
        <v>9941</v>
      </c>
      <c r="AF233">
        <v>10361</v>
      </c>
      <c r="AG233">
        <v>10775</v>
      </c>
      <c r="AH233">
        <v>11193</v>
      </c>
      <c r="AI233">
        <v>11688</v>
      </c>
      <c r="AJ233">
        <v>12305</v>
      </c>
      <c r="AK233">
        <v>12970</v>
      </c>
      <c r="AL233">
        <v>13648</v>
      </c>
      <c r="AM233">
        <v>14344</v>
      </c>
      <c r="AN233">
        <v>15052</v>
      </c>
      <c r="AO233">
        <v>15765</v>
      </c>
      <c r="AP233">
        <v>16482</v>
      </c>
      <c r="AQ233">
        <v>17212</v>
      </c>
      <c r="AR233">
        <v>17959</v>
      </c>
      <c r="AS233">
        <v>18730</v>
      </c>
      <c r="AT233">
        <v>19576</v>
      </c>
      <c r="AU233">
        <v>20597</v>
      </c>
      <c r="AV233">
        <v>21727</v>
      </c>
      <c r="AW233">
        <v>22856</v>
      </c>
      <c r="AX233">
        <v>23988</v>
      </c>
      <c r="AY233">
        <v>25123</v>
      </c>
      <c r="AZ233">
        <v>26270</v>
      </c>
      <c r="BA233">
        <v>27427</v>
      </c>
      <c r="BB233">
        <v>28588</v>
      </c>
      <c r="BC233">
        <v>29739</v>
      </c>
      <c r="BD233">
        <v>30846</v>
      </c>
      <c r="BE233">
        <v>32127</v>
      </c>
      <c r="BF233">
        <v>33653</v>
      </c>
      <c r="BG233">
        <v>35050</v>
      </c>
      <c r="BH233">
        <v>36605</v>
      </c>
      <c r="BI233">
        <v>38315</v>
      </c>
      <c r="BJ233">
        <v>39913</v>
      </c>
      <c r="BK233">
        <v>41559</v>
      </c>
      <c r="BL233">
        <v>43166</v>
      </c>
      <c r="BM233">
        <v>44386</v>
      </c>
      <c r="BN233">
        <v>45243</v>
      </c>
      <c r="BO233">
        <v>45847</v>
      </c>
      <c r="BP233">
        <v>46198</v>
      </c>
      <c r="BQ233">
        <v>46535</v>
      </c>
      <c r="BR233">
        <v>46855</v>
      </c>
    </row>
    <row r="234" spans="1:70" x14ac:dyDescent="0.35">
      <c r="A234" t="s">
        <v>732</v>
      </c>
      <c r="B234" t="s">
        <v>733</v>
      </c>
      <c r="C234" t="s">
        <v>295</v>
      </c>
      <c r="D234" t="s">
        <v>296</v>
      </c>
      <c r="E234">
        <v>3049838</v>
      </c>
      <c r="F234">
        <v>3111947</v>
      </c>
      <c r="G234">
        <v>3175598</v>
      </c>
      <c r="H234">
        <v>3240905</v>
      </c>
      <c r="I234">
        <v>3307479</v>
      </c>
      <c r="J234">
        <v>3374220</v>
      </c>
      <c r="K234">
        <v>3440903</v>
      </c>
      <c r="L234">
        <v>3508512</v>
      </c>
      <c r="M234">
        <v>3578231</v>
      </c>
      <c r="N234">
        <v>3651113</v>
      </c>
      <c r="O234">
        <v>3727828</v>
      </c>
      <c r="P234">
        <v>3807316</v>
      </c>
      <c r="Q234">
        <v>3893252</v>
      </c>
      <c r="R234">
        <v>3985909</v>
      </c>
      <c r="S234">
        <v>4078356</v>
      </c>
      <c r="T234">
        <v>4167234</v>
      </c>
      <c r="U234">
        <v>4251297</v>
      </c>
      <c r="V234">
        <v>4331667</v>
      </c>
      <c r="W234">
        <v>4411366</v>
      </c>
      <c r="X234">
        <v>4505384</v>
      </c>
      <c r="Y234">
        <v>4515453</v>
      </c>
      <c r="Z234">
        <v>4520959</v>
      </c>
      <c r="AA234">
        <v>4738483</v>
      </c>
      <c r="AB234">
        <v>4979130</v>
      </c>
      <c r="AC234">
        <v>5045145</v>
      </c>
      <c r="AD234">
        <v>5096269</v>
      </c>
      <c r="AE234">
        <v>5251069</v>
      </c>
      <c r="AF234">
        <v>5438309</v>
      </c>
      <c r="AG234">
        <v>5625602</v>
      </c>
      <c r="AH234">
        <v>5819586</v>
      </c>
      <c r="AI234">
        <v>5982833</v>
      </c>
      <c r="AJ234">
        <v>6205676</v>
      </c>
      <c r="AK234">
        <v>6474656</v>
      </c>
      <c r="AL234">
        <v>6629146</v>
      </c>
      <c r="AM234">
        <v>6783450</v>
      </c>
      <c r="AN234">
        <v>7089064</v>
      </c>
      <c r="AO234">
        <v>7410108</v>
      </c>
      <c r="AP234">
        <v>7670366</v>
      </c>
      <c r="AQ234">
        <v>7938840</v>
      </c>
      <c r="AR234">
        <v>8222705</v>
      </c>
      <c r="AS234">
        <v>8512093</v>
      </c>
      <c r="AT234">
        <v>8804124</v>
      </c>
      <c r="AU234">
        <v>9116192</v>
      </c>
      <c r="AV234">
        <v>9487833</v>
      </c>
      <c r="AW234">
        <v>9920036</v>
      </c>
      <c r="AX234">
        <v>10328092</v>
      </c>
      <c r="AY234">
        <v>10706424</v>
      </c>
      <c r="AZ234">
        <v>11081660</v>
      </c>
      <c r="BA234">
        <v>11476296</v>
      </c>
      <c r="BB234">
        <v>11893754</v>
      </c>
      <c r="BC234">
        <v>12312575</v>
      </c>
      <c r="BD234">
        <v>12754997</v>
      </c>
      <c r="BE234">
        <v>13210998</v>
      </c>
      <c r="BF234">
        <v>13691079</v>
      </c>
      <c r="BG234">
        <v>14188678</v>
      </c>
      <c r="BH234">
        <v>14647621</v>
      </c>
      <c r="BI234">
        <v>15114655</v>
      </c>
      <c r="BJ234">
        <v>15622759</v>
      </c>
      <c r="BK234">
        <v>16156531</v>
      </c>
      <c r="BL234">
        <v>16685223</v>
      </c>
      <c r="BM234">
        <v>17224679</v>
      </c>
      <c r="BN234">
        <v>17828273</v>
      </c>
      <c r="BO234">
        <v>18455316</v>
      </c>
      <c r="BP234">
        <v>19319064</v>
      </c>
      <c r="BQ234">
        <v>20299123</v>
      </c>
      <c r="BR234">
        <v>21003705</v>
      </c>
    </row>
    <row r="235" spans="1:70" x14ac:dyDescent="0.35">
      <c r="A235" t="s">
        <v>734</v>
      </c>
      <c r="B235" t="s">
        <v>735</v>
      </c>
      <c r="C235" t="s">
        <v>295</v>
      </c>
      <c r="D235" t="s">
        <v>296</v>
      </c>
      <c r="E235">
        <v>884252517</v>
      </c>
      <c r="F235">
        <v>883558197</v>
      </c>
      <c r="G235">
        <v>895224912</v>
      </c>
      <c r="H235">
        <v>918259043</v>
      </c>
      <c r="I235">
        <v>940909509</v>
      </c>
      <c r="J235">
        <v>964163938</v>
      </c>
      <c r="K235">
        <v>990719244</v>
      </c>
      <c r="L235">
        <v>1016529846</v>
      </c>
      <c r="M235">
        <v>1043349620</v>
      </c>
      <c r="N235">
        <v>1071912603</v>
      </c>
      <c r="O235">
        <v>1101240545</v>
      </c>
      <c r="P235">
        <v>1131095541</v>
      </c>
      <c r="Q235">
        <v>1159220113</v>
      </c>
      <c r="R235">
        <v>1186384756</v>
      </c>
      <c r="S235">
        <v>1212035036</v>
      </c>
      <c r="T235">
        <v>1235222835</v>
      </c>
      <c r="U235">
        <v>1256698596</v>
      </c>
      <c r="V235">
        <v>1276830008</v>
      </c>
      <c r="W235">
        <v>1297059239</v>
      </c>
      <c r="X235">
        <v>1317673957</v>
      </c>
      <c r="Y235">
        <v>1338009609</v>
      </c>
      <c r="Z235">
        <v>1358992800</v>
      </c>
      <c r="AA235">
        <v>1382326011</v>
      </c>
      <c r="AB235">
        <v>1405938773</v>
      </c>
      <c r="AC235">
        <v>1428557744</v>
      </c>
      <c r="AD235">
        <v>1451742188</v>
      </c>
      <c r="AE235">
        <v>1476236205</v>
      </c>
      <c r="AF235">
        <v>1502192372</v>
      </c>
      <c r="AG235">
        <v>1528559240</v>
      </c>
      <c r="AH235">
        <v>1554321275</v>
      </c>
      <c r="AI235">
        <v>1579651917</v>
      </c>
      <c r="AJ235">
        <v>1604095270</v>
      </c>
      <c r="AK235">
        <v>1627147885</v>
      </c>
      <c r="AL235">
        <v>1649557492</v>
      </c>
      <c r="AM235">
        <v>1671877438</v>
      </c>
      <c r="AN235">
        <v>1693960469</v>
      </c>
      <c r="AO235">
        <v>1715764488</v>
      </c>
      <c r="AP235">
        <v>1737429846</v>
      </c>
      <c r="AQ235">
        <v>1758263635</v>
      </c>
      <c r="AR235">
        <v>1777464322</v>
      </c>
      <c r="AS235">
        <v>1795374943</v>
      </c>
      <c r="AT235">
        <v>1812475067</v>
      </c>
      <c r="AU235">
        <v>1828744767</v>
      </c>
      <c r="AV235">
        <v>1844349334</v>
      </c>
      <c r="AW235">
        <v>1859450104</v>
      </c>
      <c r="AX235">
        <v>1874487158</v>
      </c>
      <c r="AY235">
        <v>1889507244</v>
      </c>
      <c r="AZ235">
        <v>1904568042</v>
      </c>
      <c r="BA235">
        <v>1919570287</v>
      </c>
      <c r="BB235">
        <v>1934167856</v>
      </c>
      <c r="BC235">
        <v>1948643347</v>
      </c>
      <c r="BD235">
        <v>1964036970</v>
      </c>
      <c r="BE235">
        <v>1981382735</v>
      </c>
      <c r="BF235">
        <v>1998548872</v>
      </c>
      <c r="BG235">
        <v>2014960984</v>
      </c>
      <c r="BH235">
        <v>2030504270</v>
      </c>
      <c r="BI235">
        <v>2045816761</v>
      </c>
      <c r="BJ235">
        <v>2061449949</v>
      </c>
      <c r="BK235">
        <v>2074796982</v>
      </c>
      <c r="BL235">
        <v>2086281644</v>
      </c>
      <c r="BM235">
        <v>2095759417</v>
      </c>
      <c r="BN235">
        <v>2102350702</v>
      </c>
      <c r="BO235">
        <v>2107261123</v>
      </c>
      <c r="BP235">
        <v>2111139152</v>
      </c>
      <c r="BQ235">
        <v>2114653077</v>
      </c>
      <c r="BR235">
        <v>2117367063</v>
      </c>
    </row>
    <row r="236" spans="1:70" x14ac:dyDescent="0.35">
      <c r="A236" t="s">
        <v>736</v>
      </c>
      <c r="B236" t="s">
        <v>737</v>
      </c>
      <c r="C236" t="s">
        <v>295</v>
      </c>
      <c r="D236" t="s">
        <v>296</v>
      </c>
      <c r="E236">
        <v>308759361</v>
      </c>
      <c r="F236">
        <v>313483586</v>
      </c>
      <c r="G236">
        <v>318186127</v>
      </c>
      <c r="H236">
        <v>322961499</v>
      </c>
      <c r="I236">
        <v>327774760</v>
      </c>
      <c r="J236">
        <v>332375189</v>
      </c>
      <c r="K236">
        <v>336304737</v>
      </c>
      <c r="L236">
        <v>340454289</v>
      </c>
      <c r="M236">
        <v>344535295</v>
      </c>
      <c r="N236">
        <v>348509849</v>
      </c>
      <c r="O236">
        <v>352139347</v>
      </c>
      <c r="P236">
        <v>355796328</v>
      </c>
      <c r="Q236">
        <v>359698417</v>
      </c>
      <c r="R236">
        <v>363554198</v>
      </c>
      <c r="S236">
        <v>367431547</v>
      </c>
      <c r="T236">
        <v>371336064</v>
      </c>
      <c r="U236">
        <v>375469327</v>
      </c>
      <c r="V236">
        <v>379635878</v>
      </c>
      <c r="W236">
        <v>383687824</v>
      </c>
      <c r="X236">
        <v>387559928</v>
      </c>
      <c r="Y236">
        <v>391562181</v>
      </c>
      <c r="Z236">
        <v>395441598</v>
      </c>
      <c r="AA236">
        <v>399353523</v>
      </c>
      <c r="AB236">
        <v>403378262</v>
      </c>
      <c r="AC236">
        <v>407686015</v>
      </c>
      <c r="AD236">
        <v>411980043</v>
      </c>
      <c r="AE236">
        <v>416211558</v>
      </c>
      <c r="AF236">
        <v>420430601</v>
      </c>
      <c r="AG236">
        <v>424466137</v>
      </c>
      <c r="AH236">
        <v>428221424</v>
      </c>
      <c r="AI236">
        <v>430990546</v>
      </c>
      <c r="AJ236">
        <v>433132067</v>
      </c>
      <c r="AK236">
        <v>434844449</v>
      </c>
      <c r="AL236">
        <v>436152186</v>
      </c>
      <c r="AM236">
        <v>437106291</v>
      </c>
      <c r="AN236">
        <v>437796116</v>
      </c>
      <c r="AO236">
        <v>438325526</v>
      </c>
      <c r="AP236">
        <v>438638046</v>
      </c>
      <c r="AQ236">
        <v>438735255</v>
      </c>
      <c r="AR236">
        <v>438650260</v>
      </c>
      <c r="AS236">
        <v>438423541</v>
      </c>
      <c r="AT236">
        <v>438100368</v>
      </c>
      <c r="AU236">
        <v>437806951</v>
      </c>
      <c r="AV236">
        <v>437905932</v>
      </c>
      <c r="AW236">
        <v>438136036</v>
      </c>
      <c r="AX236">
        <v>438333196</v>
      </c>
      <c r="AY236">
        <v>438714358</v>
      </c>
      <c r="AZ236">
        <v>438680283</v>
      </c>
      <c r="BA236">
        <v>439732746</v>
      </c>
      <c r="BB236">
        <v>441304973</v>
      </c>
      <c r="BC236">
        <v>442936599</v>
      </c>
      <c r="BD236">
        <v>444846366</v>
      </c>
      <c r="BE236">
        <v>446941101</v>
      </c>
      <c r="BF236">
        <v>449128604</v>
      </c>
      <c r="BG236">
        <v>451432428</v>
      </c>
      <c r="BH236">
        <v>453662073</v>
      </c>
      <c r="BI236">
        <v>455913002</v>
      </c>
      <c r="BJ236">
        <v>458010325</v>
      </c>
      <c r="BK236">
        <v>459946883</v>
      </c>
      <c r="BL236">
        <v>461933206</v>
      </c>
      <c r="BM236">
        <v>462842288</v>
      </c>
      <c r="BN236">
        <v>463104389</v>
      </c>
      <c r="BO236">
        <v>460942269</v>
      </c>
      <c r="BP236">
        <v>458599775</v>
      </c>
      <c r="BQ236">
        <v>459982788</v>
      </c>
      <c r="BR236">
        <v>462559433</v>
      </c>
    </row>
    <row r="237" spans="1:70" x14ac:dyDescent="0.35">
      <c r="A237" t="s">
        <v>738</v>
      </c>
      <c r="B237" t="s">
        <v>739</v>
      </c>
      <c r="C237" t="s">
        <v>295</v>
      </c>
      <c r="D237" t="s">
        <v>296</v>
      </c>
      <c r="E237">
        <v>1673110</v>
      </c>
      <c r="F237">
        <v>1702717</v>
      </c>
      <c r="G237">
        <v>1732959</v>
      </c>
      <c r="H237">
        <v>1765072</v>
      </c>
      <c r="I237">
        <v>1799410</v>
      </c>
      <c r="J237">
        <v>1835588</v>
      </c>
      <c r="K237">
        <v>1873489</v>
      </c>
      <c r="L237">
        <v>1912764</v>
      </c>
      <c r="M237">
        <v>1953523</v>
      </c>
      <c r="N237">
        <v>2043416</v>
      </c>
      <c r="O237">
        <v>2149478</v>
      </c>
      <c r="P237">
        <v>2219826</v>
      </c>
      <c r="Q237">
        <v>2283863</v>
      </c>
      <c r="R237">
        <v>2344510</v>
      </c>
      <c r="S237">
        <v>2404292</v>
      </c>
      <c r="T237">
        <v>2463796</v>
      </c>
      <c r="U237">
        <v>2523488</v>
      </c>
      <c r="V237">
        <v>2583984</v>
      </c>
      <c r="W237">
        <v>2646501</v>
      </c>
      <c r="X237">
        <v>2714349</v>
      </c>
      <c r="Y237">
        <v>2791408</v>
      </c>
      <c r="Z237">
        <v>2879440</v>
      </c>
      <c r="AA237">
        <v>2961652</v>
      </c>
      <c r="AB237">
        <v>3033077</v>
      </c>
      <c r="AC237">
        <v>3105743</v>
      </c>
      <c r="AD237">
        <v>3194539</v>
      </c>
      <c r="AE237">
        <v>3296340</v>
      </c>
      <c r="AF237">
        <v>3397614</v>
      </c>
      <c r="AG237">
        <v>3501545</v>
      </c>
      <c r="AH237">
        <v>3606918</v>
      </c>
      <c r="AI237">
        <v>3714021</v>
      </c>
      <c r="AJ237">
        <v>3822636</v>
      </c>
      <c r="AK237">
        <v>3932581</v>
      </c>
      <c r="AL237">
        <v>3887974</v>
      </c>
      <c r="AM237">
        <v>3904183</v>
      </c>
      <c r="AN237">
        <v>4110450</v>
      </c>
      <c r="AO237">
        <v>4291136</v>
      </c>
      <c r="AP237">
        <v>4438794</v>
      </c>
      <c r="AQ237">
        <v>4551635</v>
      </c>
      <c r="AR237">
        <v>4665754</v>
      </c>
      <c r="AS237">
        <v>4783722</v>
      </c>
      <c r="AT237">
        <v>4904144</v>
      </c>
      <c r="AU237">
        <v>5027130</v>
      </c>
      <c r="AV237">
        <v>5154112</v>
      </c>
      <c r="AW237">
        <v>5281320</v>
      </c>
      <c r="AX237">
        <v>5413154</v>
      </c>
      <c r="AY237">
        <v>5569664</v>
      </c>
      <c r="AZ237">
        <v>5748443</v>
      </c>
      <c r="BA237">
        <v>5936138</v>
      </c>
      <c r="BB237">
        <v>6130946</v>
      </c>
      <c r="BC237">
        <v>6325788</v>
      </c>
      <c r="BD237">
        <v>6500582</v>
      </c>
      <c r="BE237">
        <v>6653718</v>
      </c>
      <c r="BF237">
        <v>6798848</v>
      </c>
      <c r="BG237">
        <v>6937644</v>
      </c>
      <c r="BH237">
        <v>7071502</v>
      </c>
      <c r="BI237">
        <v>7200884</v>
      </c>
      <c r="BJ237">
        <v>7324386</v>
      </c>
      <c r="BK237">
        <v>7458206</v>
      </c>
      <c r="BL237">
        <v>7619925</v>
      </c>
      <c r="BM237">
        <v>7788054</v>
      </c>
      <c r="BN237">
        <v>7936176</v>
      </c>
      <c r="BO237">
        <v>8068616</v>
      </c>
      <c r="BP237">
        <v>8223850</v>
      </c>
      <c r="BQ237">
        <v>8406558</v>
      </c>
      <c r="BR237">
        <v>8591626</v>
      </c>
    </row>
    <row r="238" spans="1:70" x14ac:dyDescent="0.35">
      <c r="A238" t="s">
        <v>740</v>
      </c>
      <c r="B238" t="s">
        <v>741</v>
      </c>
      <c r="C238" t="s">
        <v>295</v>
      </c>
      <c r="D238" t="s">
        <v>296</v>
      </c>
      <c r="E238">
        <v>26851747</v>
      </c>
      <c r="F238">
        <v>27650334</v>
      </c>
      <c r="G238">
        <v>28481040</v>
      </c>
      <c r="H238">
        <v>29342322</v>
      </c>
      <c r="I238">
        <v>30232141</v>
      </c>
      <c r="J238">
        <v>31149337</v>
      </c>
      <c r="K238">
        <v>32086071</v>
      </c>
      <c r="L238">
        <v>33037801</v>
      </c>
      <c r="M238">
        <v>34002560</v>
      </c>
      <c r="N238">
        <v>34973782</v>
      </c>
      <c r="O238">
        <v>35954408</v>
      </c>
      <c r="P238">
        <v>36937387</v>
      </c>
      <c r="Q238">
        <v>37933929</v>
      </c>
      <c r="R238">
        <v>38947787</v>
      </c>
      <c r="S238">
        <v>39952891</v>
      </c>
      <c r="T238">
        <v>40940005</v>
      </c>
      <c r="U238">
        <v>41896504</v>
      </c>
      <c r="V238">
        <v>42843974</v>
      </c>
      <c r="W238">
        <v>43788976</v>
      </c>
      <c r="X238">
        <v>44718434</v>
      </c>
      <c r="Y238">
        <v>45650022</v>
      </c>
      <c r="Z238">
        <v>46575855</v>
      </c>
      <c r="AA238">
        <v>47494577</v>
      </c>
      <c r="AB238">
        <v>48423309</v>
      </c>
      <c r="AC238">
        <v>49351708</v>
      </c>
      <c r="AD238">
        <v>50270753</v>
      </c>
      <c r="AE238">
        <v>51177834</v>
      </c>
      <c r="AF238">
        <v>52074105</v>
      </c>
      <c r="AG238">
        <v>52969595</v>
      </c>
      <c r="AH238">
        <v>53848956</v>
      </c>
      <c r="AI238">
        <v>54738329</v>
      </c>
      <c r="AJ238">
        <v>55637434</v>
      </c>
      <c r="AK238">
        <v>56528834</v>
      </c>
      <c r="AL238">
        <v>57408198</v>
      </c>
      <c r="AM238">
        <v>58260854</v>
      </c>
      <c r="AN238">
        <v>59098232</v>
      </c>
      <c r="AO238">
        <v>59920064</v>
      </c>
      <c r="AP238">
        <v>60724584</v>
      </c>
      <c r="AQ238">
        <v>61522630</v>
      </c>
      <c r="AR238">
        <v>62299043</v>
      </c>
      <c r="AS238">
        <v>63007815</v>
      </c>
      <c r="AT238">
        <v>63651141</v>
      </c>
      <c r="AU238">
        <v>64266437</v>
      </c>
      <c r="AV238">
        <v>64868166</v>
      </c>
      <c r="AW238">
        <v>65452047</v>
      </c>
      <c r="AX238">
        <v>66017420</v>
      </c>
      <c r="AY238">
        <v>66567687</v>
      </c>
      <c r="AZ238">
        <v>67102394</v>
      </c>
      <c r="BA238">
        <v>67619830</v>
      </c>
      <c r="BB238">
        <v>68121080</v>
      </c>
      <c r="BC238">
        <v>68579447</v>
      </c>
      <c r="BD238">
        <v>69007208</v>
      </c>
      <c r="BE238">
        <v>69436098</v>
      </c>
      <c r="BF238">
        <v>69845114</v>
      </c>
      <c r="BG238">
        <v>70216367</v>
      </c>
      <c r="BH238">
        <v>70540795</v>
      </c>
      <c r="BI238">
        <v>70859841</v>
      </c>
      <c r="BJ238">
        <v>71160187</v>
      </c>
      <c r="BK238">
        <v>71376079</v>
      </c>
      <c r="BL238">
        <v>71522271</v>
      </c>
      <c r="BM238">
        <v>71641484</v>
      </c>
      <c r="BN238">
        <v>71727332</v>
      </c>
      <c r="BO238">
        <v>71735329</v>
      </c>
      <c r="BP238">
        <v>71702435</v>
      </c>
      <c r="BQ238">
        <v>71668011</v>
      </c>
      <c r="BR238">
        <v>71619863</v>
      </c>
    </row>
    <row r="239" spans="1:70" x14ac:dyDescent="0.35">
      <c r="A239" t="s">
        <v>742</v>
      </c>
      <c r="B239" t="s">
        <v>743</v>
      </c>
      <c r="C239" t="s">
        <v>295</v>
      </c>
      <c r="D239" t="s">
        <v>296</v>
      </c>
      <c r="E239">
        <v>2112131</v>
      </c>
      <c r="F239">
        <v>2181805</v>
      </c>
      <c r="G239">
        <v>2255026</v>
      </c>
      <c r="H239">
        <v>2331736</v>
      </c>
      <c r="I239">
        <v>2411260</v>
      </c>
      <c r="J239">
        <v>2492998</v>
      </c>
      <c r="K239">
        <v>2577184</v>
      </c>
      <c r="L239">
        <v>2664130</v>
      </c>
      <c r="M239">
        <v>2753848</v>
      </c>
      <c r="N239">
        <v>2845273</v>
      </c>
      <c r="O239">
        <v>2936779</v>
      </c>
      <c r="P239">
        <v>3028837</v>
      </c>
      <c r="Q239">
        <v>3123691</v>
      </c>
      <c r="R239">
        <v>3222290</v>
      </c>
      <c r="S239">
        <v>3324499</v>
      </c>
      <c r="T239">
        <v>3430425</v>
      </c>
      <c r="U239">
        <v>3540076</v>
      </c>
      <c r="V239">
        <v>3653265</v>
      </c>
      <c r="W239">
        <v>3768508</v>
      </c>
      <c r="X239">
        <v>3882691</v>
      </c>
      <c r="Y239">
        <v>3995256</v>
      </c>
      <c r="Z239">
        <v>4109022</v>
      </c>
      <c r="AA239">
        <v>4227171</v>
      </c>
      <c r="AB239">
        <v>4350874</v>
      </c>
      <c r="AC239">
        <v>4480026</v>
      </c>
      <c r="AD239">
        <v>4619003</v>
      </c>
      <c r="AE239">
        <v>4772139</v>
      </c>
      <c r="AF239">
        <v>4939059</v>
      </c>
      <c r="AG239">
        <v>5114989</v>
      </c>
      <c r="AH239">
        <v>5267249</v>
      </c>
      <c r="AI239">
        <v>5398768</v>
      </c>
      <c r="AJ239">
        <v>5541205</v>
      </c>
      <c r="AK239">
        <v>5649400</v>
      </c>
      <c r="AL239">
        <v>5724993</v>
      </c>
      <c r="AM239">
        <v>5825368</v>
      </c>
      <c r="AN239">
        <v>5948584</v>
      </c>
      <c r="AO239">
        <v>6066523</v>
      </c>
      <c r="AP239">
        <v>6139829</v>
      </c>
      <c r="AQ239">
        <v>6176397</v>
      </c>
      <c r="AR239">
        <v>6208370</v>
      </c>
      <c r="AS239">
        <v>6284735</v>
      </c>
      <c r="AT239">
        <v>6407377</v>
      </c>
      <c r="AU239">
        <v>6531669</v>
      </c>
      <c r="AV239">
        <v>6658575</v>
      </c>
      <c r="AW239">
        <v>6790547</v>
      </c>
      <c r="AX239">
        <v>6924720</v>
      </c>
      <c r="AY239">
        <v>7057566</v>
      </c>
      <c r="AZ239">
        <v>7194477</v>
      </c>
      <c r="BA239">
        <v>7338403</v>
      </c>
      <c r="BB239">
        <v>7490230</v>
      </c>
      <c r="BC239">
        <v>7652141</v>
      </c>
      <c r="BD239">
        <v>7824785</v>
      </c>
      <c r="BE239">
        <v>8014084</v>
      </c>
      <c r="BF239">
        <v>8216724</v>
      </c>
      <c r="BG239">
        <v>8425552</v>
      </c>
      <c r="BH239">
        <v>8643840</v>
      </c>
      <c r="BI239">
        <v>8865631</v>
      </c>
      <c r="BJ239">
        <v>9085946</v>
      </c>
      <c r="BK239">
        <v>9307333</v>
      </c>
      <c r="BL239">
        <v>9529966</v>
      </c>
      <c r="BM239">
        <v>9749310</v>
      </c>
      <c r="BN239">
        <v>9966908</v>
      </c>
      <c r="BO239">
        <v>10182222</v>
      </c>
      <c r="BP239">
        <v>10389799</v>
      </c>
      <c r="BQ239">
        <v>10590927</v>
      </c>
      <c r="BR239">
        <v>10786734</v>
      </c>
    </row>
    <row r="240" spans="1:70" x14ac:dyDescent="0.35">
      <c r="A240" t="s">
        <v>744</v>
      </c>
      <c r="B240" t="s">
        <v>745</v>
      </c>
      <c r="C240" t="s">
        <v>295</v>
      </c>
      <c r="D240" t="s">
        <v>296</v>
      </c>
      <c r="E240">
        <v>1643457</v>
      </c>
      <c r="F240">
        <v>1695400</v>
      </c>
      <c r="G240">
        <v>1749214</v>
      </c>
      <c r="H240">
        <v>1804272</v>
      </c>
      <c r="I240">
        <v>1859997</v>
      </c>
      <c r="J240">
        <v>1915916</v>
      </c>
      <c r="K240">
        <v>1971737</v>
      </c>
      <c r="L240">
        <v>2027403</v>
      </c>
      <c r="M240">
        <v>2083069</v>
      </c>
      <c r="N240">
        <v>2139024</v>
      </c>
      <c r="O240">
        <v>2195616</v>
      </c>
      <c r="P240">
        <v>2253119</v>
      </c>
      <c r="Q240">
        <v>2311430</v>
      </c>
      <c r="R240">
        <v>2370919</v>
      </c>
      <c r="S240">
        <v>2432028</v>
      </c>
      <c r="T240">
        <v>2494570</v>
      </c>
      <c r="U240">
        <v>2558521</v>
      </c>
      <c r="V240">
        <v>2623948</v>
      </c>
      <c r="W240">
        <v>2691088</v>
      </c>
      <c r="X240">
        <v>2760358</v>
      </c>
      <c r="Y240">
        <v>2832203</v>
      </c>
      <c r="Z240">
        <v>2907187</v>
      </c>
      <c r="AA240">
        <v>2985557</v>
      </c>
      <c r="AB240">
        <v>3067534</v>
      </c>
      <c r="AC240">
        <v>3154079</v>
      </c>
      <c r="AD240">
        <v>3247534</v>
      </c>
      <c r="AE240">
        <v>3347809</v>
      </c>
      <c r="AF240">
        <v>3452731</v>
      </c>
      <c r="AG240">
        <v>3559363</v>
      </c>
      <c r="AH240">
        <v>3662459</v>
      </c>
      <c r="AI240">
        <v>3760562</v>
      </c>
      <c r="AJ240">
        <v>3855894</v>
      </c>
      <c r="AK240">
        <v>3944689</v>
      </c>
      <c r="AL240">
        <v>4032407</v>
      </c>
      <c r="AM240">
        <v>4116662</v>
      </c>
      <c r="AN240">
        <v>4191203</v>
      </c>
      <c r="AO240">
        <v>4263819</v>
      </c>
      <c r="AP240">
        <v>4336730</v>
      </c>
      <c r="AQ240">
        <v>4410507</v>
      </c>
      <c r="AR240">
        <v>4492170</v>
      </c>
      <c r="AS240">
        <v>4582677</v>
      </c>
      <c r="AT240">
        <v>4675409</v>
      </c>
      <c r="AU240">
        <v>4769465</v>
      </c>
      <c r="AV240">
        <v>4863865</v>
      </c>
      <c r="AW240">
        <v>4958093</v>
      </c>
      <c r="AX240">
        <v>5052257</v>
      </c>
      <c r="AY240">
        <v>5147105</v>
      </c>
      <c r="AZ240">
        <v>5244046</v>
      </c>
      <c r="BA240">
        <v>5345029</v>
      </c>
      <c r="BB240">
        <v>5451592</v>
      </c>
      <c r="BC240">
        <v>5564356</v>
      </c>
      <c r="BD240">
        <v>5683417</v>
      </c>
      <c r="BE240">
        <v>5808546</v>
      </c>
      <c r="BF240">
        <v>5939341</v>
      </c>
      <c r="BG240">
        <v>6075283</v>
      </c>
      <c r="BH240">
        <v>6215770</v>
      </c>
      <c r="BI240">
        <v>6360041</v>
      </c>
      <c r="BJ240">
        <v>6507061</v>
      </c>
      <c r="BK240">
        <v>6655524</v>
      </c>
      <c r="BL240">
        <v>6803944</v>
      </c>
      <c r="BM240">
        <v>6949912</v>
      </c>
      <c r="BN240">
        <v>7092043</v>
      </c>
      <c r="BO240">
        <v>7230193</v>
      </c>
      <c r="BP240">
        <v>7364438</v>
      </c>
      <c r="BQ240">
        <v>7494498</v>
      </c>
      <c r="BR240">
        <v>7618847</v>
      </c>
    </row>
    <row r="241" spans="1:70" x14ac:dyDescent="0.35">
      <c r="A241" t="s">
        <v>746</v>
      </c>
      <c r="B241" t="s">
        <v>747</v>
      </c>
      <c r="C241" t="s">
        <v>295</v>
      </c>
      <c r="D241" t="s">
        <v>296</v>
      </c>
      <c r="E241">
        <v>208671107</v>
      </c>
      <c r="F241">
        <v>214582669</v>
      </c>
      <c r="G241">
        <v>220668336</v>
      </c>
      <c r="H241">
        <v>226899749</v>
      </c>
      <c r="I241">
        <v>233255631</v>
      </c>
      <c r="J241">
        <v>239708690</v>
      </c>
      <c r="K241">
        <v>246239963</v>
      </c>
      <c r="L241">
        <v>252838271</v>
      </c>
      <c r="M241">
        <v>259494716</v>
      </c>
      <c r="N241">
        <v>266211242</v>
      </c>
      <c r="O241">
        <v>272962813</v>
      </c>
      <c r="P241">
        <v>279784152</v>
      </c>
      <c r="Q241">
        <v>286726529</v>
      </c>
      <c r="R241">
        <v>293783764</v>
      </c>
      <c r="S241">
        <v>300937685</v>
      </c>
      <c r="T241">
        <v>308171037</v>
      </c>
      <c r="U241">
        <v>315490913</v>
      </c>
      <c r="V241">
        <v>322954210</v>
      </c>
      <c r="W241">
        <v>330579364</v>
      </c>
      <c r="X241">
        <v>338302777</v>
      </c>
      <c r="Y241">
        <v>346105657</v>
      </c>
      <c r="Z241">
        <v>353922621</v>
      </c>
      <c r="AA241">
        <v>361763155</v>
      </c>
      <c r="AB241">
        <v>369728268</v>
      </c>
      <c r="AC241">
        <v>377777260</v>
      </c>
      <c r="AD241">
        <v>385830246</v>
      </c>
      <c r="AE241">
        <v>393862440</v>
      </c>
      <c r="AF241">
        <v>401890697</v>
      </c>
      <c r="AG241">
        <v>409945610</v>
      </c>
      <c r="AH241">
        <v>418004229</v>
      </c>
      <c r="AI241">
        <v>426091608</v>
      </c>
      <c r="AJ241">
        <v>434138780</v>
      </c>
      <c r="AK241">
        <v>442150885</v>
      </c>
      <c r="AL241">
        <v>450131381</v>
      </c>
      <c r="AM241">
        <v>458042874</v>
      </c>
      <c r="AN241">
        <v>465939463</v>
      </c>
      <c r="AO241">
        <v>473775482</v>
      </c>
      <c r="AP241">
        <v>481555614</v>
      </c>
      <c r="AQ241">
        <v>489346270</v>
      </c>
      <c r="AR241">
        <v>497065139</v>
      </c>
      <c r="AS241">
        <v>504556065</v>
      </c>
      <c r="AT241">
        <v>511809816</v>
      </c>
      <c r="AU241">
        <v>518881965</v>
      </c>
      <c r="AV241">
        <v>525787222</v>
      </c>
      <c r="AW241">
        <v>532556401</v>
      </c>
      <c r="AX241">
        <v>539188798</v>
      </c>
      <c r="AY241">
        <v>545805913</v>
      </c>
      <c r="AZ241">
        <v>552399650</v>
      </c>
      <c r="BA241">
        <v>558968822</v>
      </c>
      <c r="BB241">
        <v>565454932</v>
      </c>
      <c r="BC241">
        <v>571822092</v>
      </c>
      <c r="BD241">
        <v>578171855</v>
      </c>
      <c r="BE241">
        <v>584524334</v>
      </c>
      <c r="BF241">
        <v>590809938</v>
      </c>
      <c r="BG241">
        <v>597023419</v>
      </c>
      <c r="BH241">
        <v>603091701</v>
      </c>
      <c r="BI241">
        <v>609017063</v>
      </c>
      <c r="BJ241">
        <v>614776664</v>
      </c>
      <c r="BK241">
        <v>620274430</v>
      </c>
      <c r="BL241">
        <v>625467307</v>
      </c>
      <c r="BM241">
        <v>630051021</v>
      </c>
      <c r="BN241">
        <v>633862610</v>
      </c>
      <c r="BO241">
        <v>637837815</v>
      </c>
      <c r="BP241">
        <v>642397939</v>
      </c>
      <c r="BQ241">
        <v>647003746</v>
      </c>
      <c r="BR241">
        <v>651467364</v>
      </c>
    </row>
    <row r="242" spans="1:70" x14ac:dyDescent="0.35">
      <c r="A242" t="s">
        <v>748</v>
      </c>
      <c r="B242" t="s">
        <v>749</v>
      </c>
      <c r="C242" t="s">
        <v>295</v>
      </c>
      <c r="D242" t="s">
        <v>296</v>
      </c>
      <c r="E242">
        <v>468118</v>
      </c>
      <c r="F242">
        <v>475291</v>
      </c>
      <c r="G242">
        <v>482774</v>
      </c>
      <c r="H242">
        <v>490564</v>
      </c>
      <c r="I242">
        <v>498659</v>
      </c>
      <c r="J242">
        <v>507034</v>
      </c>
      <c r="K242">
        <v>515696</v>
      </c>
      <c r="L242">
        <v>524648</v>
      </c>
      <c r="M242">
        <v>533875</v>
      </c>
      <c r="N242">
        <v>543356</v>
      </c>
      <c r="O242">
        <v>553069</v>
      </c>
      <c r="P242">
        <v>562966</v>
      </c>
      <c r="Q242">
        <v>572962</v>
      </c>
      <c r="R242">
        <v>582855</v>
      </c>
      <c r="S242">
        <v>590827</v>
      </c>
      <c r="T242">
        <v>598158</v>
      </c>
      <c r="U242">
        <v>607620</v>
      </c>
      <c r="V242">
        <v>618315</v>
      </c>
      <c r="W242">
        <v>628775</v>
      </c>
      <c r="X242">
        <v>638719</v>
      </c>
      <c r="Y242">
        <v>649871</v>
      </c>
      <c r="Z242">
        <v>660493</v>
      </c>
      <c r="AA242">
        <v>669149</v>
      </c>
      <c r="AB242">
        <v>677707</v>
      </c>
      <c r="AC242">
        <v>686777</v>
      </c>
      <c r="AD242">
        <v>696665</v>
      </c>
      <c r="AE242">
        <v>707185</v>
      </c>
      <c r="AF242">
        <v>718476</v>
      </c>
      <c r="AG242">
        <v>730745</v>
      </c>
      <c r="AH242">
        <v>744856</v>
      </c>
      <c r="AI242">
        <v>760345</v>
      </c>
      <c r="AJ242">
        <v>778278</v>
      </c>
      <c r="AK242">
        <v>799318</v>
      </c>
      <c r="AL242">
        <v>821437</v>
      </c>
      <c r="AM242">
        <v>844493</v>
      </c>
      <c r="AN242">
        <v>868146</v>
      </c>
      <c r="AO242">
        <v>892282</v>
      </c>
      <c r="AP242">
        <v>917184</v>
      </c>
      <c r="AQ242">
        <v>942530</v>
      </c>
      <c r="AR242">
        <v>834697</v>
      </c>
      <c r="AS242">
        <v>745088</v>
      </c>
      <c r="AT242">
        <v>812249</v>
      </c>
      <c r="AU242">
        <v>879159</v>
      </c>
      <c r="AV242">
        <v>916878</v>
      </c>
      <c r="AW242">
        <v>929074</v>
      </c>
      <c r="AX242">
        <v>948311</v>
      </c>
      <c r="AY242">
        <v>976597</v>
      </c>
      <c r="AZ242">
        <v>1004889</v>
      </c>
      <c r="BA242">
        <v>1032429</v>
      </c>
      <c r="BB242">
        <v>1058782</v>
      </c>
      <c r="BC242">
        <v>1084679</v>
      </c>
      <c r="BD242">
        <v>1110207</v>
      </c>
      <c r="BE242">
        <v>1134885</v>
      </c>
      <c r="BF242">
        <v>1158695</v>
      </c>
      <c r="BG242">
        <v>1181903</v>
      </c>
      <c r="BH242">
        <v>1205131</v>
      </c>
      <c r="BI242">
        <v>1228312</v>
      </c>
      <c r="BJ242">
        <v>1251703</v>
      </c>
      <c r="BK242">
        <v>1275959</v>
      </c>
      <c r="BL242">
        <v>1300945</v>
      </c>
      <c r="BM242">
        <v>1326053</v>
      </c>
      <c r="BN242">
        <v>1350139</v>
      </c>
      <c r="BO242">
        <v>1369295</v>
      </c>
      <c r="BP242">
        <v>1384286</v>
      </c>
      <c r="BQ242">
        <v>1400638</v>
      </c>
      <c r="BR242">
        <v>1418517</v>
      </c>
    </row>
    <row r="243" spans="1:70" x14ac:dyDescent="0.35">
      <c r="A243" t="s">
        <v>750</v>
      </c>
      <c r="B243" t="s">
        <v>751</v>
      </c>
      <c r="C243" t="s">
        <v>295</v>
      </c>
      <c r="D243" t="s">
        <v>296</v>
      </c>
      <c r="E243">
        <v>151883053</v>
      </c>
      <c r="F243">
        <v>155796245</v>
      </c>
      <c r="G243">
        <v>159849264</v>
      </c>
      <c r="H243">
        <v>164082777</v>
      </c>
      <c r="I243">
        <v>168474397</v>
      </c>
      <c r="J243">
        <v>173012080</v>
      </c>
      <c r="K243">
        <v>177756891</v>
      </c>
      <c r="L243">
        <v>182734055</v>
      </c>
      <c r="M243">
        <v>187877692</v>
      </c>
      <c r="N243">
        <v>193184368</v>
      </c>
      <c r="O243">
        <v>198631041</v>
      </c>
      <c r="P243">
        <v>204099318</v>
      </c>
      <c r="Q243">
        <v>209697605</v>
      </c>
      <c r="R243">
        <v>215569107</v>
      </c>
      <c r="S243">
        <v>221668657</v>
      </c>
      <c r="T243">
        <v>228187384</v>
      </c>
      <c r="U243">
        <v>235058983</v>
      </c>
      <c r="V243">
        <v>242098387</v>
      </c>
      <c r="W243">
        <v>249392069</v>
      </c>
      <c r="X243">
        <v>256976193</v>
      </c>
      <c r="Y243">
        <v>264948525</v>
      </c>
      <c r="Z243">
        <v>273288518</v>
      </c>
      <c r="AA243">
        <v>281844787</v>
      </c>
      <c r="AB243">
        <v>290721921</v>
      </c>
      <c r="AC243">
        <v>300042126</v>
      </c>
      <c r="AD243">
        <v>309566339</v>
      </c>
      <c r="AE243">
        <v>319257806</v>
      </c>
      <c r="AF243">
        <v>329101677</v>
      </c>
      <c r="AG243">
        <v>339013669</v>
      </c>
      <c r="AH243">
        <v>349120795</v>
      </c>
      <c r="AI243">
        <v>359343952</v>
      </c>
      <c r="AJ243">
        <v>369541810</v>
      </c>
      <c r="AK243">
        <v>379832349</v>
      </c>
      <c r="AL243">
        <v>390108809</v>
      </c>
      <c r="AM243">
        <v>400109102</v>
      </c>
      <c r="AN243">
        <v>409972623</v>
      </c>
      <c r="AO243">
        <v>419780929</v>
      </c>
      <c r="AP243">
        <v>429628398</v>
      </c>
      <c r="AQ243">
        <v>439699399</v>
      </c>
      <c r="AR243">
        <v>449944988</v>
      </c>
      <c r="AS243">
        <v>460058369</v>
      </c>
      <c r="AT243">
        <v>470225878</v>
      </c>
      <c r="AU243">
        <v>480465143</v>
      </c>
      <c r="AV243">
        <v>491133637</v>
      </c>
      <c r="AW243">
        <v>502381957</v>
      </c>
      <c r="AX243">
        <v>513920381</v>
      </c>
      <c r="AY243">
        <v>525752130</v>
      </c>
      <c r="AZ243">
        <v>537343609</v>
      </c>
      <c r="BA243">
        <v>549090016</v>
      </c>
      <c r="BB243">
        <v>561349152</v>
      </c>
      <c r="BC243">
        <v>573609877</v>
      </c>
      <c r="BD243">
        <v>585763053</v>
      </c>
      <c r="BE243">
        <v>597586990</v>
      </c>
      <c r="BF243">
        <v>609074579</v>
      </c>
      <c r="BG243">
        <v>620390664</v>
      </c>
      <c r="BH243">
        <v>631082594</v>
      </c>
      <c r="BI243">
        <v>641470827</v>
      </c>
      <c r="BJ243">
        <v>652312809</v>
      </c>
      <c r="BK243">
        <v>663878345</v>
      </c>
      <c r="BL243">
        <v>675805691</v>
      </c>
      <c r="BM243">
        <v>687728758</v>
      </c>
      <c r="BN243">
        <v>699536053</v>
      </c>
      <c r="BO243">
        <v>711465045</v>
      </c>
      <c r="BP243">
        <v>723911670</v>
      </c>
      <c r="BQ243">
        <v>736401764</v>
      </c>
      <c r="BR243">
        <v>748489811</v>
      </c>
    </row>
    <row r="244" spans="1:70" x14ac:dyDescent="0.35">
      <c r="A244" t="s">
        <v>752</v>
      </c>
      <c r="B244" t="s">
        <v>753</v>
      </c>
      <c r="C244" t="s">
        <v>295</v>
      </c>
      <c r="D244" t="s">
        <v>296</v>
      </c>
      <c r="E244">
        <v>66170</v>
      </c>
      <c r="F244">
        <v>68037</v>
      </c>
      <c r="G244">
        <v>69940</v>
      </c>
      <c r="H244">
        <v>71885</v>
      </c>
      <c r="I244">
        <v>73879</v>
      </c>
      <c r="J244">
        <v>75924</v>
      </c>
      <c r="K244">
        <v>78002</v>
      </c>
      <c r="L244">
        <v>79814</v>
      </c>
      <c r="M244">
        <v>81353</v>
      </c>
      <c r="N244">
        <v>82885</v>
      </c>
      <c r="O244">
        <v>84401</v>
      </c>
      <c r="P244">
        <v>85896</v>
      </c>
      <c r="Q244">
        <v>87356</v>
      </c>
      <c r="R244">
        <v>88805</v>
      </c>
      <c r="S244">
        <v>90683</v>
      </c>
      <c r="T244">
        <v>93017</v>
      </c>
      <c r="U244">
        <v>95325</v>
      </c>
      <c r="V244">
        <v>96725</v>
      </c>
      <c r="W244">
        <v>97204</v>
      </c>
      <c r="X244">
        <v>97544</v>
      </c>
      <c r="Y244">
        <v>97769</v>
      </c>
      <c r="Z244">
        <v>97909</v>
      </c>
      <c r="AA244">
        <v>97980</v>
      </c>
      <c r="AB244">
        <v>97998</v>
      </c>
      <c r="AC244">
        <v>97990</v>
      </c>
      <c r="AD244">
        <v>97984</v>
      </c>
      <c r="AE244">
        <v>98010</v>
      </c>
      <c r="AF244">
        <v>98376</v>
      </c>
      <c r="AG244">
        <v>98969</v>
      </c>
      <c r="AH244">
        <v>99403</v>
      </c>
      <c r="AI244">
        <v>99700</v>
      </c>
      <c r="AJ244">
        <v>99895</v>
      </c>
      <c r="AK244">
        <v>100022</v>
      </c>
      <c r="AL244">
        <v>100103</v>
      </c>
      <c r="AM244">
        <v>100166</v>
      </c>
      <c r="AN244">
        <v>100225</v>
      </c>
      <c r="AO244">
        <v>100275</v>
      </c>
      <c r="AP244">
        <v>100674</v>
      </c>
      <c r="AQ244">
        <v>101388</v>
      </c>
      <c r="AR244">
        <v>102046</v>
      </c>
      <c r="AS244">
        <v>102677</v>
      </c>
      <c r="AT244">
        <v>103288</v>
      </c>
      <c r="AU244">
        <v>103874</v>
      </c>
      <c r="AV244">
        <v>104464</v>
      </c>
      <c r="AW244">
        <v>105071</v>
      </c>
      <c r="AX244">
        <v>105671</v>
      </c>
      <c r="AY244">
        <v>106253</v>
      </c>
      <c r="AZ244">
        <v>106726</v>
      </c>
      <c r="BA244">
        <v>107020</v>
      </c>
      <c r="BB244">
        <v>107203</v>
      </c>
      <c r="BC244">
        <v>107400</v>
      </c>
      <c r="BD244">
        <v>107570</v>
      </c>
      <c r="BE244">
        <v>107460</v>
      </c>
      <c r="BF244">
        <v>107078</v>
      </c>
      <c r="BG244">
        <v>106609</v>
      </c>
      <c r="BH244">
        <v>106095</v>
      </c>
      <c r="BI244">
        <v>105524</v>
      </c>
      <c r="BJ244">
        <v>105356</v>
      </c>
      <c r="BK244">
        <v>105567</v>
      </c>
      <c r="BL244">
        <v>105669</v>
      </c>
      <c r="BM244">
        <v>105704</v>
      </c>
      <c r="BN244">
        <v>105490</v>
      </c>
      <c r="BO244">
        <v>105042</v>
      </c>
      <c r="BP244">
        <v>104597</v>
      </c>
      <c r="BQ244">
        <v>104175</v>
      </c>
      <c r="BR244">
        <v>103742</v>
      </c>
    </row>
    <row r="245" spans="1:70" x14ac:dyDescent="0.35">
      <c r="A245" t="s">
        <v>754</v>
      </c>
      <c r="B245" t="s">
        <v>755</v>
      </c>
      <c r="C245" t="s">
        <v>295</v>
      </c>
      <c r="D245" t="s">
        <v>296</v>
      </c>
      <c r="E245">
        <v>507919318</v>
      </c>
      <c r="F245">
        <v>520416897</v>
      </c>
      <c r="G245">
        <v>533162544</v>
      </c>
      <c r="H245">
        <v>546111213</v>
      </c>
      <c r="I245">
        <v>559361410</v>
      </c>
      <c r="J245">
        <v>572498343</v>
      </c>
      <c r="K245">
        <v>585381018</v>
      </c>
      <c r="L245">
        <v>598618725</v>
      </c>
      <c r="M245">
        <v>612171905</v>
      </c>
      <c r="N245">
        <v>625773349</v>
      </c>
      <c r="O245">
        <v>640078209</v>
      </c>
      <c r="P245">
        <v>654081362</v>
      </c>
      <c r="Q245">
        <v>668383197</v>
      </c>
      <c r="R245">
        <v>684000704</v>
      </c>
      <c r="S245">
        <v>700247383</v>
      </c>
      <c r="T245">
        <v>717092514</v>
      </c>
      <c r="U245">
        <v>734217635</v>
      </c>
      <c r="V245">
        <v>751760482</v>
      </c>
      <c r="W245">
        <v>769329109</v>
      </c>
      <c r="X245">
        <v>787440583</v>
      </c>
      <c r="Y245">
        <v>806369775</v>
      </c>
      <c r="Z245">
        <v>825638560</v>
      </c>
      <c r="AA245">
        <v>845349352</v>
      </c>
      <c r="AB245">
        <v>865442337</v>
      </c>
      <c r="AC245">
        <v>885894499</v>
      </c>
      <c r="AD245">
        <v>906622025</v>
      </c>
      <c r="AE245">
        <v>927646189</v>
      </c>
      <c r="AF245">
        <v>948802143</v>
      </c>
      <c r="AG245">
        <v>970044151</v>
      </c>
      <c r="AH245">
        <v>991571016</v>
      </c>
      <c r="AI245">
        <v>1013297018</v>
      </c>
      <c r="AJ245">
        <v>1035058149</v>
      </c>
      <c r="AK245">
        <v>1057074570</v>
      </c>
      <c r="AL245">
        <v>1079256381</v>
      </c>
      <c r="AM245">
        <v>1101305517</v>
      </c>
      <c r="AN245">
        <v>1123515559</v>
      </c>
      <c r="AO245">
        <v>1145998648</v>
      </c>
      <c r="AP245">
        <v>1168625898</v>
      </c>
      <c r="AQ245">
        <v>1191405930</v>
      </c>
      <c r="AR245">
        <v>1214263809</v>
      </c>
      <c r="AS245">
        <v>1237185482</v>
      </c>
      <c r="AT245">
        <v>1260149056</v>
      </c>
      <c r="AU245">
        <v>1282584796</v>
      </c>
      <c r="AV245">
        <v>1304347790</v>
      </c>
      <c r="AW245">
        <v>1325950587</v>
      </c>
      <c r="AX245">
        <v>1346886384</v>
      </c>
      <c r="AY245">
        <v>1367187349</v>
      </c>
      <c r="AZ245">
        <v>1386949456</v>
      </c>
      <c r="BA245">
        <v>1406047164</v>
      </c>
      <c r="BB245">
        <v>1425370200</v>
      </c>
      <c r="BC245">
        <v>1444967010</v>
      </c>
      <c r="BD245">
        <v>1464372623</v>
      </c>
      <c r="BE245">
        <v>1483553073</v>
      </c>
      <c r="BF245">
        <v>1501661991</v>
      </c>
      <c r="BG245">
        <v>1519839246</v>
      </c>
      <c r="BH245">
        <v>1537370078</v>
      </c>
      <c r="BI245">
        <v>1555111864</v>
      </c>
      <c r="BJ245">
        <v>1572520427</v>
      </c>
      <c r="BK245">
        <v>1589164714</v>
      </c>
      <c r="BL245">
        <v>1605412986</v>
      </c>
      <c r="BM245">
        <v>1621073417</v>
      </c>
      <c r="BN245">
        <v>1634785356</v>
      </c>
      <c r="BO245">
        <v>1648009565</v>
      </c>
      <c r="BP245">
        <v>1662580579</v>
      </c>
      <c r="BQ245">
        <v>1677384532</v>
      </c>
      <c r="BR245">
        <v>1692252900</v>
      </c>
    </row>
    <row r="246" spans="1:70" x14ac:dyDescent="0.35">
      <c r="A246" t="s">
        <v>756</v>
      </c>
      <c r="B246" t="s">
        <v>757</v>
      </c>
      <c r="C246" t="s">
        <v>295</v>
      </c>
      <c r="D246" t="s">
        <v>296</v>
      </c>
      <c r="E246">
        <v>227706653</v>
      </c>
      <c r="F246">
        <v>233241597</v>
      </c>
      <c r="G246">
        <v>239026415</v>
      </c>
      <c r="H246">
        <v>245034711</v>
      </c>
      <c r="I246">
        <v>251288504</v>
      </c>
      <c r="J246">
        <v>257787921</v>
      </c>
      <c r="K246">
        <v>264483132</v>
      </c>
      <c r="L246">
        <v>271416274</v>
      </c>
      <c r="M246">
        <v>278647329</v>
      </c>
      <c r="N246">
        <v>286170368</v>
      </c>
      <c r="O246">
        <v>293976226</v>
      </c>
      <c r="P246">
        <v>301997112</v>
      </c>
      <c r="Q246">
        <v>310201919</v>
      </c>
      <c r="R246">
        <v>318869838</v>
      </c>
      <c r="S246">
        <v>327990755</v>
      </c>
      <c r="T246">
        <v>337373665</v>
      </c>
      <c r="U246">
        <v>347025940</v>
      </c>
      <c r="V246">
        <v>356821508</v>
      </c>
      <c r="W246">
        <v>367355255</v>
      </c>
      <c r="X246">
        <v>378570328</v>
      </c>
      <c r="Y246">
        <v>389829761</v>
      </c>
      <c r="Z246">
        <v>401671969</v>
      </c>
      <c r="AA246">
        <v>414253738</v>
      </c>
      <c r="AB246">
        <v>426709978</v>
      </c>
      <c r="AC246">
        <v>439111854</v>
      </c>
      <c r="AD246">
        <v>452014893</v>
      </c>
      <c r="AE246">
        <v>465259300</v>
      </c>
      <c r="AF246">
        <v>478911799</v>
      </c>
      <c r="AG246">
        <v>492715455</v>
      </c>
      <c r="AH246">
        <v>506724902</v>
      </c>
      <c r="AI246">
        <v>521029972</v>
      </c>
      <c r="AJ246">
        <v>535328746</v>
      </c>
      <c r="AK246">
        <v>549973046</v>
      </c>
      <c r="AL246">
        <v>565251301</v>
      </c>
      <c r="AM246">
        <v>580483156</v>
      </c>
      <c r="AN246">
        <v>596081868</v>
      </c>
      <c r="AO246">
        <v>612267246</v>
      </c>
      <c r="AP246">
        <v>628567583</v>
      </c>
      <c r="AQ246">
        <v>645494313</v>
      </c>
      <c r="AR246">
        <v>662922716</v>
      </c>
      <c r="AS246">
        <v>680768792</v>
      </c>
      <c r="AT246">
        <v>699215347</v>
      </c>
      <c r="AU246">
        <v>718276009</v>
      </c>
      <c r="AV246">
        <v>737918076</v>
      </c>
      <c r="AW246">
        <v>758237956</v>
      </c>
      <c r="AX246">
        <v>779233636</v>
      </c>
      <c r="AY246">
        <v>800828364</v>
      </c>
      <c r="AZ246">
        <v>823124982</v>
      </c>
      <c r="BA246">
        <v>846224198</v>
      </c>
      <c r="BB246">
        <v>869926373</v>
      </c>
      <c r="BC246">
        <v>894259855</v>
      </c>
      <c r="BD246">
        <v>919112234</v>
      </c>
      <c r="BE246">
        <v>944523292</v>
      </c>
      <c r="BF246">
        <v>970746312</v>
      </c>
      <c r="BG246">
        <v>997426231</v>
      </c>
      <c r="BH246">
        <v>1024659421</v>
      </c>
      <c r="BI246">
        <v>1052166739</v>
      </c>
      <c r="BJ246">
        <v>1080208893</v>
      </c>
      <c r="BK246">
        <v>1109196428</v>
      </c>
      <c r="BL246">
        <v>1138472475</v>
      </c>
      <c r="BM246">
        <v>1168133785</v>
      </c>
      <c r="BN246">
        <v>1198069722</v>
      </c>
      <c r="BO246">
        <v>1228187451</v>
      </c>
      <c r="BP246">
        <v>1258809472</v>
      </c>
      <c r="BQ246">
        <v>1289936286</v>
      </c>
      <c r="BR246">
        <v>1321654217</v>
      </c>
    </row>
    <row r="247" spans="1:70" x14ac:dyDescent="0.35">
      <c r="A247" t="s">
        <v>758</v>
      </c>
      <c r="B247" t="s">
        <v>759</v>
      </c>
      <c r="C247" t="s">
        <v>295</v>
      </c>
      <c r="D247" t="s">
        <v>296</v>
      </c>
      <c r="E247">
        <v>844943</v>
      </c>
      <c r="F247">
        <v>863144</v>
      </c>
      <c r="G247">
        <v>880194</v>
      </c>
      <c r="H247">
        <v>896804</v>
      </c>
      <c r="I247">
        <v>912963</v>
      </c>
      <c r="J247">
        <v>928425</v>
      </c>
      <c r="K247">
        <v>942937</v>
      </c>
      <c r="L247">
        <v>956418</v>
      </c>
      <c r="M247">
        <v>969006</v>
      </c>
      <c r="N247">
        <v>980706</v>
      </c>
      <c r="O247">
        <v>991471</v>
      </c>
      <c r="P247">
        <v>1002585</v>
      </c>
      <c r="Q247">
        <v>1014921</v>
      </c>
      <c r="R247">
        <v>1027851</v>
      </c>
      <c r="S247">
        <v>1040761</v>
      </c>
      <c r="T247">
        <v>1053469</v>
      </c>
      <c r="U247">
        <v>1066311</v>
      </c>
      <c r="V247">
        <v>1079554</v>
      </c>
      <c r="W247">
        <v>1093380</v>
      </c>
      <c r="X247">
        <v>1107639</v>
      </c>
      <c r="Y247">
        <v>1121744</v>
      </c>
      <c r="Z247">
        <v>1135132</v>
      </c>
      <c r="AA247">
        <v>1147927</v>
      </c>
      <c r="AB247">
        <v>1160534</v>
      </c>
      <c r="AC247">
        <v>1172984</v>
      </c>
      <c r="AD247">
        <v>1187366</v>
      </c>
      <c r="AE247">
        <v>1203124</v>
      </c>
      <c r="AF247">
        <v>1217364</v>
      </c>
      <c r="AG247">
        <v>1230069</v>
      </c>
      <c r="AH247">
        <v>1241600</v>
      </c>
      <c r="AI247">
        <v>1252208</v>
      </c>
      <c r="AJ247">
        <v>1262171</v>
      </c>
      <c r="AK247">
        <v>1271674</v>
      </c>
      <c r="AL247">
        <v>1280466</v>
      </c>
      <c r="AM247">
        <v>1288341</v>
      </c>
      <c r="AN247">
        <v>1295169</v>
      </c>
      <c r="AO247">
        <v>1300928</v>
      </c>
      <c r="AP247">
        <v>1305836</v>
      </c>
      <c r="AQ247">
        <v>1310225</v>
      </c>
      <c r="AR247">
        <v>1314708</v>
      </c>
      <c r="AS247">
        <v>1319774</v>
      </c>
      <c r="AT247">
        <v>1325567</v>
      </c>
      <c r="AU247">
        <v>1332011</v>
      </c>
      <c r="AV247">
        <v>1338709</v>
      </c>
      <c r="AW247">
        <v>1345380</v>
      </c>
      <c r="AX247">
        <v>1294494</v>
      </c>
      <c r="AY247">
        <v>1297944</v>
      </c>
      <c r="AZ247">
        <v>1303188</v>
      </c>
      <c r="BA247">
        <v>1308587</v>
      </c>
      <c r="BB247">
        <v>1310106</v>
      </c>
      <c r="BC247">
        <v>1317714</v>
      </c>
      <c r="BD247">
        <v>1328019</v>
      </c>
      <c r="BE247">
        <v>1335194</v>
      </c>
      <c r="BF247">
        <v>1340557</v>
      </c>
      <c r="BG247">
        <v>1345343</v>
      </c>
      <c r="BH247">
        <v>1349667</v>
      </c>
      <c r="BI247">
        <v>1353895</v>
      </c>
      <c r="BJ247">
        <v>1356633</v>
      </c>
      <c r="BK247">
        <v>1359193</v>
      </c>
      <c r="BL247">
        <v>1363985</v>
      </c>
      <c r="BM247">
        <v>1366725</v>
      </c>
      <c r="BN247">
        <v>1367558</v>
      </c>
      <c r="BO247">
        <v>1365805</v>
      </c>
      <c r="BP247">
        <v>1367510</v>
      </c>
      <c r="BQ247">
        <v>1368333</v>
      </c>
      <c r="BR247">
        <v>1367764</v>
      </c>
    </row>
    <row r="248" spans="1:70" x14ac:dyDescent="0.35">
      <c r="A248" t="s">
        <v>760</v>
      </c>
      <c r="B248" t="s">
        <v>761</v>
      </c>
      <c r="C248" t="s">
        <v>295</v>
      </c>
      <c r="D248" t="s">
        <v>296</v>
      </c>
      <c r="E248">
        <v>4267288</v>
      </c>
      <c r="F248">
        <v>4316278</v>
      </c>
      <c r="G248">
        <v>4369136</v>
      </c>
      <c r="H248">
        <v>4427131</v>
      </c>
      <c r="I248">
        <v>4489869</v>
      </c>
      <c r="J248">
        <v>4561385</v>
      </c>
      <c r="K248">
        <v>4652287</v>
      </c>
      <c r="L248">
        <v>4760970</v>
      </c>
      <c r="M248">
        <v>4879899</v>
      </c>
      <c r="N248">
        <v>5004697</v>
      </c>
      <c r="O248">
        <v>5131396</v>
      </c>
      <c r="P248">
        <v>5261658</v>
      </c>
      <c r="Q248">
        <v>5396557</v>
      </c>
      <c r="R248">
        <v>5537242</v>
      </c>
      <c r="S248">
        <v>5684674</v>
      </c>
      <c r="T248">
        <v>5839262</v>
      </c>
      <c r="U248">
        <v>5996994</v>
      </c>
      <c r="V248">
        <v>6155931</v>
      </c>
      <c r="W248">
        <v>6309390</v>
      </c>
      <c r="X248">
        <v>6456419</v>
      </c>
      <c r="Y248">
        <v>6606195</v>
      </c>
      <c r="Z248">
        <v>6758284</v>
      </c>
      <c r="AA248">
        <v>6908642</v>
      </c>
      <c r="AB248">
        <v>7053800</v>
      </c>
      <c r="AC248">
        <v>7220044</v>
      </c>
      <c r="AD248">
        <v>7409903</v>
      </c>
      <c r="AE248">
        <v>7600301</v>
      </c>
      <c r="AF248">
        <v>7789987</v>
      </c>
      <c r="AG248">
        <v>7974440</v>
      </c>
      <c r="AH248">
        <v>8151660</v>
      </c>
      <c r="AI248">
        <v>8324509</v>
      </c>
      <c r="AJ248">
        <v>8501827</v>
      </c>
      <c r="AK248">
        <v>8682512</v>
      </c>
      <c r="AL248">
        <v>8857910</v>
      </c>
      <c r="AM248">
        <v>9018448</v>
      </c>
      <c r="AN248">
        <v>9161258</v>
      </c>
      <c r="AO248">
        <v>9294432</v>
      </c>
      <c r="AP248">
        <v>9421270</v>
      </c>
      <c r="AQ248">
        <v>9541667</v>
      </c>
      <c r="AR248">
        <v>9655963</v>
      </c>
      <c r="AS248">
        <v>9764935</v>
      </c>
      <c r="AT248">
        <v>9869677</v>
      </c>
      <c r="AU248">
        <v>9971515</v>
      </c>
      <c r="AV248">
        <v>10071632</v>
      </c>
      <c r="AW248">
        <v>10166163</v>
      </c>
      <c r="AX248">
        <v>10255472</v>
      </c>
      <c r="AY248">
        <v>10346410</v>
      </c>
      <c r="AZ248">
        <v>10441702</v>
      </c>
      <c r="BA248">
        <v>10542635</v>
      </c>
      <c r="BB248">
        <v>10650681</v>
      </c>
      <c r="BC248">
        <v>10765980</v>
      </c>
      <c r="BD248">
        <v>10886035</v>
      </c>
      <c r="BE248">
        <v>11009647</v>
      </c>
      <c r="BF248">
        <v>11141361</v>
      </c>
      <c r="BG248">
        <v>11274288</v>
      </c>
      <c r="BH248">
        <v>11402264</v>
      </c>
      <c r="BI248">
        <v>11528674</v>
      </c>
      <c r="BJ248">
        <v>11650498</v>
      </c>
      <c r="BK248">
        <v>11765514</v>
      </c>
      <c r="BL248">
        <v>11875081</v>
      </c>
      <c r="BM248">
        <v>11974057</v>
      </c>
      <c r="BN248">
        <v>12048622</v>
      </c>
      <c r="BO248">
        <v>12119334</v>
      </c>
      <c r="BP248">
        <v>12200431</v>
      </c>
      <c r="BQ248">
        <v>12277109</v>
      </c>
      <c r="BR248">
        <v>12348573</v>
      </c>
    </row>
    <row r="249" spans="1:70" x14ac:dyDescent="0.35">
      <c r="A249" t="s">
        <v>762</v>
      </c>
      <c r="B249" t="s">
        <v>763</v>
      </c>
      <c r="C249" t="s">
        <v>295</v>
      </c>
      <c r="D249" t="s">
        <v>296</v>
      </c>
      <c r="E249">
        <v>28329898</v>
      </c>
      <c r="F249">
        <v>29119238</v>
      </c>
      <c r="G249">
        <v>29916147</v>
      </c>
      <c r="H249">
        <v>30726841</v>
      </c>
      <c r="I249">
        <v>31543072</v>
      </c>
      <c r="J249">
        <v>32345220</v>
      </c>
      <c r="K249">
        <v>33177672</v>
      </c>
      <c r="L249">
        <v>34050421</v>
      </c>
      <c r="M249">
        <v>34921684</v>
      </c>
      <c r="N249">
        <v>35787774</v>
      </c>
      <c r="O249">
        <v>36638465</v>
      </c>
      <c r="P249">
        <v>37518611</v>
      </c>
      <c r="Q249">
        <v>38430221</v>
      </c>
      <c r="R249">
        <v>39329533</v>
      </c>
      <c r="S249">
        <v>40210234</v>
      </c>
      <c r="T249">
        <v>41053126</v>
      </c>
      <c r="U249">
        <v>41899984</v>
      </c>
      <c r="V249">
        <v>42773298</v>
      </c>
      <c r="W249">
        <v>43645306</v>
      </c>
      <c r="X249">
        <v>44510429</v>
      </c>
      <c r="Y249">
        <v>45408815</v>
      </c>
      <c r="Z249">
        <v>46321190</v>
      </c>
      <c r="AA249">
        <v>47322096</v>
      </c>
      <c r="AB249">
        <v>48447410</v>
      </c>
      <c r="AC249">
        <v>49574069</v>
      </c>
      <c r="AD249">
        <v>50687115</v>
      </c>
      <c r="AE249">
        <v>51777772</v>
      </c>
      <c r="AF249">
        <v>52843670</v>
      </c>
      <c r="AG249">
        <v>53909626</v>
      </c>
      <c r="AH249">
        <v>54976723</v>
      </c>
      <c r="AI249">
        <v>56015628</v>
      </c>
      <c r="AJ249">
        <v>57009887</v>
      </c>
      <c r="AK249">
        <v>57990118</v>
      </c>
      <c r="AL249">
        <v>58999167</v>
      </c>
      <c r="AM249">
        <v>60033836</v>
      </c>
      <c r="AN249">
        <v>61024503</v>
      </c>
      <c r="AO249">
        <v>61951134</v>
      </c>
      <c r="AP249">
        <v>62852966</v>
      </c>
      <c r="AQ249">
        <v>63734383</v>
      </c>
      <c r="AR249">
        <v>64591923</v>
      </c>
      <c r="AS249">
        <v>65425961</v>
      </c>
      <c r="AT249">
        <v>66245128</v>
      </c>
      <c r="AU249">
        <v>67048795</v>
      </c>
      <c r="AV249">
        <v>67831730</v>
      </c>
      <c r="AW249">
        <v>68592617</v>
      </c>
      <c r="AX249">
        <v>69329557</v>
      </c>
      <c r="AY249">
        <v>70045349</v>
      </c>
      <c r="AZ249">
        <v>70158112</v>
      </c>
      <c r="BA249">
        <v>71051678</v>
      </c>
      <c r="BB249">
        <v>72039206</v>
      </c>
      <c r="BC249">
        <v>73142150</v>
      </c>
      <c r="BD249">
        <v>74223629</v>
      </c>
      <c r="BE249">
        <v>75175827</v>
      </c>
      <c r="BF249">
        <v>76147624</v>
      </c>
      <c r="BG249">
        <v>77181884</v>
      </c>
      <c r="BH249">
        <v>78218479</v>
      </c>
      <c r="BI249">
        <v>79277962</v>
      </c>
      <c r="BJ249">
        <v>80312698</v>
      </c>
      <c r="BK249">
        <v>81407204</v>
      </c>
      <c r="BL249">
        <v>82579440</v>
      </c>
      <c r="BM249">
        <v>83384680</v>
      </c>
      <c r="BN249">
        <v>84147318</v>
      </c>
      <c r="BO249">
        <v>84979913</v>
      </c>
      <c r="BP249">
        <v>85325965</v>
      </c>
      <c r="BQ249">
        <v>85518661</v>
      </c>
      <c r="BR249">
        <v>85878556</v>
      </c>
    </row>
    <row r="250" spans="1:70" x14ac:dyDescent="0.35">
      <c r="A250" t="s">
        <v>764</v>
      </c>
      <c r="B250" t="s">
        <v>765</v>
      </c>
      <c r="C250" t="s">
        <v>295</v>
      </c>
      <c r="D250" t="s">
        <v>296</v>
      </c>
      <c r="E250">
        <v>5598</v>
      </c>
      <c r="F250">
        <v>5648</v>
      </c>
      <c r="G250">
        <v>5699</v>
      </c>
      <c r="H250">
        <v>5751</v>
      </c>
      <c r="I250">
        <v>5752</v>
      </c>
      <c r="J250">
        <v>5715</v>
      </c>
      <c r="K250">
        <v>5686</v>
      </c>
      <c r="L250">
        <v>5652</v>
      </c>
      <c r="M250">
        <v>5624</v>
      </c>
      <c r="N250">
        <v>5631</v>
      </c>
      <c r="O250">
        <v>5663</v>
      </c>
      <c r="P250">
        <v>5685</v>
      </c>
      <c r="Q250">
        <v>5692</v>
      </c>
      <c r="R250">
        <v>5681</v>
      </c>
      <c r="S250">
        <v>5822</v>
      </c>
      <c r="T250">
        <v>6117</v>
      </c>
      <c r="U250">
        <v>6404</v>
      </c>
      <c r="V250">
        <v>6686</v>
      </c>
      <c r="W250">
        <v>6957</v>
      </c>
      <c r="X250">
        <v>7184</v>
      </c>
      <c r="Y250">
        <v>7366</v>
      </c>
      <c r="Z250">
        <v>7526</v>
      </c>
      <c r="AA250">
        <v>7664</v>
      </c>
      <c r="AB250">
        <v>7789</v>
      </c>
      <c r="AC250">
        <v>7902</v>
      </c>
      <c r="AD250">
        <v>8046</v>
      </c>
      <c r="AE250">
        <v>8217</v>
      </c>
      <c r="AF250">
        <v>8371</v>
      </c>
      <c r="AG250">
        <v>8518</v>
      </c>
      <c r="AH250">
        <v>8662</v>
      </c>
      <c r="AI250">
        <v>8798</v>
      </c>
      <c r="AJ250">
        <v>8928</v>
      </c>
      <c r="AK250">
        <v>9038</v>
      </c>
      <c r="AL250">
        <v>9126</v>
      </c>
      <c r="AM250">
        <v>9207</v>
      </c>
      <c r="AN250">
        <v>9280</v>
      </c>
      <c r="AO250">
        <v>9342</v>
      </c>
      <c r="AP250">
        <v>9400</v>
      </c>
      <c r="AQ250">
        <v>9451</v>
      </c>
      <c r="AR250">
        <v>9496</v>
      </c>
      <c r="AS250">
        <v>9544</v>
      </c>
      <c r="AT250">
        <v>9586</v>
      </c>
      <c r="AU250">
        <v>9623</v>
      </c>
      <c r="AV250">
        <v>9695</v>
      </c>
      <c r="AW250">
        <v>9816</v>
      </c>
      <c r="AX250">
        <v>9940</v>
      </c>
      <c r="AY250">
        <v>10056</v>
      </c>
      <c r="AZ250">
        <v>10182</v>
      </c>
      <c r="BA250">
        <v>10321</v>
      </c>
      <c r="BB250">
        <v>10461</v>
      </c>
      <c r="BC250">
        <v>10614</v>
      </c>
      <c r="BD250">
        <v>10780</v>
      </c>
      <c r="BE250">
        <v>10934</v>
      </c>
      <c r="BF250">
        <v>11001</v>
      </c>
      <c r="BG250">
        <v>10984</v>
      </c>
      <c r="BH250">
        <v>10963</v>
      </c>
      <c r="BI250">
        <v>10930</v>
      </c>
      <c r="BJ250">
        <v>10869</v>
      </c>
      <c r="BK250">
        <v>10751</v>
      </c>
      <c r="BL250">
        <v>10581</v>
      </c>
      <c r="BM250">
        <v>10399</v>
      </c>
      <c r="BN250">
        <v>10194</v>
      </c>
      <c r="BO250">
        <v>9992</v>
      </c>
      <c r="BP250">
        <v>9816</v>
      </c>
      <c r="BQ250">
        <v>9646</v>
      </c>
      <c r="BR250">
        <v>9492</v>
      </c>
    </row>
    <row r="251" spans="1:70" x14ac:dyDescent="0.35">
      <c r="A251" t="s">
        <v>766</v>
      </c>
      <c r="B251" t="s">
        <v>767</v>
      </c>
      <c r="C251" t="s">
        <v>295</v>
      </c>
      <c r="D251" t="s">
        <v>296</v>
      </c>
      <c r="E251">
        <v>9901419</v>
      </c>
      <c r="F251">
        <v>10187886</v>
      </c>
      <c r="G251">
        <v>10487756</v>
      </c>
      <c r="H251">
        <v>10799528</v>
      </c>
      <c r="I251">
        <v>11127826</v>
      </c>
      <c r="J251">
        <v>11470728</v>
      </c>
      <c r="K251">
        <v>11827459</v>
      </c>
      <c r="L251">
        <v>12200109</v>
      </c>
      <c r="M251">
        <v>12602076</v>
      </c>
      <c r="N251">
        <v>13036700</v>
      </c>
      <c r="O251">
        <v>13492677</v>
      </c>
      <c r="P251">
        <v>13971451</v>
      </c>
      <c r="Q251">
        <v>14479308</v>
      </c>
      <c r="R251">
        <v>15010101</v>
      </c>
      <c r="S251">
        <v>15561630</v>
      </c>
      <c r="T251">
        <v>16138361</v>
      </c>
      <c r="U251">
        <v>16736211</v>
      </c>
      <c r="V251">
        <v>17352929</v>
      </c>
      <c r="W251">
        <v>17976566</v>
      </c>
      <c r="X251">
        <v>18592038</v>
      </c>
      <c r="Y251">
        <v>19189769</v>
      </c>
      <c r="Z251">
        <v>19784703</v>
      </c>
      <c r="AA251">
        <v>20398571</v>
      </c>
      <c r="AB251">
        <v>21079874</v>
      </c>
      <c r="AC251">
        <v>21779066</v>
      </c>
      <c r="AD251">
        <v>22501693</v>
      </c>
      <c r="AE251">
        <v>23258959</v>
      </c>
      <c r="AF251">
        <v>24030378</v>
      </c>
      <c r="AG251">
        <v>24769686</v>
      </c>
      <c r="AH251">
        <v>25438759</v>
      </c>
      <c r="AI251">
        <v>26110207</v>
      </c>
      <c r="AJ251">
        <v>26780436</v>
      </c>
      <c r="AK251">
        <v>27457588</v>
      </c>
      <c r="AL251">
        <v>28332692</v>
      </c>
      <c r="AM251">
        <v>29442356</v>
      </c>
      <c r="AN251">
        <v>30383497</v>
      </c>
      <c r="AO251">
        <v>30945762</v>
      </c>
      <c r="AP251">
        <v>31578089</v>
      </c>
      <c r="AQ251">
        <v>32420458</v>
      </c>
      <c r="AR251">
        <v>33300330</v>
      </c>
      <c r="AS251">
        <v>34260139</v>
      </c>
      <c r="AT251">
        <v>35198299</v>
      </c>
      <c r="AU251">
        <v>36121304</v>
      </c>
      <c r="AV251">
        <v>37089555</v>
      </c>
      <c r="AW251">
        <v>38109668</v>
      </c>
      <c r="AX251">
        <v>39182076</v>
      </c>
      <c r="AY251">
        <v>40294902</v>
      </c>
      <c r="AZ251">
        <v>41435512</v>
      </c>
      <c r="BA251">
        <v>42570728</v>
      </c>
      <c r="BB251">
        <v>43633982</v>
      </c>
      <c r="BC251">
        <v>44758488</v>
      </c>
      <c r="BD251">
        <v>46029367</v>
      </c>
      <c r="BE251">
        <v>47374260</v>
      </c>
      <c r="BF251">
        <v>48824128</v>
      </c>
      <c r="BG251">
        <v>50351512</v>
      </c>
      <c r="BH251">
        <v>52020962</v>
      </c>
      <c r="BI251">
        <v>53824013</v>
      </c>
      <c r="BJ251">
        <v>55652890</v>
      </c>
      <c r="BK251">
        <v>57437145</v>
      </c>
      <c r="BL251">
        <v>59174891</v>
      </c>
      <c r="BM251">
        <v>60972798</v>
      </c>
      <c r="BN251">
        <v>62830412</v>
      </c>
      <c r="BO251">
        <v>64711821</v>
      </c>
      <c r="BP251">
        <v>66617606</v>
      </c>
      <c r="BQ251">
        <v>68560157</v>
      </c>
      <c r="BR251">
        <v>70545865</v>
      </c>
    </row>
    <row r="252" spans="1:70" x14ac:dyDescent="0.35">
      <c r="A252" t="s">
        <v>768</v>
      </c>
      <c r="B252" t="s">
        <v>769</v>
      </c>
      <c r="C252" t="s">
        <v>295</v>
      </c>
      <c r="D252" t="s">
        <v>296</v>
      </c>
      <c r="E252">
        <v>7640973</v>
      </c>
      <c r="F252">
        <v>7862217</v>
      </c>
      <c r="G252">
        <v>8092231</v>
      </c>
      <c r="H252">
        <v>8333663</v>
      </c>
      <c r="I252">
        <v>8586363</v>
      </c>
      <c r="J252">
        <v>8849203</v>
      </c>
      <c r="K252">
        <v>9122864</v>
      </c>
      <c r="L252">
        <v>9408924</v>
      </c>
      <c r="M252">
        <v>9708632</v>
      </c>
      <c r="N252">
        <v>10014858</v>
      </c>
      <c r="O252">
        <v>10321603</v>
      </c>
      <c r="P252">
        <v>10618206</v>
      </c>
      <c r="Q252">
        <v>10885796</v>
      </c>
      <c r="R252">
        <v>11144236</v>
      </c>
      <c r="S252">
        <v>11424846</v>
      </c>
      <c r="T252">
        <v>11725240</v>
      </c>
      <c r="U252">
        <v>12037294</v>
      </c>
      <c r="V252">
        <v>12359669</v>
      </c>
      <c r="W252">
        <v>12692113</v>
      </c>
      <c r="X252">
        <v>13002163</v>
      </c>
      <c r="Y252">
        <v>13275741</v>
      </c>
      <c r="Z252">
        <v>13556452</v>
      </c>
      <c r="AA252">
        <v>13873631</v>
      </c>
      <c r="AB252">
        <v>14221881</v>
      </c>
      <c r="AC252">
        <v>14607677</v>
      </c>
      <c r="AD252">
        <v>15023681</v>
      </c>
      <c r="AE252">
        <v>15467579</v>
      </c>
      <c r="AF252">
        <v>15954170</v>
      </c>
      <c r="AG252">
        <v>16470483</v>
      </c>
      <c r="AH252">
        <v>17010698</v>
      </c>
      <c r="AI252">
        <v>17569897</v>
      </c>
      <c r="AJ252">
        <v>18155901</v>
      </c>
      <c r="AK252">
        <v>18785032</v>
      </c>
      <c r="AL252">
        <v>19445161</v>
      </c>
      <c r="AM252">
        <v>20108801</v>
      </c>
      <c r="AN252">
        <v>20665667</v>
      </c>
      <c r="AO252">
        <v>21231550</v>
      </c>
      <c r="AP252">
        <v>21856046</v>
      </c>
      <c r="AQ252">
        <v>22515806</v>
      </c>
      <c r="AR252">
        <v>23257281</v>
      </c>
      <c r="AS252">
        <v>24000150</v>
      </c>
      <c r="AT252">
        <v>24745676</v>
      </c>
      <c r="AU252">
        <v>25532870</v>
      </c>
      <c r="AV252">
        <v>26352124</v>
      </c>
      <c r="AW252">
        <v>27154515</v>
      </c>
      <c r="AX252">
        <v>27963289</v>
      </c>
      <c r="AY252">
        <v>28794003</v>
      </c>
      <c r="AZ252">
        <v>29653430</v>
      </c>
      <c r="BA252">
        <v>30539553</v>
      </c>
      <c r="BB252">
        <v>31451151</v>
      </c>
      <c r="BC252">
        <v>32390802</v>
      </c>
      <c r="BD252">
        <v>33354543</v>
      </c>
      <c r="BE252">
        <v>34337438</v>
      </c>
      <c r="BF252">
        <v>35337042</v>
      </c>
      <c r="BG252">
        <v>36395539</v>
      </c>
      <c r="BH252">
        <v>37531446</v>
      </c>
      <c r="BI252">
        <v>38799152</v>
      </c>
      <c r="BJ252">
        <v>40177388</v>
      </c>
      <c r="BK252">
        <v>41565831</v>
      </c>
      <c r="BL252">
        <v>42999637</v>
      </c>
      <c r="BM252">
        <v>44457152</v>
      </c>
      <c r="BN252">
        <v>45910930</v>
      </c>
      <c r="BO252">
        <v>47312719</v>
      </c>
      <c r="BP252">
        <v>48656601</v>
      </c>
      <c r="BQ252">
        <v>50015092</v>
      </c>
      <c r="BR252">
        <v>51384894</v>
      </c>
    </row>
    <row r="253" spans="1:70" x14ac:dyDescent="0.35">
      <c r="A253" t="s">
        <v>770</v>
      </c>
      <c r="B253" t="s">
        <v>771</v>
      </c>
      <c r="C253" t="s">
        <v>295</v>
      </c>
      <c r="D253" t="s">
        <v>296</v>
      </c>
      <c r="E253">
        <v>42824093</v>
      </c>
      <c r="F253">
        <v>43399766</v>
      </c>
      <c r="G253">
        <v>43943674</v>
      </c>
      <c r="H253">
        <v>44462372</v>
      </c>
      <c r="I253">
        <v>44951156</v>
      </c>
      <c r="J253">
        <v>45386892</v>
      </c>
      <c r="K253">
        <v>45802519</v>
      </c>
      <c r="L253">
        <v>46215988</v>
      </c>
      <c r="M253">
        <v>46614325</v>
      </c>
      <c r="N253">
        <v>46976256</v>
      </c>
      <c r="O253">
        <v>47261306</v>
      </c>
      <c r="P253">
        <v>47573287</v>
      </c>
      <c r="Q253">
        <v>47946893</v>
      </c>
      <c r="R253">
        <v>48277121</v>
      </c>
      <c r="S253">
        <v>48576570</v>
      </c>
      <c r="T253">
        <v>48865229</v>
      </c>
      <c r="U253">
        <v>49120842</v>
      </c>
      <c r="V253">
        <v>49336481</v>
      </c>
      <c r="W253">
        <v>49521243</v>
      </c>
      <c r="X253">
        <v>49721381</v>
      </c>
      <c r="Y253">
        <v>49955152</v>
      </c>
      <c r="Z253">
        <v>50189281</v>
      </c>
      <c r="AA253">
        <v>50402724</v>
      </c>
      <c r="AB253">
        <v>50637029</v>
      </c>
      <c r="AC253">
        <v>50887599</v>
      </c>
      <c r="AD253">
        <v>51108770</v>
      </c>
      <c r="AE253">
        <v>51318745</v>
      </c>
      <c r="AF253">
        <v>51515732</v>
      </c>
      <c r="AG253">
        <v>51724853</v>
      </c>
      <c r="AH253">
        <v>51917817</v>
      </c>
      <c r="AI253">
        <v>52054092</v>
      </c>
      <c r="AJ253">
        <v>52170961</v>
      </c>
      <c r="AK253">
        <v>52323671</v>
      </c>
      <c r="AL253">
        <v>52350126</v>
      </c>
      <c r="AM253">
        <v>52075998</v>
      </c>
      <c r="AN253">
        <v>51665539</v>
      </c>
      <c r="AO253">
        <v>51226109</v>
      </c>
      <c r="AP253">
        <v>50786885</v>
      </c>
      <c r="AQ253">
        <v>50379731</v>
      </c>
      <c r="AR253">
        <v>49976446</v>
      </c>
      <c r="AS253">
        <v>49556660</v>
      </c>
      <c r="AT253">
        <v>49106855</v>
      </c>
      <c r="AU253">
        <v>48677281</v>
      </c>
      <c r="AV253">
        <v>48315136</v>
      </c>
      <c r="AW253">
        <v>47979507</v>
      </c>
      <c r="AX253">
        <v>47585556</v>
      </c>
      <c r="AY253">
        <v>47278694</v>
      </c>
      <c r="AZ253">
        <v>47062798</v>
      </c>
      <c r="BA253">
        <v>46819175</v>
      </c>
      <c r="BB253">
        <v>46623731</v>
      </c>
      <c r="BC253">
        <v>46456003</v>
      </c>
      <c r="BD253">
        <v>46307853</v>
      </c>
      <c r="BE253">
        <v>46210056</v>
      </c>
      <c r="BF253">
        <v>46126770</v>
      </c>
      <c r="BG253">
        <v>45972380</v>
      </c>
      <c r="BH253">
        <v>45784896</v>
      </c>
      <c r="BI253">
        <v>45616832</v>
      </c>
      <c r="BJ253">
        <v>45436041</v>
      </c>
      <c r="BK253">
        <v>45208907</v>
      </c>
      <c r="BL253">
        <v>44957458</v>
      </c>
      <c r="BM253">
        <v>44680014</v>
      </c>
      <c r="BN253">
        <v>44298640</v>
      </c>
      <c r="BO253">
        <v>41048766</v>
      </c>
      <c r="BP253">
        <v>37732836</v>
      </c>
      <c r="BQ253">
        <v>37860221</v>
      </c>
      <c r="BR253">
        <v>38980376</v>
      </c>
    </row>
    <row r="254" spans="1:70" x14ac:dyDescent="0.35">
      <c r="A254" t="s">
        <v>772</v>
      </c>
      <c r="B254" t="s">
        <v>773</v>
      </c>
      <c r="C254" t="s">
        <v>295</v>
      </c>
      <c r="D254" t="s">
        <v>296</v>
      </c>
      <c r="E254">
        <v>1220635123</v>
      </c>
      <c r="F254">
        <v>1228629220</v>
      </c>
      <c r="G254">
        <v>1249196839</v>
      </c>
      <c r="H254">
        <v>1281352889</v>
      </c>
      <c r="I254">
        <v>1313298952</v>
      </c>
      <c r="J254">
        <v>1345860971</v>
      </c>
      <c r="K254">
        <v>1381862372</v>
      </c>
      <c r="L254">
        <v>1417288324</v>
      </c>
      <c r="M254">
        <v>1453786965</v>
      </c>
      <c r="N254">
        <v>1492124525</v>
      </c>
      <c r="O254">
        <v>1531184008</v>
      </c>
      <c r="P254">
        <v>1570942395</v>
      </c>
      <c r="Q254">
        <v>1609114137</v>
      </c>
      <c r="R254">
        <v>1646418729</v>
      </c>
      <c r="S254">
        <v>1682368860</v>
      </c>
      <c r="T254">
        <v>1716346696</v>
      </c>
      <c r="U254">
        <v>1749184018</v>
      </c>
      <c r="V254">
        <v>1780860890</v>
      </c>
      <c r="W254">
        <v>1812784090</v>
      </c>
      <c r="X254">
        <v>1844889395</v>
      </c>
      <c r="Y254">
        <v>1876881730</v>
      </c>
      <c r="Z254">
        <v>1910329127</v>
      </c>
      <c r="AA254">
        <v>1946225597</v>
      </c>
      <c r="AB254">
        <v>1981967691</v>
      </c>
      <c r="AC254">
        <v>2016871091</v>
      </c>
      <c r="AD254">
        <v>2052372268</v>
      </c>
      <c r="AE254">
        <v>2089297175</v>
      </c>
      <c r="AF254">
        <v>2127691602</v>
      </c>
      <c r="AG254">
        <v>2166256853</v>
      </c>
      <c r="AH254">
        <v>2204110210</v>
      </c>
      <c r="AI254">
        <v>2241081172</v>
      </c>
      <c r="AJ254">
        <v>2276305314</v>
      </c>
      <c r="AK254">
        <v>2309744108</v>
      </c>
      <c r="AL254">
        <v>2341537701</v>
      </c>
      <c r="AM254">
        <v>2372325180</v>
      </c>
      <c r="AN254">
        <v>2402627925</v>
      </c>
      <c r="AO254">
        <v>2432718091</v>
      </c>
      <c r="AP254">
        <v>2462495090</v>
      </c>
      <c r="AQ254">
        <v>2491668937</v>
      </c>
      <c r="AR254">
        <v>2519647655</v>
      </c>
      <c r="AS254">
        <v>2546593734</v>
      </c>
      <c r="AT254">
        <v>2572390086</v>
      </c>
      <c r="AU254">
        <v>2596717081</v>
      </c>
      <c r="AV254">
        <v>2620475154</v>
      </c>
      <c r="AW254">
        <v>2644417001</v>
      </c>
      <c r="AX254">
        <v>2668324624</v>
      </c>
      <c r="AY254">
        <v>2691900432</v>
      </c>
      <c r="AZ254">
        <v>2714303370</v>
      </c>
      <c r="BA254">
        <v>2737948611</v>
      </c>
      <c r="BB254">
        <v>2761866575</v>
      </c>
      <c r="BC254">
        <v>2785553248</v>
      </c>
      <c r="BD254">
        <v>2810067448</v>
      </c>
      <c r="BE254">
        <v>2836944313</v>
      </c>
      <c r="BF254">
        <v>2863821883</v>
      </c>
      <c r="BG254">
        <v>2890794270</v>
      </c>
      <c r="BH254">
        <v>2916662642</v>
      </c>
      <c r="BI254">
        <v>2941432440</v>
      </c>
      <c r="BJ254">
        <v>2966243458</v>
      </c>
      <c r="BK254">
        <v>2989519673</v>
      </c>
      <c r="BL254">
        <v>3010528196</v>
      </c>
      <c r="BM254">
        <v>3027927471</v>
      </c>
      <c r="BN254">
        <v>3041374322</v>
      </c>
      <c r="BO254">
        <v>3050300704</v>
      </c>
      <c r="BP254">
        <v>3057927413</v>
      </c>
      <c r="BQ254">
        <v>3068439051</v>
      </c>
      <c r="BR254">
        <v>3078912188</v>
      </c>
    </row>
    <row r="255" spans="1:70" x14ac:dyDescent="0.35">
      <c r="A255" t="s">
        <v>281</v>
      </c>
      <c r="B255" t="s">
        <v>774</v>
      </c>
      <c r="C255" t="s">
        <v>295</v>
      </c>
      <c r="D255" t="s">
        <v>296</v>
      </c>
      <c r="E255">
        <v>2529957</v>
      </c>
      <c r="F255">
        <v>2562044</v>
      </c>
      <c r="G255">
        <v>2593298</v>
      </c>
      <c r="H255">
        <v>2623766</v>
      </c>
      <c r="I255">
        <v>2653180</v>
      </c>
      <c r="J255">
        <v>2681169</v>
      </c>
      <c r="K255">
        <v>2707646</v>
      </c>
      <c r="L255">
        <v>2732277</v>
      </c>
      <c r="M255">
        <v>2754606</v>
      </c>
      <c r="N255">
        <v>2773974</v>
      </c>
      <c r="O255">
        <v>2790807</v>
      </c>
      <c r="P255">
        <v>2806462</v>
      </c>
      <c r="Q255">
        <v>2821644</v>
      </c>
      <c r="R255">
        <v>2837133</v>
      </c>
      <c r="S255">
        <v>2853944</v>
      </c>
      <c r="T255">
        <v>2872320</v>
      </c>
      <c r="U255">
        <v>2891392</v>
      </c>
      <c r="V255">
        <v>2909461</v>
      </c>
      <c r="W255">
        <v>2925715</v>
      </c>
      <c r="X255">
        <v>2939903</v>
      </c>
      <c r="Y255">
        <v>2951953</v>
      </c>
      <c r="Z255">
        <v>2963246</v>
      </c>
      <c r="AA255">
        <v>2975492</v>
      </c>
      <c r="AB255">
        <v>2988778</v>
      </c>
      <c r="AC255">
        <v>3002488</v>
      </c>
      <c r="AD255">
        <v>3017037</v>
      </c>
      <c r="AE255">
        <v>3032845</v>
      </c>
      <c r="AF255">
        <v>3049896</v>
      </c>
      <c r="AG255">
        <v>3067961</v>
      </c>
      <c r="AH255">
        <v>3086255</v>
      </c>
      <c r="AI255">
        <v>3104403</v>
      </c>
      <c r="AJ255">
        <v>3122354</v>
      </c>
      <c r="AK255">
        <v>3139702</v>
      </c>
      <c r="AL255">
        <v>3156345</v>
      </c>
      <c r="AM255">
        <v>3172834</v>
      </c>
      <c r="AN255">
        <v>3189440</v>
      </c>
      <c r="AO255">
        <v>3206324</v>
      </c>
      <c r="AP255">
        <v>3223345</v>
      </c>
      <c r="AQ255">
        <v>3239280</v>
      </c>
      <c r="AR255">
        <v>3254015</v>
      </c>
      <c r="AS255">
        <v>3266206</v>
      </c>
      <c r="AT255">
        <v>3274251</v>
      </c>
      <c r="AU255">
        <v>3278867</v>
      </c>
      <c r="AV255">
        <v>3281186</v>
      </c>
      <c r="AW255">
        <v>3283148</v>
      </c>
      <c r="AX255">
        <v>3285771</v>
      </c>
      <c r="AY255">
        <v>3289506</v>
      </c>
      <c r="AZ255">
        <v>3295153</v>
      </c>
      <c r="BA255">
        <v>3302177</v>
      </c>
      <c r="BB255">
        <v>3310091</v>
      </c>
      <c r="BC255">
        <v>3318580</v>
      </c>
      <c r="BD255">
        <v>3326825</v>
      </c>
      <c r="BE255">
        <v>3335401</v>
      </c>
      <c r="BF255">
        <v>3345337</v>
      </c>
      <c r="BG255">
        <v>3356334</v>
      </c>
      <c r="BH255">
        <v>3368017</v>
      </c>
      <c r="BI255">
        <v>3379283</v>
      </c>
      <c r="BJ255">
        <v>3388438</v>
      </c>
      <c r="BK255">
        <v>3394534</v>
      </c>
      <c r="BL255">
        <v>3397206</v>
      </c>
      <c r="BM255">
        <v>3398968</v>
      </c>
      <c r="BN255">
        <v>3396695</v>
      </c>
      <c r="BO255">
        <v>3390913</v>
      </c>
      <c r="BP255">
        <v>3388081</v>
      </c>
      <c r="BQ255">
        <v>3386588</v>
      </c>
      <c r="BR255">
        <v>3384688</v>
      </c>
    </row>
    <row r="256" spans="1:70" x14ac:dyDescent="0.35">
      <c r="A256" t="s">
        <v>283</v>
      </c>
      <c r="B256" t="s">
        <v>775</v>
      </c>
      <c r="C256" t="s">
        <v>295</v>
      </c>
      <c r="D256" t="s">
        <v>296</v>
      </c>
      <c r="E256">
        <v>180671000</v>
      </c>
      <c r="F256">
        <v>183691000</v>
      </c>
      <c r="G256">
        <v>186538000</v>
      </c>
      <c r="H256">
        <v>189242000</v>
      </c>
      <c r="I256">
        <v>191889000</v>
      </c>
      <c r="J256">
        <v>194303000</v>
      </c>
      <c r="K256">
        <v>196560000</v>
      </c>
      <c r="L256">
        <v>198712000</v>
      </c>
      <c r="M256">
        <v>200706000</v>
      </c>
      <c r="N256">
        <v>202677000</v>
      </c>
      <c r="O256">
        <v>205052000</v>
      </c>
      <c r="P256">
        <v>207661000</v>
      </c>
      <c r="Q256">
        <v>209896000</v>
      </c>
      <c r="R256">
        <v>211909000</v>
      </c>
      <c r="S256">
        <v>213854000</v>
      </c>
      <c r="T256">
        <v>215973000</v>
      </c>
      <c r="U256">
        <v>218035000</v>
      </c>
      <c r="V256">
        <v>220239000</v>
      </c>
      <c r="W256">
        <v>222585000</v>
      </c>
      <c r="X256">
        <v>225055000</v>
      </c>
      <c r="Y256">
        <v>227225000</v>
      </c>
      <c r="Z256">
        <v>229466000</v>
      </c>
      <c r="AA256">
        <v>231664000</v>
      </c>
      <c r="AB256">
        <v>233792000</v>
      </c>
      <c r="AC256">
        <v>235825000</v>
      </c>
      <c r="AD256">
        <v>237924000</v>
      </c>
      <c r="AE256">
        <v>240133000</v>
      </c>
      <c r="AF256">
        <v>242289000</v>
      </c>
      <c r="AG256">
        <v>244499000</v>
      </c>
      <c r="AH256">
        <v>246819000</v>
      </c>
      <c r="AI256">
        <v>249623000</v>
      </c>
      <c r="AJ256">
        <v>252981000</v>
      </c>
      <c r="AK256">
        <v>256514000</v>
      </c>
      <c r="AL256">
        <v>259919000</v>
      </c>
      <c r="AM256">
        <v>263126000</v>
      </c>
      <c r="AN256">
        <v>266278000</v>
      </c>
      <c r="AO256">
        <v>269394000</v>
      </c>
      <c r="AP256">
        <v>272657000</v>
      </c>
      <c r="AQ256">
        <v>275854000</v>
      </c>
      <c r="AR256">
        <v>279040000</v>
      </c>
      <c r="AS256">
        <v>282162411</v>
      </c>
      <c r="AT256">
        <v>284968955</v>
      </c>
      <c r="AU256">
        <v>287625193</v>
      </c>
      <c r="AV256">
        <v>290107933</v>
      </c>
      <c r="AW256">
        <v>292805298</v>
      </c>
      <c r="AX256">
        <v>295516599</v>
      </c>
      <c r="AY256">
        <v>298379912</v>
      </c>
      <c r="AZ256">
        <v>301231207</v>
      </c>
      <c r="BA256">
        <v>304093966</v>
      </c>
      <c r="BB256">
        <v>306771529</v>
      </c>
      <c r="BC256">
        <v>309378227</v>
      </c>
      <c r="BD256">
        <v>311839461</v>
      </c>
      <c r="BE256">
        <v>314339099</v>
      </c>
      <c r="BF256">
        <v>316726282</v>
      </c>
      <c r="BG256">
        <v>319257560</v>
      </c>
      <c r="BH256">
        <v>321815121</v>
      </c>
      <c r="BI256">
        <v>324353340</v>
      </c>
      <c r="BJ256">
        <v>326608609</v>
      </c>
      <c r="BK256">
        <v>328529577</v>
      </c>
      <c r="BL256">
        <v>330226227</v>
      </c>
      <c r="BM256">
        <v>331578104</v>
      </c>
      <c r="BN256">
        <v>332100166</v>
      </c>
      <c r="BO256">
        <v>333996304</v>
      </c>
      <c r="BP256">
        <v>336755052</v>
      </c>
      <c r="BQ256">
        <v>340003797</v>
      </c>
      <c r="BR256">
        <v>341784857</v>
      </c>
    </row>
    <row r="257" spans="1:70" x14ac:dyDescent="0.35">
      <c r="A257" t="s">
        <v>776</v>
      </c>
      <c r="B257" t="s">
        <v>777</v>
      </c>
      <c r="C257" t="s">
        <v>295</v>
      </c>
      <c r="D257" t="s">
        <v>296</v>
      </c>
      <c r="E257">
        <v>8209109</v>
      </c>
      <c r="F257">
        <v>8517711</v>
      </c>
      <c r="G257">
        <v>8854368</v>
      </c>
      <c r="H257">
        <v>9202246</v>
      </c>
      <c r="I257">
        <v>9557611</v>
      </c>
      <c r="J257">
        <v>9921681</v>
      </c>
      <c r="K257">
        <v>10289294</v>
      </c>
      <c r="L257">
        <v>10659180</v>
      </c>
      <c r="M257">
        <v>11032155</v>
      </c>
      <c r="N257">
        <v>11403150</v>
      </c>
      <c r="O257">
        <v>11762638</v>
      </c>
      <c r="P257">
        <v>12111511</v>
      </c>
      <c r="Q257">
        <v>12465106</v>
      </c>
      <c r="R257">
        <v>12831047</v>
      </c>
      <c r="S257">
        <v>13209011</v>
      </c>
      <c r="T257">
        <v>13598521</v>
      </c>
      <c r="U257">
        <v>13998620</v>
      </c>
      <c r="V257">
        <v>14408822</v>
      </c>
      <c r="W257">
        <v>14816349</v>
      </c>
      <c r="X257">
        <v>15215587</v>
      </c>
      <c r="Y257">
        <v>15619936</v>
      </c>
      <c r="Z257">
        <v>16035032</v>
      </c>
      <c r="AA257">
        <v>16462736</v>
      </c>
      <c r="AB257">
        <v>16908400</v>
      </c>
      <c r="AC257">
        <v>17378846</v>
      </c>
      <c r="AD257">
        <v>17875339</v>
      </c>
      <c r="AE257">
        <v>18395621</v>
      </c>
      <c r="AF257">
        <v>18930070</v>
      </c>
      <c r="AG257">
        <v>19460630</v>
      </c>
      <c r="AH257">
        <v>19977183</v>
      </c>
      <c r="AI257">
        <v>20464956</v>
      </c>
      <c r="AJ257">
        <v>20962910</v>
      </c>
      <c r="AK257">
        <v>21485090</v>
      </c>
      <c r="AL257">
        <v>21987955</v>
      </c>
      <c r="AM257">
        <v>22463291</v>
      </c>
      <c r="AN257">
        <v>22917589</v>
      </c>
      <c r="AO257">
        <v>23351981</v>
      </c>
      <c r="AP257">
        <v>23758960</v>
      </c>
      <c r="AQ257">
        <v>24134929</v>
      </c>
      <c r="AR257">
        <v>24476008</v>
      </c>
      <c r="AS257">
        <v>24787054</v>
      </c>
      <c r="AT257">
        <v>25090283</v>
      </c>
      <c r="AU257">
        <v>25399980</v>
      </c>
      <c r="AV257">
        <v>25711259</v>
      </c>
      <c r="AW257">
        <v>26029350</v>
      </c>
      <c r="AX257">
        <v>26356975</v>
      </c>
      <c r="AY257">
        <v>26699043</v>
      </c>
      <c r="AZ257">
        <v>27076008</v>
      </c>
      <c r="BA257">
        <v>27494774</v>
      </c>
      <c r="BB257">
        <v>27939328</v>
      </c>
      <c r="BC257">
        <v>28385506</v>
      </c>
      <c r="BD257">
        <v>28823196</v>
      </c>
      <c r="BE257">
        <v>29261903</v>
      </c>
      <c r="BF257">
        <v>29724065</v>
      </c>
      <c r="BG257">
        <v>30222994</v>
      </c>
      <c r="BH257">
        <v>30749346</v>
      </c>
      <c r="BI257">
        <v>31284568</v>
      </c>
      <c r="BJ257">
        <v>31819178</v>
      </c>
      <c r="BK257">
        <v>32373490</v>
      </c>
      <c r="BL257">
        <v>32964701</v>
      </c>
      <c r="BM257">
        <v>33586372</v>
      </c>
      <c r="BN257">
        <v>34243696</v>
      </c>
      <c r="BO257">
        <v>34938955</v>
      </c>
      <c r="BP257">
        <v>35652307</v>
      </c>
      <c r="BQ257">
        <v>36361859</v>
      </c>
      <c r="BR257">
        <v>37053428</v>
      </c>
    </row>
    <row r="258" spans="1:70" x14ac:dyDescent="0.35">
      <c r="A258" t="s">
        <v>778</v>
      </c>
      <c r="B258" t="s">
        <v>779</v>
      </c>
      <c r="C258" t="s">
        <v>295</v>
      </c>
      <c r="D258" t="s">
        <v>296</v>
      </c>
      <c r="E258">
        <v>84388</v>
      </c>
      <c r="F258">
        <v>85870</v>
      </c>
      <c r="G258">
        <v>87236</v>
      </c>
      <c r="H258">
        <v>88523</v>
      </c>
      <c r="I258">
        <v>89749</v>
      </c>
      <c r="J258">
        <v>90927</v>
      </c>
      <c r="K258">
        <v>92052</v>
      </c>
      <c r="L258">
        <v>93124</v>
      </c>
      <c r="M258">
        <v>94123</v>
      </c>
      <c r="N258">
        <v>95058</v>
      </c>
      <c r="O258">
        <v>95964</v>
      </c>
      <c r="P258">
        <v>96872</v>
      </c>
      <c r="Q258">
        <v>97790</v>
      </c>
      <c r="R258">
        <v>98691</v>
      </c>
      <c r="S258">
        <v>99556</v>
      </c>
      <c r="T258">
        <v>100387</v>
      </c>
      <c r="U258">
        <v>101197</v>
      </c>
      <c r="V258">
        <v>101999</v>
      </c>
      <c r="W258">
        <v>102775</v>
      </c>
      <c r="X258">
        <v>103478</v>
      </c>
      <c r="Y258">
        <v>104213</v>
      </c>
      <c r="Z258">
        <v>105073</v>
      </c>
      <c r="AA258">
        <v>105969</v>
      </c>
      <c r="AB258">
        <v>106838</v>
      </c>
      <c r="AC258">
        <v>107687</v>
      </c>
      <c r="AD258">
        <v>108506</v>
      </c>
      <c r="AE258">
        <v>109281</v>
      </c>
      <c r="AF258">
        <v>110001</v>
      </c>
      <c r="AG258">
        <v>110658</v>
      </c>
      <c r="AH258">
        <v>111272</v>
      </c>
      <c r="AI258">
        <v>111812</v>
      </c>
      <c r="AJ258">
        <v>112222</v>
      </c>
      <c r="AK258">
        <v>112509</v>
      </c>
      <c r="AL258">
        <v>112735</v>
      </c>
      <c r="AM258">
        <v>112918</v>
      </c>
      <c r="AN258">
        <v>113047</v>
      </c>
      <c r="AO258">
        <v>113119</v>
      </c>
      <c r="AP258">
        <v>113141</v>
      </c>
      <c r="AQ258">
        <v>113180</v>
      </c>
      <c r="AR258">
        <v>113366</v>
      </c>
      <c r="AS258">
        <v>113545</v>
      </c>
      <c r="AT258">
        <v>113501</v>
      </c>
      <c r="AU258">
        <v>113347</v>
      </c>
      <c r="AV258">
        <v>113141</v>
      </c>
      <c r="AW258">
        <v>112835</v>
      </c>
      <c r="AX258">
        <v>112450</v>
      </c>
      <c r="AY258">
        <v>112014</v>
      </c>
      <c r="AZ258">
        <v>111531</v>
      </c>
      <c r="BA258">
        <v>111028</v>
      </c>
      <c r="BB258">
        <v>110508</v>
      </c>
      <c r="BC258">
        <v>109959</v>
      </c>
      <c r="BD258">
        <v>109349</v>
      </c>
      <c r="BE258">
        <v>108736</v>
      </c>
      <c r="BF258">
        <v>108135</v>
      </c>
      <c r="BG258">
        <v>107535</v>
      </c>
      <c r="BH258">
        <v>106960</v>
      </c>
      <c r="BI258">
        <v>106349</v>
      </c>
      <c r="BJ258">
        <v>105663</v>
      </c>
      <c r="BK258">
        <v>104926</v>
      </c>
      <c r="BL258">
        <v>104167</v>
      </c>
      <c r="BM258">
        <v>103526</v>
      </c>
      <c r="BN258">
        <v>102841</v>
      </c>
      <c r="BO258">
        <v>102046</v>
      </c>
      <c r="BP258">
        <v>101323</v>
      </c>
      <c r="BQ258">
        <v>100616</v>
      </c>
      <c r="BR258">
        <v>99924</v>
      </c>
    </row>
    <row r="259" spans="1:70" x14ac:dyDescent="0.35">
      <c r="A259" t="s">
        <v>780</v>
      </c>
      <c r="B259" t="s">
        <v>781</v>
      </c>
      <c r="C259" t="s">
        <v>295</v>
      </c>
      <c r="D259" t="s">
        <v>296</v>
      </c>
      <c r="E259">
        <v>8160090</v>
      </c>
      <c r="F259">
        <v>8455915</v>
      </c>
      <c r="G259">
        <v>8756870</v>
      </c>
      <c r="H259">
        <v>9064021</v>
      </c>
      <c r="I259">
        <v>9377712</v>
      </c>
      <c r="J259">
        <v>9697790</v>
      </c>
      <c r="K259">
        <v>10024854</v>
      </c>
      <c r="L259">
        <v>10358513</v>
      </c>
      <c r="M259">
        <v>10697530</v>
      </c>
      <c r="N259">
        <v>11040280</v>
      </c>
      <c r="O259">
        <v>11387790</v>
      </c>
      <c r="P259">
        <v>11741008</v>
      </c>
      <c r="Q259">
        <v>12099180</v>
      </c>
      <c r="R259">
        <v>12463537</v>
      </c>
      <c r="S259">
        <v>12835351</v>
      </c>
      <c r="T259">
        <v>13215892</v>
      </c>
      <c r="U259">
        <v>13606284</v>
      </c>
      <c r="V259">
        <v>14006812</v>
      </c>
      <c r="W259">
        <v>14416684</v>
      </c>
      <c r="X259">
        <v>14834552</v>
      </c>
      <c r="Y259">
        <v>15258218</v>
      </c>
      <c r="Z259">
        <v>15687297</v>
      </c>
      <c r="AA259">
        <v>16121874</v>
      </c>
      <c r="AB259">
        <v>16562205</v>
      </c>
      <c r="AC259">
        <v>17008841</v>
      </c>
      <c r="AD259">
        <v>17461434</v>
      </c>
      <c r="AE259">
        <v>17923536</v>
      </c>
      <c r="AF259">
        <v>18394963</v>
      </c>
      <c r="AG259">
        <v>18871020</v>
      </c>
      <c r="AH259">
        <v>19348921</v>
      </c>
      <c r="AI259">
        <v>19827010</v>
      </c>
      <c r="AJ259">
        <v>20304896</v>
      </c>
      <c r="AK259">
        <v>20780948</v>
      </c>
      <c r="AL259">
        <v>21254520</v>
      </c>
      <c r="AM259">
        <v>21725188</v>
      </c>
      <c r="AN259">
        <v>22193821</v>
      </c>
      <c r="AO259">
        <v>22662113</v>
      </c>
      <c r="AP259">
        <v>23131685</v>
      </c>
      <c r="AQ259">
        <v>23601337</v>
      </c>
      <c r="AR259">
        <v>24066593</v>
      </c>
      <c r="AS259">
        <v>24526708</v>
      </c>
      <c r="AT259">
        <v>24979922</v>
      </c>
      <c r="AU259">
        <v>25435671</v>
      </c>
      <c r="AV259">
        <v>25892703</v>
      </c>
      <c r="AW259">
        <v>26340838</v>
      </c>
      <c r="AX259">
        <v>26785804</v>
      </c>
      <c r="AY259">
        <v>27224686</v>
      </c>
      <c r="AZ259">
        <v>27649363</v>
      </c>
      <c r="BA259">
        <v>28053696</v>
      </c>
      <c r="BB259">
        <v>28438298</v>
      </c>
      <c r="BC259">
        <v>28813101</v>
      </c>
      <c r="BD259">
        <v>29185212</v>
      </c>
      <c r="BE259">
        <v>29553826</v>
      </c>
      <c r="BF259">
        <v>29912198</v>
      </c>
      <c r="BG259">
        <v>30254079</v>
      </c>
      <c r="BH259">
        <v>30573972</v>
      </c>
      <c r="BI259">
        <v>30765720</v>
      </c>
      <c r="BJ259">
        <v>30565323</v>
      </c>
      <c r="BK259">
        <v>29807592</v>
      </c>
      <c r="BL259">
        <v>28938098</v>
      </c>
      <c r="BM259">
        <v>28444077</v>
      </c>
      <c r="BN259">
        <v>28237826</v>
      </c>
      <c r="BO259">
        <v>28213017</v>
      </c>
      <c r="BP259">
        <v>28300854</v>
      </c>
      <c r="BQ259">
        <v>28405543</v>
      </c>
      <c r="BR259">
        <v>28516896</v>
      </c>
    </row>
    <row r="260" spans="1:70" x14ac:dyDescent="0.35">
      <c r="A260" t="s">
        <v>782</v>
      </c>
      <c r="B260" t="s">
        <v>783</v>
      </c>
      <c r="C260" t="s">
        <v>295</v>
      </c>
      <c r="D260" t="s">
        <v>296</v>
      </c>
      <c r="E260">
        <v>7950</v>
      </c>
      <c r="F260">
        <v>8034</v>
      </c>
      <c r="G260">
        <v>8070</v>
      </c>
      <c r="H260">
        <v>8114</v>
      </c>
      <c r="I260">
        <v>8168</v>
      </c>
      <c r="J260">
        <v>8257</v>
      </c>
      <c r="K260">
        <v>8413</v>
      </c>
      <c r="L260">
        <v>8646</v>
      </c>
      <c r="M260">
        <v>9000</v>
      </c>
      <c r="N260">
        <v>9533</v>
      </c>
      <c r="O260">
        <v>9933</v>
      </c>
      <c r="P260">
        <v>10095</v>
      </c>
      <c r="Q260">
        <v>10235</v>
      </c>
      <c r="R260">
        <v>10367</v>
      </c>
      <c r="S260">
        <v>10494</v>
      </c>
      <c r="T260">
        <v>10606</v>
      </c>
      <c r="U260">
        <v>10709</v>
      </c>
      <c r="V260">
        <v>10800</v>
      </c>
      <c r="W260">
        <v>10886</v>
      </c>
      <c r="X260">
        <v>10965</v>
      </c>
      <c r="Y260">
        <v>11130</v>
      </c>
      <c r="Z260">
        <v>11479</v>
      </c>
      <c r="AA260">
        <v>11921</v>
      </c>
      <c r="AB260">
        <v>12370</v>
      </c>
      <c r="AC260">
        <v>12820</v>
      </c>
      <c r="AD260">
        <v>13269</v>
      </c>
      <c r="AE260">
        <v>13726</v>
      </c>
      <c r="AF260">
        <v>14194</v>
      </c>
      <c r="AG260">
        <v>14680</v>
      </c>
      <c r="AH260">
        <v>15180</v>
      </c>
      <c r="AI260">
        <v>15704</v>
      </c>
      <c r="AJ260">
        <v>16187</v>
      </c>
      <c r="AK260">
        <v>16593</v>
      </c>
      <c r="AL260">
        <v>16989</v>
      </c>
      <c r="AM260">
        <v>17406</v>
      </c>
      <c r="AN260">
        <v>17840</v>
      </c>
      <c r="AO260">
        <v>18287</v>
      </c>
      <c r="AP260">
        <v>18756</v>
      </c>
      <c r="AQ260">
        <v>19238</v>
      </c>
      <c r="AR260">
        <v>19730</v>
      </c>
      <c r="AS260">
        <v>20241</v>
      </c>
      <c r="AT260">
        <v>20796</v>
      </c>
      <c r="AU260">
        <v>21430</v>
      </c>
      <c r="AV260">
        <v>22134</v>
      </c>
      <c r="AW260">
        <v>22881</v>
      </c>
      <c r="AX260">
        <v>23665</v>
      </c>
      <c r="AY260">
        <v>24493</v>
      </c>
      <c r="AZ260">
        <v>25366</v>
      </c>
      <c r="BA260">
        <v>26288</v>
      </c>
      <c r="BB260">
        <v>27218</v>
      </c>
      <c r="BC260">
        <v>27675</v>
      </c>
      <c r="BD260">
        <v>28710</v>
      </c>
      <c r="BE260">
        <v>30345</v>
      </c>
      <c r="BF260">
        <v>31703</v>
      </c>
      <c r="BG260">
        <v>32962</v>
      </c>
      <c r="BH260">
        <v>34498</v>
      </c>
      <c r="BI260">
        <v>33878</v>
      </c>
      <c r="BJ260">
        <v>32699</v>
      </c>
      <c r="BK260">
        <v>34657</v>
      </c>
      <c r="BL260">
        <v>36395</v>
      </c>
      <c r="BM260">
        <v>37135</v>
      </c>
      <c r="BN260">
        <v>37809</v>
      </c>
      <c r="BO260">
        <v>38319</v>
      </c>
      <c r="BP260">
        <v>38985</v>
      </c>
      <c r="BQ260">
        <v>39471</v>
      </c>
      <c r="BR260">
        <v>39732</v>
      </c>
    </row>
    <row r="261" spans="1:70" x14ac:dyDescent="0.35">
      <c r="A261" t="s">
        <v>784</v>
      </c>
      <c r="B261" t="s">
        <v>785</v>
      </c>
      <c r="C261" t="s">
        <v>295</v>
      </c>
      <c r="D261" t="s">
        <v>296</v>
      </c>
      <c r="E261">
        <v>32500</v>
      </c>
      <c r="F261">
        <v>34300</v>
      </c>
      <c r="G261">
        <v>35000</v>
      </c>
      <c r="H261">
        <v>39800</v>
      </c>
      <c r="I261">
        <v>40800</v>
      </c>
      <c r="J261">
        <v>43500</v>
      </c>
      <c r="K261">
        <v>46200</v>
      </c>
      <c r="L261">
        <v>49100</v>
      </c>
      <c r="M261">
        <v>55700</v>
      </c>
      <c r="N261">
        <v>60300</v>
      </c>
      <c r="O261">
        <v>63476</v>
      </c>
      <c r="P261">
        <v>70937</v>
      </c>
      <c r="Q261">
        <v>76319</v>
      </c>
      <c r="R261">
        <v>84121</v>
      </c>
      <c r="S261">
        <v>89941</v>
      </c>
      <c r="T261">
        <v>94484</v>
      </c>
      <c r="U261">
        <v>96166</v>
      </c>
      <c r="V261">
        <v>93203</v>
      </c>
      <c r="W261">
        <v>95929</v>
      </c>
      <c r="X261">
        <v>96183</v>
      </c>
      <c r="Y261">
        <v>99636</v>
      </c>
      <c r="Z261">
        <v>99853</v>
      </c>
      <c r="AA261">
        <v>100068</v>
      </c>
      <c r="AB261">
        <v>100348</v>
      </c>
      <c r="AC261">
        <v>100600</v>
      </c>
      <c r="AD261">
        <v>100760</v>
      </c>
      <c r="AE261">
        <v>100842</v>
      </c>
      <c r="AF261">
        <v>100901</v>
      </c>
      <c r="AG261">
        <v>100952</v>
      </c>
      <c r="AH261">
        <v>101041</v>
      </c>
      <c r="AI261">
        <v>103963</v>
      </c>
      <c r="AJ261">
        <v>104807</v>
      </c>
      <c r="AK261">
        <v>105712</v>
      </c>
      <c r="AL261">
        <v>106578</v>
      </c>
      <c r="AM261">
        <v>107318</v>
      </c>
      <c r="AN261">
        <v>107818</v>
      </c>
      <c r="AO261">
        <v>108095</v>
      </c>
      <c r="AP261">
        <v>108357</v>
      </c>
      <c r="AQ261">
        <v>108537</v>
      </c>
      <c r="AR261">
        <v>108599</v>
      </c>
      <c r="AS261">
        <v>108642</v>
      </c>
      <c r="AT261">
        <v>108549</v>
      </c>
      <c r="AU261">
        <v>108509</v>
      </c>
      <c r="AV261">
        <v>108505</v>
      </c>
      <c r="AW261">
        <v>108466</v>
      </c>
      <c r="AX261">
        <v>108453</v>
      </c>
      <c r="AY261">
        <v>108369</v>
      </c>
      <c r="AZ261">
        <v>108337</v>
      </c>
      <c r="BA261">
        <v>108397</v>
      </c>
      <c r="BB261">
        <v>108404</v>
      </c>
      <c r="BC261">
        <v>108357</v>
      </c>
      <c r="BD261">
        <v>108290</v>
      </c>
      <c r="BE261">
        <v>108188</v>
      </c>
      <c r="BF261">
        <v>108041</v>
      </c>
      <c r="BG261">
        <v>107882</v>
      </c>
      <c r="BH261">
        <v>107712</v>
      </c>
      <c r="BI261">
        <v>107516</v>
      </c>
      <c r="BJ261">
        <v>107281</v>
      </c>
      <c r="BK261">
        <v>107001</v>
      </c>
      <c r="BL261">
        <v>106669</v>
      </c>
      <c r="BM261">
        <v>106290</v>
      </c>
      <c r="BN261">
        <v>105870</v>
      </c>
      <c r="BO261">
        <v>105413</v>
      </c>
      <c r="BP261">
        <v>104917</v>
      </c>
      <c r="BQ261">
        <v>104377</v>
      </c>
      <c r="BR261">
        <v>103792</v>
      </c>
    </row>
    <row r="262" spans="1:70" x14ac:dyDescent="0.35">
      <c r="A262" t="s">
        <v>786</v>
      </c>
      <c r="B262" t="s">
        <v>787</v>
      </c>
      <c r="C262" t="s">
        <v>295</v>
      </c>
      <c r="D262" t="s">
        <v>296</v>
      </c>
      <c r="E262">
        <v>32531933</v>
      </c>
      <c r="F262">
        <v>33409059</v>
      </c>
      <c r="G262">
        <v>34288560</v>
      </c>
      <c r="H262">
        <v>35249101</v>
      </c>
      <c r="I262">
        <v>36201563</v>
      </c>
      <c r="J262">
        <v>37129656</v>
      </c>
      <c r="K262">
        <v>38024836</v>
      </c>
      <c r="L262">
        <v>38895080</v>
      </c>
      <c r="M262">
        <v>39734609</v>
      </c>
      <c r="N262">
        <v>40582096</v>
      </c>
      <c r="O262">
        <v>41475230</v>
      </c>
      <c r="P262">
        <v>42449276</v>
      </c>
      <c r="Q262">
        <v>43429168</v>
      </c>
      <c r="R262">
        <v>44409861</v>
      </c>
      <c r="S262">
        <v>45413537</v>
      </c>
      <c r="T262">
        <v>46482903</v>
      </c>
      <c r="U262">
        <v>47684931</v>
      </c>
      <c r="V262">
        <v>48954872</v>
      </c>
      <c r="W262">
        <v>50249552</v>
      </c>
      <c r="X262">
        <v>51378211</v>
      </c>
      <c r="Y262">
        <v>52490101</v>
      </c>
      <c r="Z262">
        <v>53738141</v>
      </c>
      <c r="AA262">
        <v>55011289</v>
      </c>
      <c r="AB262">
        <v>56337921</v>
      </c>
      <c r="AC262">
        <v>57706067</v>
      </c>
      <c r="AD262">
        <v>59060622</v>
      </c>
      <c r="AE262">
        <v>60347048</v>
      </c>
      <c r="AF262">
        <v>61584651</v>
      </c>
      <c r="AG262">
        <v>62843228</v>
      </c>
      <c r="AH262">
        <v>64147348</v>
      </c>
      <c r="AI262">
        <v>65504552</v>
      </c>
      <c r="AJ262">
        <v>66891775</v>
      </c>
      <c r="AK262">
        <v>68260337</v>
      </c>
      <c r="AL262">
        <v>69586384</v>
      </c>
      <c r="AM262">
        <v>70854391</v>
      </c>
      <c r="AN262">
        <v>72049940</v>
      </c>
      <c r="AO262">
        <v>73156447</v>
      </c>
      <c r="AP262">
        <v>74226889</v>
      </c>
      <c r="AQ262">
        <v>75299660</v>
      </c>
      <c r="AR262">
        <v>76287452</v>
      </c>
      <c r="AS262">
        <v>77154011</v>
      </c>
      <c r="AT262">
        <v>77969361</v>
      </c>
      <c r="AU262">
        <v>78772224</v>
      </c>
      <c r="AV262">
        <v>79563777</v>
      </c>
      <c r="AW262">
        <v>80338971</v>
      </c>
      <c r="AX262">
        <v>81088313</v>
      </c>
      <c r="AY262">
        <v>82167897</v>
      </c>
      <c r="AZ262">
        <v>83633375</v>
      </c>
      <c r="BA262">
        <v>85175788</v>
      </c>
      <c r="BB262">
        <v>86460018</v>
      </c>
      <c r="BC262">
        <v>87455152</v>
      </c>
      <c r="BD262">
        <v>88468314</v>
      </c>
      <c r="BE262">
        <v>89510356</v>
      </c>
      <c r="BF262">
        <v>90573104</v>
      </c>
      <c r="BG262">
        <v>91679578</v>
      </c>
      <c r="BH262">
        <v>92823254</v>
      </c>
      <c r="BI262">
        <v>94000117</v>
      </c>
      <c r="BJ262">
        <v>95176977</v>
      </c>
      <c r="BK262">
        <v>96237319</v>
      </c>
      <c r="BL262">
        <v>97173776</v>
      </c>
      <c r="BM262">
        <v>98079191</v>
      </c>
      <c r="BN262">
        <v>98935098</v>
      </c>
      <c r="BO262">
        <v>99680655</v>
      </c>
      <c r="BP262">
        <v>100352192</v>
      </c>
      <c r="BQ262">
        <v>100987686</v>
      </c>
      <c r="BR262">
        <v>101598527</v>
      </c>
    </row>
    <row r="263" spans="1:70" x14ac:dyDescent="0.35">
      <c r="A263" t="s">
        <v>788</v>
      </c>
      <c r="B263" t="s">
        <v>789</v>
      </c>
      <c r="C263" t="s">
        <v>295</v>
      </c>
      <c r="D263" t="s">
        <v>296</v>
      </c>
      <c r="E263">
        <v>64431</v>
      </c>
      <c r="F263">
        <v>66264</v>
      </c>
      <c r="G263">
        <v>68174</v>
      </c>
      <c r="H263">
        <v>70159</v>
      </c>
      <c r="I263">
        <v>72219</v>
      </c>
      <c r="J263">
        <v>74358</v>
      </c>
      <c r="K263">
        <v>76590</v>
      </c>
      <c r="L263">
        <v>78921</v>
      </c>
      <c r="M263">
        <v>81314</v>
      </c>
      <c r="N263">
        <v>83755</v>
      </c>
      <c r="O263">
        <v>86266</v>
      </c>
      <c r="P263">
        <v>88862</v>
      </c>
      <c r="Q263">
        <v>91562</v>
      </c>
      <c r="R263">
        <v>94362</v>
      </c>
      <c r="S263">
        <v>97260</v>
      </c>
      <c r="T263">
        <v>100269</v>
      </c>
      <c r="U263">
        <v>103388</v>
      </c>
      <c r="V263">
        <v>106618</v>
      </c>
      <c r="W263">
        <v>109963</v>
      </c>
      <c r="X263">
        <v>113040</v>
      </c>
      <c r="Y263">
        <v>115660</v>
      </c>
      <c r="Z263">
        <v>118249</v>
      </c>
      <c r="AA263">
        <v>121035</v>
      </c>
      <c r="AB263">
        <v>123998</v>
      </c>
      <c r="AC263">
        <v>127109</v>
      </c>
      <c r="AD263">
        <v>130356</v>
      </c>
      <c r="AE263">
        <v>133720</v>
      </c>
      <c r="AF263">
        <v>137187</v>
      </c>
      <c r="AG263">
        <v>140756</v>
      </c>
      <c r="AH263">
        <v>144393</v>
      </c>
      <c r="AI263">
        <v>148063</v>
      </c>
      <c r="AJ263">
        <v>151793</v>
      </c>
      <c r="AK263">
        <v>155608</v>
      </c>
      <c r="AL263">
        <v>159463</v>
      </c>
      <c r="AM263">
        <v>163314</v>
      </c>
      <c r="AN263">
        <v>167137</v>
      </c>
      <c r="AO263">
        <v>170911</v>
      </c>
      <c r="AP263">
        <v>174626</v>
      </c>
      <c r="AQ263">
        <v>178313</v>
      </c>
      <c r="AR263">
        <v>182048</v>
      </c>
      <c r="AS263">
        <v>186281</v>
      </c>
      <c r="AT263">
        <v>191031</v>
      </c>
      <c r="AU263">
        <v>195863</v>
      </c>
      <c r="AV263">
        <v>200746</v>
      </c>
      <c r="AW263">
        <v>205711</v>
      </c>
      <c r="AX263">
        <v>210760</v>
      </c>
      <c r="AY263">
        <v>215923</v>
      </c>
      <c r="AZ263">
        <v>221276</v>
      </c>
      <c r="BA263">
        <v>226896</v>
      </c>
      <c r="BB263">
        <v>232731</v>
      </c>
      <c r="BC263">
        <v>238248</v>
      </c>
      <c r="BD263">
        <v>243474</v>
      </c>
      <c r="BE263">
        <v>248883</v>
      </c>
      <c r="BF263">
        <v>254482</v>
      </c>
      <c r="BG263">
        <v>260240</v>
      </c>
      <c r="BH263">
        <v>266101</v>
      </c>
      <c r="BI263">
        <v>272087</v>
      </c>
      <c r="BJ263">
        <v>278507</v>
      </c>
      <c r="BK263">
        <v>285259</v>
      </c>
      <c r="BL263">
        <v>291985</v>
      </c>
      <c r="BM263">
        <v>298858</v>
      </c>
      <c r="BN263">
        <v>305868</v>
      </c>
      <c r="BO263">
        <v>313046</v>
      </c>
      <c r="BP263">
        <v>320409</v>
      </c>
      <c r="BQ263">
        <v>327777</v>
      </c>
      <c r="BR263">
        <v>335169</v>
      </c>
    </row>
    <row r="264" spans="1:70" x14ac:dyDescent="0.35">
      <c r="A264" t="s">
        <v>790</v>
      </c>
      <c r="B264" t="s">
        <v>791</v>
      </c>
      <c r="C264" t="s">
        <v>295</v>
      </c>
      <c r="D264" t="s">
        <v>296</v>
      </c>
      <c r="E264">
        <v>3021512598</v>
      </c>
      <c r="F264">
        <v>3062768116</v>
      </c>
      <c r="G264">
        <v>3117372187</v>
      </c>
      <c r="H264">
        <v>3184063049</v>
      </c>
      <c r="I264">
        <v>3251249170</v>
      </c>
      <c r="J264">
        <v>3318979339</v>
      </c>
      <c r="K264">
        <v>3389042165</v>
      </c>
      <c r="L264">
        <v>3458932230</v>
      </c>
      <c r="M264">
        <v>3530576858</v>
      </c>
      <c r="N264">
        <v>3604694154</v>
      </c>
      <c r="O264">
        <v>3680493750</v>
      </c>
      <c r="P264">
        <v>3758515396</v>
      </c>
      <c r="Q264">
        <v>3834345191</v>
      </c>
      <c r="R264">
        <v>3910964219</v>
      </c>
      <c r="S264">
        <v>3987186772</v>
      </c>
      <c r="T264">
        <v>4061959945</v>
      </c>
      <c r="U264">
        <v>4135644231</v>
      </c>
      <c r="V264">
        <v>4208840894</v>
      </c>
      <c r="W264">
        <v>4283309396</v>
      </c>
      <c r="X264">
        <v>4359930896</v>
      </c>
      <c r="Y264">
        <v>4437473406</v>
      </c>
      <c r="Z264">
        <v>4516792587</v>
      </c>
      <c r="AA264">
        <v>4599385851</v>
      </c>
      <c r="AB264">
        <v>4682734714</v>
      </c>
      <c r="AC264">
        <v>4765813206</v>
      </c>
      <c r="AD264">
        <v>4850494238</v>
      </c>
      <c r="AE264">
        <v>4937459951</v>
      </c>
      <c r="AF264">
        <v>5026770385</v>
      </c>
      <c r="AG264">
        <v>5116898810</v>
      </c>
      <c r="AH264">
        <v>5207378374</v>
      </c>
      <c r="AI264">
        <v>5298962018</v>
      </c>
      <c r="AJ264">
        <v>5388203305</v>
      </c>
      <c r="AK264">
        <v>5476822930</v>
      </c>
      <c r="AL264">
        <v>5564459142</v>
      </c>
      <c r="AM264">
        <v>5650534421</v>
      </c>
      <c r="AN264">
        <v>5736205135</v>
      </c>
      <c r="AO264">
        <v>5822327903</v>
      </c>
      <c r="AP264">
        <v>5908180322</v>
      </c>
      <c r="AQ264">
        <v>5993730786</v>
      </c>
      <c r="AR264">
        <v>6078069822</v>
      </c>
      <c r="AS264">
        <v>6161528496</v>
      </c>
      <c r="AT264">
        <v>6244739668</v>
      </c>
      <c r="AU264">
        <v>6327171255</v>
      </c>
      <c r="AV264">
        <v>6409352386</v>
      </c>
      <c r="AW264">
        <v>6492354627</v>
      </c>
      <c r="AX264">
        <v>6575410029</v>
      </c>
      <c r="AY264">
        <v>6659536021</v>
      </c>
      <c r="AZ264">
        <v>6744049498</v>
      </c>
      <c r="BA264">
        <v>6830080867</v>
      </c>
      <c r="BB264">
        <v>6916168196</v>
      </c>
      <c r="BC264">
        <v>7000860073</v>
      </c>
      <c r="BD264">
        <v>7086704141</v>
      </c>
      <c r="BE264">
        <v>7176482165</v>
      </c>
      <c r="BF264">
        <v>7265404737</v>
      </c>
      <c r="BG264">
        <v>7353532223</v>
      </c>
      <c r="BH264">
        <v>7441084771</v>
      </c>
      <c r="BI264">
        <v>7528221579</v>
      </c>
      <c r="BJ264">
        <v>7613788655</v>
      </c>
      <c r="BK264">
        <v>7696159728</v>
      </c>
      <c r="BL264">
        <v>7777162476</v>
      </c>
      <c r="BM264">
        <v>7853863139</v>
      </c>
      <c r="BN264">
        <v>7919567995</v>
      </c>
      <c r="BO264">
        <v>7988550201</v>
      </c>
      <c r="BP264">
        <v>8062923417</v>
      </c>
      <c r="BQ264">
        <v>8140897523</v>
      </c>
      <c r="BR264">
        <v>8215424893</v>
      </c>
    </row>
    <row r="265" spans="1:70" x14ac:dyDescent="0.35">
      <c r="A265" t="s">
        <v>792</v>
      </c>
      <c r="B265" t="s">
        <v>793</v>
      </c>
      <c r="C265" t="s">
        <v>295</v>
      </c>
      <c r="D265" t="s">
        <v>296</v>
      </c>
      <c r="E265">
        <v>112490</v>
      </c>
      <c r="F265">
        <v>115496</v>
      </c>
      <c r="G265">
        <v>118597</v>
      </c>
      <c r="H265">
        <v>121764</v>
      </c>
      <c r="I265">
        <v>124894</v>
      </c>
      <c r="J265">
        <v>127978</v>
      </c>
      <c r="K265">
        <v>131073</v>
      </c>
      <c r="L265">
        <v>133764</v>
      </c>
      <c r="M265">
        <v>136020</v>
      </c>
      <c r="N265">
        <v>138233</v>
      </c>
      <c r="O265">
        <v>140400</v>
      </c>
      <c r="P265">
        <v>142503</v>
      </c>
      <c r="Q265">
        <v>144538</v>
      </c>
      <c r="R265">
        <v>146516</v>
      </c>
      <c r="S265">
        <v>149431</v>
      </c>
      <c r="T265">
        <v>153344</v>
      </c>
      <c r="U265">
        <v>157113</v>
      </c>
      <c r="V265">
        <v>159753</v>
      </c>
      <c r="W265">
        <v>161375</v>
      </c>
      <c r="X265">
        <v>162882</v>
      </c>
      <c r="Y265">
        <v>164322</v>
      </c>
      <c r="Z265">
        <v>165678</v>
      </c>
      <c r="AA265">
        <v>166484</v>
      </c>
      <c r="AB265">
        <v>166714</v>
      </c>
      <c r="AC265">
        <v>166796</v>
      </c>
      <c r="AD265">
        <v>166849</v>
      </c>
      <c r="AE265">
        <v>167061</v>
      </c>
      <c r="AF265">
        <v>167661</v>
      </c>
      <c r="AG265">
        <v>168346</v>
      </c>
      <c r="AH265">
        <v>168768</v>
      </c>
      <c r="AI265">
        <v>169042</v>
      </c>
      <c r="AJ265">
        <v>169368</v>
      </c>
      <c r="AK265">
        <v>170331</v>
      </c>
      <c r="AL265">
        <v>171774</v>
      </c>
      <c r="AM265">
        <v>173159</v>
      </c>
      <c r="AN265">
        <v>174571</v>
      </c>
      <c r="AO265">
        <v>176071</v>
      </c>
      <c r="AP265">
        <v>177547</v>
      </c>
      <c r="AQ265">
        <v>178905</v>
      </c>
      <c r="AR265">
        <v>180275</v>
      </c>
      <c r="AS265">
        <v>181685</v>
      </c>
      <c r="AT265">
        <v>183166</v>
      </c>
      <c r="AU265">
        <v>184471</v>
      </c>
      <c r="AV265">
        <v>185430</v>
      </c>
      <c r="AW265">
        <v>186249</v>
      </c>
      <c r="AX265">
        <v>186978</v>
      </c>
      <c r="AY265">
        <v>187709</v>
      </c>
      <c r="AZ265">
        <v>188753</v>
      </c>
      <c r="BA265">
        <v>190107</v>
      </c>
      <c r="BB265">
        <v>191513</v>
      </c>
      <c r="BC265">
        <v>193023</v>
      </c>
      <c r="BD265">
        <v>194713</v>
      </c>
      <c r="BE265">
        <v>196498</v>
      </c>
      <c r="BF265">
        <v>198268</v>
      </c>
      <c r="BG265">
        <v>200037</v>
      </c>
      <c r="BH265">
        <v>201782</v>
      </c>
      <c r="BI265">
        <v>203499</v>
      </c>
      <c r="BJ265">
        <v>205415</v>
      </c>
      <c r="BK265">
        <v>207582</v>
      </c>
      <c r="BL265">
        <v>209780</v>
      </c>
      <c r="BM265">
        <v>211944</v>
      </c>
      <c r="BN265">
        <v>213779</v>
      </c>
      <c r="BO265">
        <v>215261</v>
      </c>
      <c r="BP265">
        <v>216663</v>
      </c>
      <c r="BQ265">
        <v>218019</v>
      </c>
      <c r="BR265">
        <v>219306</v>
      </c>
    </row>
    <row r="266" spans="1:70" x14ac:dyDescent="0.35">
      <c r="A266" t="s">
        <v>794</v>
      </c>
      <c r="B266" t="s">
        <v>795</v>
      </c>
      <c r="C266" t="s">
        <v>295</v>
      </c>
      <c r="D266" t="s">
        <v>296</v>
      </c>
      <c r="E266">
        <v>984846</v>
      </c>
      <c r="F266">
        <v>1011421</v>
      </c>
      <c r="G266">
        <v>1036950</v>
      </c>
      <c r="H266">
        <v>1062737</v>
      </c>
      <c r="I266">
        <v>1090270</v>
      </c>
      <c r="J266">
        <v>1120168</v>
      </c>
      <c r="K266">
        <v>1152586</v>
      </c>
      <c r="L266">
        <v>1187667</v>
      </c>
      <c r="M266">
        <v>1214208</v>
      </c>
      <c r="N266">
        <v>1231460</v>
      </c>
      <c r="O266">
        <v>1249555</v>
      </c>
      <c r="P266">
        <v>1273021</v>
      </c>
      <c r="Q266">
        <v>1301579</v>
      </c>
      <c r="R266">
        <v>1331176</v>
      </c>
      <c r="S266">
        <v>1363123</v>
      </c>
      <c r="T266">
        <v>1397686</v>
      </c>
      <c r="U266">
        <v>1434880</v>
      </c>
      <c r="V266">
        <v>1474457</v>
      </c>
      <c r="W266">
        <v>1516249</v>
      </c>
      <c r="X266">
        <v>1559787</v>
      </c>
      <c r="Y266">
        <v>1604818</v>
      </c>
      <c r="Z266">
        <v>1646565</v>
      </c>
      <c r="AA266">
        <v>1683166</v>
      </c>
      <c r="AB266">
        <v>1719245</v>
      </c>
      <c r="AC266">
        <v>1756818</v>
      </c>
      <c r="AD266">
        <v>1796018</v>
      </c>
      <c r="AE266">
        <v>1836972</v>
      </c>
      <c r="AF266">
        <v>1880590</v>
      </c>
      <c r="AG266">
        <v>1917882</v>
      </c>
      <c r="AH266">
        <v>1946339</v>
      </c>
      <c r="AI266">
        <v>1973790</v>
      </c>
      <c r="AJ266">
        <v>2005362</v>
      </c>
      <c r="AK266">
        <v>2039723</v>
      </c>
      <c r="AL266">
        <v>2072664</v>
      </c>
      <c r="AM266">
        <v>2105256</v>
      </c>
      <c r="AN266">
        <v>2137514</v>
      </c>
      <c r="AO266">
        <v>2168753</v>
      </c>
      <c r="AP266">
        <v>2197284</v>
      </c>
      <c r="AQ266">
        <v>2078964</v>
      </c>
      <c r="AR266">
        <v>1871524</v>
      </c>
      <c r="AS266">
        <v>1802493</v>
      </c>
      <c r="AT266">
        <v>1820009</v>
      </c>
      <c r="AU266">
        <v>1829462</v>
      </c>
      <c r="AV266">
        <v>1826434</v>
      </c>
      <c r="AW266">
        <v>1822773</v>
      </c>
      <c r="AX266">
        <v>1818354</v>
      </c>
      <c r="AY266">
        <v>1813079</v>
      </c>
      <c r="AZ266">
        <v>1807094</v>
      </c>
      <c r="BA266">
        <v>1800858</v>
      </c>
      <c r="BB266">
        <v>1794681</v>
      </c>
      <c r="BC266">
        <v>1788743</v>
      </c>
      <c r="BD266">
        <v>1791949</v>
      </c>
      <c r="BE266">
        <v>1807126</v>
      </c>
      <c r="BF266">
        <v>1818119</v>
      </c>
      <c r="BG266">
        <v>1812788</v>
      </c>
      <c r="BH266">
        <v>1788274</v>
      </c>
      <c r="BI266">
        <v>1777568</v>
      </c>
      <c r="BJ266">
        <v>1791019</v>
      </c>
      <c r="BK266">
        <v>1797086</v>
      </c>
      <c r="BL266">
        <v>1788891</v>
      </c>
      <c r="BM266">
        <v>1790151</v>
      </c>
      <c r="BN266">
        <v>1786079</v>
      </c>
      <c r="BO266">
        <v>1768096</v>
      </c>
      <c r="BP266">
        <v>1682668</v>
      </c>
      <c r="BQ266">
        <v>1594353</v>
      </c>
      <c r="BR266">
        <v>1576876</v>
      </c>
    </row>
    <row r="267" spans="1:70" x14ac:dyDescent="0.35">
      <c r="A267" t="s">
        <v>796</v>
      </c>
      <c r="B267" t="s">
        <v>797</v>
      </c>
      <c r="C267" t="s">
        <v>295</v>
      </c>
      <c r="D267" t="s">
        <v>296</v>
      </c>
      <c r="E267">
        <v>5532301</v>
      </c>
      <c r="F267">
        <v>5655232</v>
      </c>
      <c r="G267">
        <v>5782221</v>
      </c>
      <c r="H267">
        <v>5911135</v>
      </c>
      <c r="I267">
        <v>6048006</v>
      </c>
      <c r="J267">
        <v>6195593</v>
      </c>
      <c r="K267">
        <v>6351494</v>
      </c>
      <c r="L267">
        <v>6516444</v>
      </c>
      <c r="M267">
        <v>6690524</v>
      </c>
      <c r="N267">
        <v>6875859</v>
      </c>
      <c r="O267">
        <v>7065279</v>
      </c>
      <c r="P267">
        <v>7257462</v>
      </c>
      <c r="Q267">
        <v>7460068</v>
      </c>
      <c r="R267">
        <v>7672796</v>
      </c>
      <c r="S267">
        <v>7896783</v>
      </c>
      <c r="T267">
        <v>8133598</v>
      </c>
      <c r="U267">
        <v>8384113</v>
      </c>
      <c r="V267">
        <v>8648222</v>
      </c>
      <c r="W267">
        <v>8926586</v>
      </c>
      <c r="X267">
        <v>9224194</v>
      </c>
      <c r="Y267">
        <v>9543358</v>
      </c>
      <c r="Z267">
        <v>9882362</v>
      </c>
      <c r="AA267">
        <v>10241006</v>
      </c>
      <c r="AB267">
        <v>10621499</v>
      </c>
      <c r="AC267">
        <v>11025597</v>
      </c>
      <c r="AD267">
        <v>11453825</v>
      </c>
      <c r="AE267">
        <v>11901040</v>
      </c>
      <c r="AF267">
        <v>12369912</v>
      </c>
      <c r="AG267">
        <v>12859708</v>
      </c>
      <c r="AH267">
        <v>13364174</v>
      </c>
      <c r="AI267">
        <v>13887862</v>
      </c>
      <c r="AJ267">
        <v>14430201</v>
      </c>
      <c r="AK267">
        <v>14989494</v>
      </c>
      <c r="AL267">
        <v>15563914</v>
      </c>
      <c r="AM267">
        <v>16149147</v>
      </c>
      <c r="AN267">
        <v>16740058</v>
      </c>
      <c r="AO267">
        <v>17313177</v>
      </c>
      <c r="AP267">
        <v>17873936</v>
      </c>
      <c r="AQ267">
        <v>18446013</v>
      </c>
      <c r="AR267">
        <v>19029420</v>
      </c>
      <c r="AS267">
        <v>19624141</v>
      </c>
      <c r="AT267">
        <v>20226147</v>
      </c>
      <c r="AU267">
        <v>20835086</v>
      </c>
      <c r="AV267">
        <v>21456379</v>
      </c>
      <c r="AW267">
        <v>22095167</v>
      </c>
      <c r="AX267">
        <v>22790085</v>
      </c>
      <c r="AY267">
        <v>23543083</v>
      </c>
      <c r="AZ267">
        <v>24318082</v>
      </c>
      <c r="BA267">
        <v>25111941</v>
      </c>
      <c r="BB267">
        <v>25927724</v>
      </c>
      <c r="BC267">
        <v>26754387</v>
      </c>
      <c r="BD267">
        <v>27582897</v>
      </c>
      <c r="BE267">
        <v>28433647</v>
      </c>
      <c r="BF267">
        <v>29312952</v>
      </c>
      <c r="BG267">
        <v>30226309</v>
      </c>
      <c r="BH267">
        <v>31159379</v>
      </c>
      <c r="BI267">
        <v>32109010</v>
      </c>
      <c r="BJ267">
        <v>33090921</v>
      </c>
      <c r="BK267">
        <v>34085182</v>
      </c>
      <c r="BL267">
        <v>35111408</v>
      </c>
      <c r="BM267">
        <v>36134863</v>
      </c>
      <c r="BN267">
        <v>37140230</v>
      </c>
      <c r="BO267">
        <v>38222876</v>
      </c>
      <c r="BP267">
        <v>39390799</v>
      </c>
      <c r="BQ267">
        <v>40583164</v>
      </c>
      <c r="BR267">
        <v>41773878</v>
      </c>
    </row>
    <row r="268" spans="1:70" x14ac:dyDescent="0.35">
      <c r="A268" t="s">
        <v>798</v>
      </c>
      <c r="B268" t="s">
        <v>799</v>
      </c>
      <c r="C268" t="s">
        <v>295</v>
      </c>
      <c r="D268" t="s">
        <v>296</v>
      </c>
      <c r="E268">
        <v>16440172</v>
      </c>
      <c r="F268">
        <v>16908035</v>
      </c>
      <c r="G268">
        <v>17418522</v>
      </c>
      <c r="H268">
        <v>17954564</v>
      </c>
      <c r="I268">
        <v>18511361</v>
      </c>
      <c r="J268">
        <v>19089380</v>
      </c>
      <c r="K268">
        <v>19690087</v>
      </c>
      <c r="L268">
        <v>20314066</v>
      </c>
      <c r="M268">
        <v>20957287</v>
      </c>
      <c r="N268">
        <v>21614676</v>
      </c>
      <c r="O268">
        <v>22279984</v>
      </c>
      <c r="P268">
        <v>22942143</v>
      </c>
      <c r="Q268">
        <v>23609456</v>
      </c>
      <c r="R268">
        <v>24294263</v>
      </c>
      <c r="S268">
        <v>24989108</v>
      </c>
      <c r="T268">
        <v>25690940</v>
      </c>
      <c r="U268">
        <v>26395450</v>
      </c>
      <c r="V268">
        <v>27118952</v>
      </c>
      <c r="W268">
        <v>27869507</v>
      </c>
      <c r="X268">
        <v>28634162</v>
      </c>
      <c r="Y268">
        <v>29518857</v>
      </c>
      <c r="Z268">
        <v>30541044</v>
      </c>
      <c r="AA268">
        <v>31615339</v>
      </c>
      <c r="AB268">
        <v>32739304</v>
      </c>
      <c r="AC268">
        <v>33892788</v>
      </c>
      <c r="AD268">
        <v>35042093</v>
      </c>
      <c r="AE268">
        <v>36180515</v>
      </c>
      <c r="AF268">
        <v>37326190</v>
      </c>
      <c r="AG268">
        <v>38480649</v>
      </c>
      <c r="AH268">
        <v>39628575</v>
      </c>
      <c r="AI268">
        <v>40746268</v>
      </c>
      <c r="AJ268">
        <v>41687898</v>
      </c>
      <c r="AK268">
        <v>42443509</v>
      </c>
      <c r="AL268">
        <v>43297156</v>
      </c>
      <c r="AM268">
        <v>44004139</v>
      </c>
      <c r="AN268">
        <v>44541554</v>
      </c>
      <c r="AO268">
        <v>45123018</v>
      </c>
      <c r="AP268">
        <v>45666838</v>
      </c>
      <c r="AQ268">
        <v>46223880</v>
      </c>
      <c r="AR268">
        <v>46730335</v>
      </c>
      <c r="AS268">
        <v>47159719</v>
      </c>
      <c r="AT268">
        <v>47566800</v>
      </c>
      <c r="AU268">
        <v>48019415</v>
      </c>
      <c r="AV268">
        <v>48500348</v>
      </c>
      <c r="AW268">
        <v>48991421</v>
      </c>
      <c r="AX268">
        <v>49490033</v>
      </c>
      <c r="AY268">
        <v>49998277</v>
      </c>
      <c r="AZ268">
        <v>50528584</v>
      </c>
      <c r="BA268">
        <v>51114599</v>
      </c>
      <c r="BB268">
        <v>51728516</v>
      </c>
      <c r="BC268">
        <v>52344051</v>
      </c>
      <c r="BD268">
        <v>52995205</v>
      </c>
      <c r="BE268">
        <v>53782567</v>
      </c>
      <c r="BF268">
        <v>54678791</v>
      </c>
      <c r="BG268">
        <v>55594838</v>
      </c>
      <c r="BH268">
        <v>56723537</v>
      </c>
      <c r="BI268">
        <v>57259551</v>
      </c>
      <c r="BJ268">
        <v>57635162</v>
      </c>
      <c r="BK268">
        <v>58613001</v>
      </c>
      <c r="BL268">
        <v>59587885</v>
      </c>
      <c r="BM268">
        <v>60562381</v>
      </c>
      <c r="BN268">
        <v>61502603</v>
      </c>
      <c r="BO268">
        <v>62378410</v>
      </c>
      <c r="BP268">
        <v>63212384</v>
      </c>
      <c r="BQ268">
        <v>64007187</v>
      </c>
      <c r="BR268">
        <v>64747319</v>
      </c>
    </row>
    <row r="269" spans="1:70" x14ac:dyDescent="0.35">
      <c r="A269" t="s">
        <v>800</v>
      </c>
      <c r="B269" t="s">
        <v>801</v>
      </c>
      <c r="C269" t="s">
        <v>295</v>
      </c>
      <c r="D269" t="s">
        <v>296</v>
      </c>
      <c r="E269">
        <v>3153729</v>
      </c>
      <c r="F269">
        <v>3254086</v>
      </c>
      <c r="G269">
        <v>3358099</v>
      </c>
      <c r="H269">
        <v>3465907</v>
      </c>
      <c r="I269">
        <v>3577017</v>
      </c>
      <c r="J269">
        <v>3692086</v>
      </c>
      <c r="K269">
        <v>3812003</v>
      </c>
      <c r="L269">
        <v>3936343</v>
      </c>
      <c r="M269">
        <v>4065593</v>
      </c>
      <c r="N269">
        <v>4197116</v>
      </c>
      <c r="O269">
        <v>4321718</v>
      </c>
      <c r="P269">
        <v>4442525</v>
      </c>
      <c r="Q269">
        <v>4569309</v>
      </c>
      <c r="R269">
        <v>4702693</v>
      </c>
      <c r="S269">
        <v>4842746</v>
      </c>
      <c r="T269">
        <v>4990086</v>
      </c>
      <c r="U269">
        <v>5143842</v>
      </c>
      <c r="V269">
        <v>5302480</v>
      </c>
      <c r="W269">
        <v>5465374</v>
      </c>
      <c r="X269">
        <v>5631728</v>
      </c>
      <c r="Y269">
        <v>5802833</v>
      </c>
      <c r="Z269">
        <v>5983289</v>
      </c>
      <c r="AA269">
        <v>6178637</v>
      </c>
      <c r="AB269">
        <v>6381038</v>
      </c>
      <c r="AC269">
        <v>6580490</v>
      </c>
      <c r="AD269">
        <v>6780953</v>
      </c>
      <c r="AE269">
        <v>6986471</v>
      </c>
      <c r="AF269">
        <v>7191282</v>
      </c>
      <c r="AG269">
        <v>7391440</v>
      </c>
      <c r="AH269">
        <v>7589216</v>
      </c>
      <c r="AI269">
        <v>7786169</v>
      </c>
      <c r="AJ269">
        <v>7981650</v>
      </c>
      <c r="AK269">
        <v>8176680</v>
      </c>
      <c r="AL269">
        <v>8373921</v>
      </c>
      <c r="AM269">
        <v>8576269</v>
      </c>
      <c r="AN269">
        <v>8785763</v>
      </c>
      <c r="AO269">
        <v>9004053</v>
      </c>
      <c r="AP269">
        <v>9237063</v>
      </c>
      <c r="AQ269">
        <v>9482408</v>
      </c>
      <c r="AR269">
        <v>9740005</v>
      </c>
      <c r="AS269">
        <v>10017631</v>
      </c>
      <c r="AT269">
        <v>10325185</v>
      </c>
      <c r="AU269">
        <v>10647949</v>
      </c>
      <c r="AV269">
        <v>10983595</v>
      </c>
      <c r="AW269">
        <v>11338198</v>
      </c>
      <c r="AX269">
        <v>11718819</v>
      </c>
      <c r="AY269">
        <v>12129553</v>
      </c>
      <c r="AZ269">
        <v>12565085</v>
      </c>
      <c r="BA269">
        <v>13021324</v>
      </c>
      <c r="BB269">
        <v>13490389</v>
      </c>
      <c r="BC269">
        <v>13965594</v>
      </c>
      <c r="BD269">
        <v>14437796</v>
      </c>
      <c r="BE269">
        <v>14913629</v>
      </c>
      <c r="BF269">
        <v>15398997</v>
      </c>
      <c r="BG269">
        <v>15895315</v>
      </c>
      <c r="BH269">
        <v>16399089</v>
      </c>
      <c r="BI269">
        <v>16914423</v>
      </c>
      <c r="BJ269">
        <v>17441320</v>
      </c>
      <c r="BK269">
        <v>17973569</v>
      </c>
      <c r="BL269">
        <v>18513839</v>
      </c>
      <c r="BM269">
        <v>19059395</v>
      </c>
      <c r="BN269">
        <v>19603607</v>
      </c>
      <c r="BO269">
        <v>20152938</v>
      </c>
      <c r="BP269">
        <v>20723965</v>
      </c>
      <c r="BQ269">
        <v>21314956</v>
      </c>
      <c r="BR269">
        <v>21913874</v>
      </c>
    </row>
    <row r="270" spans="1:70" x14ac:dyDescent="0.35">
      <c r="A270" t="s">
        <v>802</v>
      </c>
      <c r="B270" t="s">
        <v>803</v>
      </c>
      <c r="C270" t="s">
        <v>295</v>
      </c>
      <c r="D270" t="s">
        <v>296</v>
      </c>
      <c r="E270">
        <v>3809389</v>
      </c>
      <c r="F270">
        <v>3930401</v>
      </c>
      <c r="G270">
        <v>4055959</v>
      </c>
      <c r="H270">
        <v>4185877</v>
      </c>
      <c r="I270">
        <v>4320006</v>
      </c>
      <c r="J270">
        <v>4458462</v>
      </c>
      <c r="K270">
        <v>4601217</v>
      </c>
      <c r="L270">
        <v>4748307</v>
      </c>
      <c r="M270">
        <v>4900440</v>
      </c>
      <c r="N270">
        <v>5058181</v>
      </c>
      <c r="O270">
        <v>5215918</v>
      </c>
      <c r="P270">
        <v>5374712</v>
      </c>
      <c r="Q270">
        <v>5542445</v>
      </c>
      <c r="R270">
        <v>5720404</v>
      </c>
      <c r="S270">
        <v>5908328</v>
      </c>
      <c r="T270">
        <v>6098658</v>
      </c>
      <c r="U270">
        <v>6287105</v>
      </c>
      <c r="V270">
        <v>6449512</v>
      </c>
      <c r="W270">
        <v>6543575</v>
      </c>
      <c r="X270">
        <v>6647556</v>
      </c>
      <c r="Y270">
        <v>7041303</v>
      </c>
      <c r="Z270">
        <v>7498635</v>
      </c>
      <c r="AA270">
        <v>7796496</v>
      </c>
      <c r="AB270">
        <v>8098404</v>
      </c>
      <c r="AC270">
        <v>8391488</v>
      </c>
      <c r="AD270">
        <v>8686813</v>
      </c>
      <c r="AE270">
        <v>8982578</v>
      </c>
      <c r="AF270">
        <v>9284644</v>
      </c>
      <c r="AG270">
        <v>9583094</v>
      </c>
      <c r="AH270">
        <v>9864798</v>
      </c>
      <c r="AI270">
        <v>10137281</v>
      </c>
      <c r="AJ270">
        <v>10404816</v>
      </c>
      <c r="AK270">
        <v>10702700</v>
      </c>
      <c r="AL270">
        <v>10860288</v>
      </c>
      <c r="AM270">
        <v>10873148</v>
      </c>
      <c r="AN270">
        <v>10974599</v>
      </c>
      <c r="AO270">
        <v>11158360</v>
      </c>
      <c r="AP270">
        <v>11369827</v>
      </c>
      <c r="AQ270">
        <v>11594297</v>
      </c>
      <c r="AR270">
        <v>11783458</v>
      </c>
      <c r="AS270">
        <v>11892055</v>
      </c>
      <c r="AT270">
        <v>11971901</v>
      </c>
      <c r="AU270">
        <v>12087653</v>
      </c>
      <c r="AV270">
        <v>12232323</v>
      </c>
      <c r="AW270">
        <v>12365896</v>
      </c>
      <c r="AX270">
        <v>12483432</v>
      </c>
      <c r="AY270">
        <v>12636445</v>
      </c>
      <c r="AZ270">
        <v>12804058</v>
      </c>
      <c r="BA270">
        <v>12959149</v>
      </c>
      <c r="BB270">
        <v>13142790</v>
      </c>
      <c r="BC270">
        <v>13356548</v>
      </c>
      <c r="BD270">
        <v>13595424</v>
      </c>
      <c r="BE270">
        <v>13817887</v>
      </c>
      <c r="BF270">
        <v>14013808</v>
      </c>
      <c r="BG270">
        <v>14207359</v>
      </c>
      <c r="BH270">
        <v>14399013</v>
      </c>
      <c r="BI270">
        <v>14600294</v>
      </c>
      <c r="BJ270">
        <v>14812482</v>
      </c>
      <c r="BK270">
        <v>15034452</v>
      </c>
      <c r="BL270">
        <v>15271368</v>
      </c>
      <c r="BM270">
        <v>15526888</v>
      </c>
      <c r="BN270">
        <v>15797210</v>
      </c>
      <c r="BO270">
        <v>16069056</v>
      </c>
      <c r="BP270">
        <v>16340822</v>
      </c>
      <c r="BQ270">
        <v>16634373</v>
      </c>
      <c r="BR270">
        <v>16950795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zoomScale="71" workbookViewId="0">
      <selection sqref="A1:F115"/>
    </sheetView>
  </sheetViews>
  <sheetFormatPr defaultRowHeight="14.5" x14ac:dyDescent="0.35"/>
  <cols>
    <col min="1" max="1" width="10" style="3" customWidth="1"/>
    <col min="2" max="2" width="9.36328125" style="3" customWidth="1"/>
    <col min="3" max="3" width="7.1796875" style="3" customWidth="1"/>
    <col min="4" max="4" width="17.1796875" style="3" customWidth="1"/>
    <col min="5" max="5" width="15.453125" style="3" customWidth="1"/>
    <col min="6" max="6" width="12.5429687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5" t="s">
        <v>7</v>
      </c>
      <c r="E1" s="5" t="s">
        <v>8</v>
      </c>
      <c r="F1" s="5" t="s">
        <v>9</v>
      </c>
    </row>
    <row r="2" spans="1:6" x14ac:dyDescent="0.35">
      <c r="A2" s="2" t="s">
        <v>3</v>
      </c>
      <c r="B2" s="2" t="s">
        <v>4</v>
      </c>
      <c r="C2" s="2">
        <v>1907</v>
      </c>
      <c r="D2" s="2" t="s">
        <v>6</v>
      </c>
      <c r="E2" s="2" t="s">
        <v>6</v>
      </c>
      <c r="F2" s="2" t="s">
        <v>6</v>
      </c>
    </row>
    <row r="3" spans="1:6" x14ac:dyDescent="0.35">
      <c r="A3" s="2" t="s">
        <v>3</v>
      </c>
      <c r="B3" s="2" t="s">
        <v>4</v>
      </c>
      <c r="C3" s="2">
        <v>1908</v>
      </c>
      <c r="D3" s="2" t="s">
        <v>6</v>
      </c>
      <c r="E3" s="2" t="s">
        <v>6</v>
      </c>
      <c r="F3" s="2" t="s">
        <v>6</v>
      </c>
    </row>
    <row r="4" spans="1:6" x14ac:dyDescent="0.35">
      <c r="A4" s="2" t="s">
        <v>3</v>
      </c>
      <c r="B4" s="2" t="s">
        <v>4</v>
      </c>
      <c r="C4" s="2">
        <v>1909</v>
      </c>
      <c r="D4" s="2" t="s">
        <v>6</v>
      </c>
      <c r="E4" s="2" t="s">
        <v>6</v>
      </c>
      <c r="F4" s="2" t="s">
        <v>6</v>
      </c>
    </row>
    <row r="5" spans="1:6" x14ac:dyDescent="0.35">
      <c r="A5" s="2" t="s">
        <v>3</v>
      </c>
      <c r="B5" s="2" t="s">
        <v>4</v>
      </c>
      <c r="C5" s="2">
        <v>1910</v>
      </c>
      <c r="D5" s="2" t="s">
        <v>6</v>
      </c>
      <c r="E5" s="2" t="s">
        <v>6</v>
      </c>
      <c r="F5" s="2" t="s">
        <v>6</v>
      </c>
    </row>
    <row r="6" spans="1:6" x14ac:dyDescent="0.35">
      <c r="A6" s="2" t="s">
        <v>3</v>
      </c>
      <c r="B6" s="2" t="s">
        <v>4</v>
      </c>
      <c r="C6" s="2">
        <v>1911</v>
      </c>
      <c r="D6" s="2" t="s">
        <v>6</v>
      </c>
      <c r="E6" s="2" t="s">
        <v>6</v>
      </c>
      <c r="F6" s="2" t="s">
        <v>6</v>
      </c>
    </row>
    <row r="7" spans="1:6" x14ac:dyDescent="0.35">
      <c r="A7" s="2" t="s">
        <v>3</v>
      </c>
      <c r="B7" s="2" t="s">
        <v>4</v>
      </c>
      <c r="C7" s="2">
        <v>1912</v>
      </c>
      <c r="D7" s="2" t="s">
        <v>6</v>
      </c>
      <c r="E7" s="2" t="s">
        <v>6</v>
      </c>
      <c r="F7" s="2" t="s">
        <v>6</v>
      </c>
    </row>
    <row r="8" spans="1:6" x14ac:dyDescent="0.35">
      <c r="A8" s="2" t="s">
        <v>3</v>
      </c>
      <c r="B8" s="2" t="s">
        <v>4</v>
      </c>
      <c r="C8" s="2">
        <v>1913</v>
      </c>
      <c r="D8" s="2" t="s">
        <v>6</v>
      </c>
      <c r="E8" s="2" t="s">
        <v>6</v>
      </c>
      <c r="F8" s="2" t="s">
        <v>6</v>
      </c>
    </row>
    <row r="9" spans="1:6" x14ac:dyDescent="0.35">
      <c r="A9" s="2" t="s">
        <v>3</v>
      </c>
      <c r="B9" s="2" t="s">
        <v>4</v>
      </c>
      <c r="C9" s="2">
        <v>1914</v>
      </c>
      <c r="D9" s="2" t="s">
        <v>6</v>
      </c>
      <c r="E9" s="2" t="s">
        <v>6</v>
      </c>
      <c r="F9" s="2" t="s">
        <v>6</v>
      </c>
    </row>
    <row r="10" spans="1:6" x14ac:dyDescent="0.35">
      <c r="A10" s="2" t="s">
        <v>3</v>
      </c>
      <c r="B10" s="2" t="s">
        <v>4</v>
      </c>
      <c r="C10" s="2">
        <v>1915</v>
      </c>
      <c r="D10" s="2" t="s">
        <v>6</v>
      </c>
      <c r="E10" s="2" t="s">
        <v>6</v>
      </c>
      <c r="F10" s="2" t="s">
        <v>6</v>
      </c>
    </row>
    <row r="11" spans="1:6" x14ac:dyDescent="0.35">
      <c r="A11" s="2" t="s">
        <v>3</v>
      </c>
      <c r="B11" s="2" t="s">
        <v>4</v>
      </c>
      <c r="C11" s="2">
        <v>1916</v>
      </c>
      <c r="D11" s="2" t="s">
        <v>6</v>
      </c>
      <c r="E11" s="2" t="s">
        <v>6</v>
      </c>
      <c r="F11" s="2" t="s">
        <v>6</v>
      </c>
    </row>
    <row r="12" spans="1:6" x14ac:dyDescent="0.35">
      <c r="A12" s="2" t="s">
        <v>3</v>
      </c>
      <c r="B12" s="2" t="s">
        <v>4</v>
      </c>
      <c r="C12" s="2">
        <v>1917</v>
      </c>
      <c r="D12" s="2" t="s">
        <v>6</v>
      </c>
      <c r="E12" s="2" t="s">
        <v>6</v>
      </c>
      <c r="F12" s="2" t="s">
        <v>6</v>
      </c>
    </row>
    <row r="13" spans="1:6" x14ac:dyDescent="0.35">
      <c r="A13" s="2" t="s">
        <v>3</v>
      </c>
      <c r="B13" s="2" t="s">
        <v>4</v>
      </c>
      <c r="C13" s="2">
        <v>1918</v>
      </c>
      <c r="D13" s="2" t="s">
        <v>6</v>
      </c>
      <c r="E13" s="2" t="s">
        <v>6</v>
      </c>
      <c r="F13" s="2" t="s">
        <v>6</v>
      </c>
    </row>
    <row r="14" spans="1:6" x14ac:dyDescent="0.35">
      <c r="A14" s="2" t="s">
        <v>3</v>
      </c>
      <c r="B14" s="2" t="s">
        <v>4</v>
      </c>
      <c r="C14" s="2">
        <v>1919</v>
      </c>
      <c r="D14" s="2" t="s">
        <v>6</v>
      </c>
      <c r="E14" s="2" t="s">
        <v>6</v>
      </c>
      <c r="F14" s="2" t="s">
        <v>6</v>
      </c>
    </row>
    <row r="15" spans="1:6" x14ac:dyDescent="0.35">
      <c r="A15" s="2" t="s">
        <v>3</v>
      </c>
      <c r="B15" s="2" t="s">
        <v>4</v>
      </c>
      <c r="C15" s="2">
        <v>1920</v>
      </c>
      <c r="D15" s="2" t="s">
        <v>6</v>
      </c>
      <c r="E15" s="2" t="s">
        <v>6</v>
      </c>
      <c r="F15" s="2" t="s">
        <v>6</v>
      </c>
    </row>
    <row r="16" spans="1:6" x14ac:dyDescent="0.35">
      <c r="A16" s="2" t="s">
        <v>3</v>
      </c>
      <c r="B16" s="2" t="s">
        <v>4</v>
      </c>
      <c r="C16" s="2">
        <v>1921</v>
      </c>
      <c r="D16" s="2" t="s">
        <v>6</v>
      </c>
      <c r="E16" s="2" t="s">
        <v>6</v>
      </c>
      <c r="F16" s="2" t="s">
        <v>6</v>
      </c>
    </row>
    <row r="17" spans="1:6" x14ac:dyDescent="0.35">
      <c r="A17" s="2" t="s">
        <v>3</v>
      </c>
      <c r="B17" s="2" t="s">
        <v>4</v>
      </c>
      <c r="C17" s="2">
        <v>1922</v>
      </c>
      <c r="D17" s="2" t="s">
        <v>6</v>
      </c>
      <c r="E17" s="2" t="s">
        <v>6</v>
      </c>
      <c r="F17" s="2" t="s">
        <v>6</v>
      </c>
    </row>
    <row r="18" spans="1:6" x14ac:dyDescent="0.35">
      <c r="A18" s="2" t="s">
        <v>3</v>
      </c>
      <c r="B18" s="2" t="s">
        <v>4</v>
      </c>
      <c r="C18" s="2">
        <v>1923</v>
      </c>
      <c r="D18" s="2" t="s">
        <v>6</v>
      </c>
      <c r="E18" s="2" t="s">
        <v>6</v>
      </c>
      <c r="F18" s="2" t="s">
        <v>6</v>
      </c>
    </row>
    <row r="19" spans="1:6" x14ac:dyDescent="0.35">
      <c r="A19" s="2" t="s">
        <v>3</v>
      </c>
      <c r="B19" s="2" t="s">
        <v>4</v>
      </c>
      <c r="C19" s="2">
        <v>1924</v>
      </c>
      <c r="D19" s="2" t="s">
        <v>6</v>
      </c>
      <c r="E19" s="2" t="s">
        <v>6</v>
      </c>
      <c r="F19" s="2" t="s">
        <v>6</v>
      </c>
    </row>
    <row r="20" spans="1:6" x14ac:dyDescent="0.35">
      <c r="A20" s="2" t="s">
        <v>3</v>
      </c>
      <c r="B20" s="2" t="s">
        <v>4</v>
      </c>
      <c r="C20" s="2">
        <v>1925</v>
      </c>
      <c r="D20" s="2" t="s">
        <v>6</v>
      </c>
      <c r="E20" s="2" t="s">
        <v>6</v>
      </c>
      <c r="F20" s="2" t="s">
        <v>6</v>
      </c>
    </row>
    <row r="21" spans="1:6" x14ac:dyDescent="0.35">
      <c r="A21" s="2" t="s">
        <v>3</v>
      </c>
      <c r="B21" s="2" t="s">
        <v>4</v>
      </c>
      <c r="C21" s="2">
        <v>1926</v>
      </c>
      <c r="D21" s="2" t="s">
        <v>6</v>
      </c>
      <c r="E21" s="2" t="s">
        <v>6</v>
      </c>
      <c r="F21" s="2" t="s">
        <v>6</v>
      </c>
    </row>
    <row r="22" spans="1:6" x14ac:dyDescent="0.35">
      <c r="A22" s="2" t="s">
        <v>3</v>
      </c>
      <c r="B22" s="2" t="s">
        <v>4</v>
      </c>
      <c r="C22" s="2">
        <v>1927</v>
      </c>
      <c r="D22" s="2" t="s">
        <v>6</v>
      </c>
      <c r="E22" s="2" t="s">
        <v>6</v>
      </c>
      <c r="F22" s="2" t="s">
        <v>6</v>
      </c>
    </row>
    <row r="23" spans="1:6" x14ac:dyDescent="0.35">
      <c r="A23" s="2" t="s">
        <v>3</v>
      </c>
      <c r="B23" s="2" t="s">
        <v>4</v>
      </c>
      <c r="C23" s="2">
        <v>1928</v>
      </c>
      <c r="D23" s="2" t="s">
        <v>6</v>
      </c>
      <c r="E23" s="2" t="s">
        <v>6</v>
      </c>
      <c r="F23" s="2" t="s">
        <v>6</v>
      </c>
    </row>
    <row r="24" spans="1:6" x14ac:dyDescent="0.35">
      <c r="A24" s="2" t="s">
        <v>3</v>
      </c>
      <c r="B24" s="2" t="s">
        <v>4</v>
      </c>
      <c r="C24" s="2">
        <v>1929</v>
      </c>
      <c r="D24" s="2" t="s">
        <v>6</v>
      </c>
      <c r="E24" s="2" t="s">
        <v>6</v>
      </c>
      <c r="F24" s="2" t="s">
        <v>6</v>
      </c>
    </row>
    <row r="25" spans="1:6" x14ac:dyDescent="0.35">
      <c r="A25" s="2" t="s">
        <v>3</v>
      </c>
      <c r="B25" s="2" t="s">
        <v>4</v>
      </c>
      <c r="C25" s="2">
        <v>1930</v>
      </c>
      <c r="D25" s="2" t="s">
        <v>6</v>
      </c>
      <c r="E25" s="2" t="s">
        <v>6</v>
      </c>
      <c r="F25" s="2" t="s">
        <v>6</v>
      </c>
    </row>
    <row r="26" spans="1:6" x14ac:dyDescent="0.35">
      <c r="A26" s="2" t="s">
        <v>3</v>
      </c>
      <c r="B26" s="2" t="s">
        <v>4</v>
      </c>
      <c r="C26" s="2">
        <v>1931</v>
      </c>
      <c r="D26" s="2" t="s">
        <v>6</v>
      </c>
      <c r="E26" s="2" t="s">
        <v>6</v>
      </c>
      <c r="F26" s="2" t="s">
        <v>6</v>
      </c>
    </row>
    <row r="27" spans="1:6" x14ac:dyDescent="0.35">
      <c r="A27" s="2" t="s">
        <v>3</v>
      </c>
      <c r="B27" s="2" t="s">
        <v>4</v>
      </c>
      <c r="C27" s="2">
        <v>1932</v>
      </c>
      <c r="D27" s="2" t="s">
        <v>6</v>
      </c>
      <c r="E27" s="2" t="s">
        <v>6</v>
      </c>
      <c r="F27" s="2" t="s">
        <v>6</v>
      </c>
    </row>
    <row r="28" spans="1:6" x14ac:dyDescent="0.35">
      <c r="A28" s="2" t="s">
        <v>3</v>
      </c>
      <c r="B28" s="2" t="s">
        <v>4</v>
      </c>
      <c r="C28" s="2">
        <v>1933</v>
      </c>
      <c r="D28" s="2" t="s">
        <v>6</v>
      </c>
      <c r="E28" s="2" t="s">
        <v>6</v>
      </c>
      <c r="F28" s="2" t="s">
        <v>6</v>
      </c>
    </row>
    <row r="29" spans="1:6" x14ac:dyDescent="0.35">
      <c r="A29" s="2" t="s">
        <v>3</v>
      </c>
      <c r="B29" s="2" t="s">
        <v>4</v>
      </c>
      <c r="C29" s="2">
        <v>1934</v>
      </c>
      <c r="D29" s="2" t="s">
        <v>6</v>
      </c>
      <c r="E29" s="2" t="s">
        <v>6</v>
      </c>
      <c r="F29" s="2" t="s">
        <v>6</v>
      </c>
    </row>
    <row r="30" spans="1:6" x14ac:dyDescent="0.35">
      <c r="A30" s="2" t="s">
        <v>3</v>
      </c>
      <c r="B30" s="2" t="s">
        <v>4</v>
      </c>
      <c r="C30" s="2">
        <v>1935</v>
      </c>
      <c r="D30" s="2" t="s">
        <v>6</v>
      </c>
      <c r="E30" s="2" t="s">
        <v>6</v>
      </c>
      <c r="F30" s="2" t="s">
        <v>6</v>
      </c>
    </row>
    <row r="31" spans="1:6" x14ac:dyDescent="0.35">
      <c r="A31" s="2" t="s">
        <v>3</v>
      </c>
      <c r="B31" s="2" t="s">
        <v>4</v>
      </c>
      <c r="C31" s="2">
        <v>1936</v>
      </c>
      <c r="D31" s="2" t="s">
        <v>6</v>
      </c>
      <c r="E31" s="2" t="s">
        <v>6</v>
      </c>
      <c r="F31" s="2" t="s">
        <v>6</v>
      </c>
    </row>
    <row r="32" spans="1:6" x14ac:dyDescent="0.35">
      <c r="A32" s="2" t="s">
        <v>3</v>
      </c>
      <c r="B32" s="2" t="s">
        <v>5</v>
      </c>
      <c r="C32" s="3">
        <v>1937</v>
      </c>
      <c r="D32" s="3">
        <v>1294</v>
      </c>
      <c r="E32" s="3">
        <v>2588</v>
      </c>
      <c r="F32" s="3">
        <v>116595</v>
      </c>
    </row>
    <row r="33" spans="1:6" x14ac:dyDescent="0.35">
      <c r="A33" s="2" t="s">
        <v>3</v>
      </c>
      <c r="B33" s="2" t="s">
        <v>5</v>
      </c>
      <c r="C33" s="3">
        <v>1938</v>
      </c>
      <c r="D33" s="3">
        <v>1239</v>
      </c>
      <c r="E33" s="3">
        <v>2478</v>
      </c>
      <c r="F33" s="3">
        <v>117999</v>
      </c>
    </row>
    <row r="34" spans="1:6" x14ac:dyDescent="0.35">
      <c r="A34" s="2" t="s">
        <v>3</v>
      </c>
      <c r="B34" s="2" t="s">
        <v>5</v>
      </c>
      <c r="C34" s="3">
        <v>1939</v>
      </c>
      <c r="D34" s="3">
        <v>1265</v>
      </c>
      <c r="E34" s="3">
        <v>2530</v>
      </c>
      <c r="F34" s="3">
        <v>120377</v>
      </c>
    </row>
    <row r="35" spans="1:6" x14ac:dyDescent="0.35">
      <c r="A35" s="2" t="s">
        <v>3</v>
      </c>
      <c r="B35" s="2" t="s">
        <v>5</v>
      </c>
      <c r="C35" s="3">
        <v>1940</v>
      </c>
      <c r="D35" s="3">
        <v>1271</v>
      </c>
      <c r="E35" s="3">
        <v>2542</v>
      </c>
      <c r="F35" s="3">
        <v>123850</v>
      </c>
    </row>
    <row r="36" spans="1:6" x14ac:dyDescent="0.35">
      <c r="A36" s="2" t="s">
        <v>3</v>
      </c>
      <c r="B36" s="2" t="s">
        <v>5</v>
      </c>
      <c r="C36" s="3">
        <v>1941</v>
      </c>
      <c r="D36" s="3">
        <v>1438</v>
      </c>
      <c r="E36" s="3">
        <v>2876</v>
      </c>
      <c r="F36" s="3">
        <v>131692</v>
      </c>
    </row>
    <row r="37" spans="1:6" x14ac:dyDescent="0.35">
      <c r="A37" s="2" t="s">
        <v>3</v>
      </c>
      <c r="B37" s="2" t="s">
        <v>5</v>
      </c>
      <c r="C37" s="3">
        <v>1942</v>
      </c>
      <c r="D37" s="3">
        <v>1465</v>
      </c>
      <c r="E37" s="3">
        <v>2926</v>
      </c>
      <c r="F37" s="3">
        <v>133802</v>
      </c>
    </row>
    <row r="38" spans="1:6" x14ac:dyDescent="0.35">
      <c r="A38" s="2" t="s">
        <v>3</v>
      </c>
      <c r="B38" s="2" t="s">
        <v>5</v>
      </c>
      <c r="C38" s="3">
        <v>1943</v>
      </c>
      <c r="D38" s="3">
        <v>1612</v>
      </c>
      <c r="E38" s="3">
        <v>3224</v>
      </c>
      <c r="F38" s="3">
        <v>146114</v>
      </c>
    </row>
    <row r="39" spans="1:6" x14ac:dyDescent="0.35">
      <c r="A39" s="2" t="s">
        <v>3</v>
      </c>
      <c r="B39" s="2" t="s">
        <v>5</v>
      </c>
      <c r="C39" s="3">
        <v>1944</v>
      </c>
      <c r="D39" s="3">
        <v>1778</v>
      </c>
      <c r="E39" s="3">
        <v>3556</v>
      </c>
      <c r="F39" s="3">
        <v>149828</v>
      </c>
    </row>
    <row r="40" spans="1:6" x14ac:dyDescent="0.35">
      <c r="A40" s="2" t="s">
        <v>3</v>
      </c>
      <c r="B40" s="2" t="s">
        <v>5</v>
      </c>
      <c r="C40" s="3">
        <v>1945</v>
      </c>
      <c r="D40" s="3">
        <v>1782</v>
      </c>
      <c r="E40" s="3">
        <v>3564</v>
      </c>
      <c r="F40" s="3">
        <v>157036</v>
      </c>
    </row>
    <row r="41" spans="1:6" x14ac:dyDescent="0.35">
      <c r="A41" s="2" t="s">
        <v>3</v>
      </c>
      <c r="B41" s="2" t="s">
        <v>5</v>
      </c>
      <c r="C41" s="3">
        <v>1946</v>
      </c>
      <c r="D41" s="3">
        <v>2014</v>
      </c>
      <c r="E41" s="3">
        <v>4028</v>
      </c>
      <c r="F41" s="3">
        <v>172392</v>
      </c>
    </row>
    <row r="42" spans="1:6" x14ac:dyDescent="0.35">
      <c r="A42" s="2" t="s">
        <v>3</v>
      </c>
      <c r="B42" s="2" t="s">
        <v>5</v>
      </c>
      <c r="C42" s="3">
        <v>1947</v>
      </c>
      <c r="D42" s="3">
        <v>2008</v>
      </c>
      <c r="E42" s="3">
        <v>4016</v>
      </c>
      <c r="F42" s="3">
        <v>178419</v>
      </c>
    </row>
    <row r="43" spans="1:6" x14ac:dyDescent="0.35">
      <c r="A43" s="2" t="s">
        <v>3</v>
      </c>
      <c r="B43" s="2" t="s">
        <v>5</v>
      </c>
      <c r="C43" s="3">
        <v>1948</v>
      </c>
      <c r="D43" s="3">
        <v>1923</v>
      </c>
      <c r="E43" s="3">
        <v>3846</v>
      </c>
      <c r="F43" s="3">
        <v>174167</v>
      </c>
    </row>
    <row r="44" spans="1:6" x14ac:dyDescent="0.35">
      <c r="A44" s="2" t="s">
        <v>3</v>
      </c>
      <c r="B44" s="2" t="s">
        <v>5</v>
      </c>
      <c r="C44" s="3">
        <v>1949</v>
      </c>
      <c r="D44" s="3">
        <v>2021</v>
      </c>
      <c r="E44" s="3">
        <v>4042</v>
      </c>
      <c r="F44" s="3">
        <v>177259</v>
      </c>
    </row>
    <row r="45" spans="1:6" x14ac:dyDescent="0.35">
      <c r="A45" s="2" t="s">
        <v>3</v>
      </c>
      <c r="B45" s="2" t="s">
        <v>5</v>
      </c>
      <c r="C45" s="3">
        <v>1950</v>
      </c>
      <c r="D45" s="3">
        <v>2217</v>
      </c>
      <c r="E45" s="3">
        <v>4434</v>
      </c>
      <c r="F45" s="3">
        <v>186198</v>
      </c>
    </row>
    <row r="46" spans="1:6" x14ac:dyDescent="0.35">
      <c r="A46" s="2" t="s">
        <v>3</v>
      </c>
      <c r="B46" s="2" t="s">
        <v>5</v>
      </c>
      <c r="C46" s="3">
        <v>1951</v>
      </c>
      <c r="D46" s="3">
        <v>2230</v>
      </c>
      <c r="E46" s="3">
        <v>4460</v>
      </c>
      <c r="F46" s="3">
        <v>188907</v>
      </c>
    </row>
    <row r="47" spans="1:6" x14ac:dyDescent="0.35">
      <c r="A47" s="2" t="s">
        <v>3</v>
      </c>
      <c r="B47" s="2" t="s">
        <v>5</v>
      </c>
      <c r="C47" s="3">
        <v>1952</v>
      </c>
      <c r="D47" s="3">
        <v>2310</v>
      </c>
      <c r="E47" s="3">
        <v>4620</v>
      </c>
      <c r="F47" s="3">
        <v>197097</v>
      </c>
    </row>
    <row r="48" spans="1:6" x14ac:dyDescent="0.35">
      <c r="A48" s="2" t="s">
        <v>3</v>
      </c>
      <c r="B48" s="2" t="s">
        <v>5</v>
      </c>
      <c r="C48" s="3">
        <v>1953</v>
      </c>
      <c r="D48" s="3">
        <v>2470</v>
      </c>
      <c r="E48" s="3">
        <v>4940</v>
      </c>
      <c r="F48" s="3">
        <v>197373</v>
      </c>
    </row>
    <row r="49" spans="1:6" x14ac:dyDescent="0.35">
      <c r="A49" s="2" t="s">
        <v>3</v>
      </c>
      <c r="B49" s="2" t="s">
        <v>5</v>
      </c>
      <c r="C49" s="3">
        <v>1954</v>
      </c>
      <c r="D49" s="3">
        <v>2344</v>
      </c>
      <c r="E49" s="3">
        <v>4688</v>
      </c>
      <c r="F49" s="3">
        <v>197581</v>
      </c>
    </row>
    <row r="50" spans="1:6" x14ac:dyDescent="0.35">
      <c r="A50" s="2" t="s">
        <v>3</v>
      </c>
      <c r="B50" s="2" t="s">
        <v>5</v>
      </c>
      <c r="C50" s="3">
        <v>1955</v>
      </c>
      <c r="D50" s="3">
        <v>2369</v>
      </c>
      <c r="E50" s="3">
        <v>4738</v>
      </c>
      <c r="F50" s="3">
        <v>202969</v>
      </c>
    </row>
    <row r="51" spans="1:6" x14ac:dyDescent="0.35">
      <c r="A51" s="2" t="s">
        <v>3</v>
      </c>
      <c r="B51" s="2" t="s">
        <v>5</v>
      </c>
      <c r="C51" s="3">
        <v>1956</v>
      </c>
      <c r="D51" s="3">
        <v>2442</v>
      </c>
      <c r="E51" s="3">
        <v>4884</v>
      </c>
      <c r="F51" s="3">
        <v>207282</v>
      </c>
    </row>
    <row r="52" spans="1:6" x14ac:dyDescent="0.35">
      <c r="A52" s="2" t="s">
        <v>3</v>
      </c>
      <c r="B52" s="2" t="s">
        <v>5</v>
      </c>
      <c r="C52" s="3">
        <v>1957</v>
      </c>
      <c r="D52" s="3">
        <v>2495</v>
      </c>
      <c r="E52" s="3">
        <v>4990</v>
      </c>
      <c r="F52" s="3">
        <v>215370</v>
      </c>
    </row>
    <row r="53" spans="1:6" x14ac:dyDescent="0.35">
      <c r="A53" s="2" t="s">
        <v>3</v>
      </c>
      <c r="B53" s="2" t="s">
        <v>5</v>
      </c>
      <c r="C53" s="3">
        <v>1958</v>
      </c>
      <c r="D53" s="3">
        <v>2599</v>
      </c>
      <c r="E53" s="3">
        <v>5198</v>
      </c>
      <c r="F53" s="3">
        <v>217298</v>
      </c>
    </row>
    <row r="54" spans="1:6" x14ac:dyDescent="0.35">
      <c r="A54" s="2" t="s">
        <v>3</v>
      </c>
      <c r="B54" s="2" t="s">
        <v>5</v>
      </c>
      <c r="C54" s="3">
        <v>1959</v>
      </c>
      <c r="D54" s="3">
        <v>2611</v>
      </c>
      <c r="E54" s="3">
        <v>5222</v>
      </c>
      <c r="F54" s="3">
        <v>221789</v>
      </c>
    </row>
    <row r="55" spans="1:6" x14ac:dyDescent="0.35">
      <c r="A55" s="2" t="s">
        <v>3</v>
      </c>
      <c r="B55" s="2" t="s">
        <v>5</v>
      </c>
      <c r="C55" s="3">
        <v>1960</v>
      </c>
      <c r="D55" s="3">
        <v>2564</v>
      </c>
      <c r="E55" s="3">
        <v>5128</v>
      </c>
      <c r="F55" s="3">
        <v>225245</v>
      </c>
    </row>
    <row r="56" spans="1:6" x14ac:dyDescent="0.35">
      <c r="A56" s="2" t="s">
        <v>3</v>
      </c>
      <c r="B56" s="2" t="s">
        <v>5</v>
      </c>
      <c r="C56" s="3">
        <v>1961</v>
      </c>
      <c r="D56" s="3">
        <v>2623</v>
      </c>
      <c r="E56" s="3">
        <v>5246</v>
      </c>
      <c r="F56" s="3">
        <v>234778</v>
      </c>
    </row>
    <row r="57" spans="1:6" x14ac:dyDescent="0.35">
      <c r="A57" s="2" t="s">
        <v>3</v>
      </c>
      <c r="B57" s="2" t="s">
        <v>5</v>
      </c>
      <c r="C57" s="3">
        <v>1962</v>
      </c>
      <c r="D57" s="3">
        <v>2575</v>
      </c>
      <c r="E57" s="3">
        <v>5150</v>
      </c>
      <c r="F57" s="3">
        <v>231921</v>
      </c>
    </row>
    <row r="58" spans="1:6" x14ac:dyDescent="0.35">
      <c r="A58" s="2" t="s">
        <v>3</v>
      </c>
      <c r="B58" s="2" t="s">
        <v>5</v>
      </c>
      <c r="C58" s="3">
        <v>1963</v>
      </c>
      <c r="D58" s="3">
        <v>2584</v>
      </c>
      <c r="E58" s="3">
        <v>5168</v>
      </c>
      <c r="F58" s="3">
        <v>230552</v>
      </c>
    </row>
    <row r="59" spans="1:6" x14ac:dyDescent="0.35">
      <c r="A59" s="2" t="s">
        <v>3</v>
      </c>
      <c r="B59" s="2" t="s">
        <v>5</v>
      </c>
      <c r="C59" s="3">
        <v>1964</v>
      </c>
      <c r="D59" s="3">
        <v>2393</v>
      </c>
      <c r="E59" s="3">
        <v>4786</v>
      </c>
      <c r="F59" s="3">
        <v>224378</v>
      </c>
    </row>
    <row r="60" spans="1:6" x14ac:dyDescent="0.35">
      <c r="A60" s="2" t="s">
        <v>3</v>
      </c>
      <c r="B60" s="2" t="s">
        <v>5</v>
      </c>
      <c r="C60" s="3">
        <v>1965</v>
      </c>
      <c r="D60" s="3">
        <v>2371</v>
      </c>
      <c r="E60" s="3">
        <v>4742</v>
      </c>
      <c r="F60" s="3">
        <v>218109</v>
      </c>
    </row>
    <row r="61" spans="1:6" x14ac:dyDescent="0.35">
      <c r="A61" s="2" t="s">
        <v>3</v>
      </c>
      <c r="B61" s="2" t="s">
        <v>5</v>
      </c>
      <c r="C61" s="3">
        <v>1966</v>
      </c>
      <c r="D61" s="3">
        <v>2310</v>
      </c>
      <c r="E61" s="3">
        <v>4620</v>
      </c>
      <c r="F61" s="3">
        <v>218014</v>
      </c>
    </row>
    <row r="62" spans="1:6" x14ac:dyDescent="0.35">
      <c r="A62" s="2" t="s">
        <v>3</v>
      </c>
      <c r="B62" s="2" t="s">
        <v>5</v>
      </c>
      <c r="C62" s="3">
        <v>1967</v>
      </c>
      <c r="D62" s="3">
        <v>2319</v>
      </c>
      <c r="E62" s="3">
        <v>4638</v>
      </c>
      <c r="F62" s="3">
        <v>224633</v>
      </c>
    </row>
    <row r="63" spans="1:6" x14ac:dyDescent="0.35">
      <c r="A63" s="2" t="s">
        <v>3</v>
      </c>
      <c r="B63" s="2" t="s">
        <v>5</v>
      </c>
      <c r="C63" s="3">
        <v>1968</v>
      </c>
      <c r="D63" s="3">
        <v>2472</v>
      </c>
      <c r="E63" s="3">
        <v>4944</v>
      </c>
      <c r="F63" s="3">
        <v>235957</v>
      </c>
    </row>
    <row r="64" spans="1:6" x14ac:dyDescent="0.35">
      <c r="A64" s="2" t="s">
        <v>3</v>
      </c>
      <c r="B64" s="2" t="s">
        <v>5</v>
      </c>
      <c r="C64" s="3">
        <v>1969</v>
      </c>
      <c r="D64" s="3">
        <v>2586</v>
      </c>
      <c r="E64" s="3">
        <v>5172</v>
      </c>
      <c r="F64" s="3">
        <v>245013</v>
      </c>
    </row>
    <row r="65" spans="1:6" x14ac:dyDescent="0.35">
      <c r="A65" s="2" t="s">
        <v>3</v>
      </c>
      <c r="B65" s="2" t="s">
        <v>5</v>
      </c>
      <c r="C65" s="3">
        <v>1970</v>
      </c>
      <c r="D65" s="3">
        <v>2718</v>
      </c>
      <c r="E65" s="3">
        <v>5436</v>
      </c>
      <c r="F65" s="3">
        <v>252064</v>
      </c>
    </row>
    <row r="66" spans="1:6" x14ac:dyDescent="0.35">
      <c r="A66" s="2" t="s">
        <v>3</v>
      </c>
      <c r="B66" s="2" t="s">
        <v>5</v>
      </c>
      <c r="C66" s="3">
        <v>1971</v>
      </c>
      <c r="D66" s="3">
        <v>2779</v>
      </c>
      <c r="E66" s="3">
        <v>5558</v>
      </c>
      <c r="F66" s="3">
        <v>270838</v>
      </c>
    </row>
    <row r="67" spans="1:6" x14ac:dyDescent="0.35">
      <c r="A67" s="2" t="s">
        <v>3</v>
      </c>
      <c r="B67" s="2" t="s">
        <v>5</v>
      </c>
      <c r="C67" s="3">
        <v>1972</v>
      </c>
      <c r="D67" s="3">
        <v>2622</v>
      </c>
      <c r="E67" s="3">
        <v>5244</v>
      </c>
      <c r="F67" s="3">
        <v>259719</v>
      </c>
    </row>
    <row r="68" spans="1:6" x14ac:dyDescent="0.35">
      <c r="A68" s="2" t="s">
        <v>3</v>
      </c>
      <c r="B68" s="2" t="s">
        <v>6</v>
      </c>
      <c r="C68" s="3">
        <v>1973</v>
      </c>
      <c r="D68" s="2" t="s">
        <v>6</v>
      </c>
      <c r="E68" s="2" t="s">
        <v>6</v>
      </c>
      <c r="F68" s="2" t="s">
        <v>6</v>
      </c>
    </row>
    <row r="69" spans="1:6" x14ac:dyDescent="0.35">
      <c r="A69" s="2" t="s">
        <v>3</v>
      </c>
      <c r="B69" s="2" t="s">
        <v>5</v>
      </c>
      <c r="C69" s="3">
        <v>1974</v>
      </c>
      <c r="D69" s="3">
        <v>2367</v>
      </c>
      <c r="E69" s="3">
        <v>4734</v>
      </c>
      <c r="F69" s="3">
        <v>240437</v>
      </c>
    </row>
    <row r="70" spans="1:6" x14ac:dyDescent="0.35">
      <c r="A70" s="2" t="s">
        <v>3</v>
      </c>
      <c r="B70" s="2" t="s">
        <v>5</v>
      </c>
      <c r="C70" s="2">
        <v>1975</v>
      </c>
      <c r="D70" s="2">
        <v>2223</v>
      </c>
      <c r="E70" s="2" t="s">
        <v>6</v>
      </c>
      <c r="F70" s="2">
        <v>228525</v>
      </c>
    </row>
    <row r="71" spans="1:6" x14ac:dyDescent="0.35">
      <c r="A71" s="2" t="s">
        <v>3</v>
      </c>
      <c r="B71" s="2" t="s">
        <v>5</v>
      </c>
      <c r="C71" s="2">
        <v>1976</v>
      </c>
      <c r="D71" s="2">
        <v>2281</v>
      </c>
      <c r="E71" s="2" t="s">
        <v>6</v>
      </c>
      <c r="F71" s="2">
        <v>223264</v>
      </c>
    </row>
    <row r="72" spans="1:6" x14ac:dyDescent="0.35">
      <c r="A72" s="2" t="s">
        <v>3</v>
      </c>
      <c r="B72" s="2" t="s">
        <v>5</v>
      </c>
      <c r="C72" s="2">
        <v>1977</v>
      </c>
      <c r="D72" s="2">
        <v>2020</v>
      </c>
      <c r="E72" s="2" t="s">
        <v>6</v>
      </c>
      <c r="F72" s="2">
        <v>222223</v>
      </c>
    </row>
    <row r="73" spans="1:6" x14ac:dyDescent="0.35">
      <c r="A73" s="2" t="s">
        <v>3</v>
      </c>
      <c r="B73" s="2" t="s">
        <v>5</v>
      </c>
      <c r="C73" s="2">
        <v>1978</v>
      </c>
      <c r="D73" s="2">
        <v>2181</v>
      </c>
      <c r="E73" s="2" t="s">
        <v>6</v>
      </c>
      <c r="F73" s="2">
        <v>219780</v>
      </c>
    </row>
    <row r="74" spans="1:6" x14ac:dyDescent="0.35">
      <c r="A74" s="2" t="s">
        <v>3</v>
      </c>
      <c r="B74" s="2" t="s">
        <v>5</v>
      </c>
      <c r="C74" s="2">
        <v>1979</v>
      </c>
      <c r="D74" s="2">
        <v>2165</v>
      </c>
      <c r="E74" s="2" t="s">
        <v>6</v>
      </c>
      <c r="F74" s="2">
        <v>218774</v>
      </c>
    </row>
    <row r="75" spans="1:6" x14ac:dyDescent="0.35">
      <c r="A75" s="2" t="s">
        <v>3</v>
      </c>
      <c r="B75" s="2" t="s">
        <v>5</v>
      </c>
      <c r="C75" s="2">
        <v>1980</v>
      </c>
      <c r="D75" s="2">
        <v>2219</v>
      </c>
      <c r="E75" s="2" t="s">
        <v>6</v>
      </c>
      <c r="F75" s="2">
        <v>221069</v>
      </c>
    </row>
    <row r="76" spans="1:6" x14ac:dyDescent="0.35">
      <c r="A76" s="2" t="s">
        <v>3</v>
      </c>
      <c r="B76" s="2" t="s">
        <v>5</v>
      </c>
      <c r="C76" s="2">
        <v>1981</v>
      </c>
      <c r="D76" s="2">
        <v>2278</v>
      </c>
      <c r="E76" s="2" t="s">
        <v>6</v>
      </c>
      <c r="F76" s="2">
        <v>231217</v>
      </c>
    </row>
    <row r="77" spans="1:6" x14ac:dyDescent="0.35">
      <c r="A77" s="2" t="s">
        <v>3</v>
      </c>
      <c r="B77" s="2" t="s">
        <v>5</v>
      </c>
      <c r="C77" s="2">
        <v>1982</v>
      </c>
      <c r="D77" s="2">
        <v>2443</v>
      </c>
      <c r="E77" s="2" t="s">
        <v>6</v>
      </c>
      <c r="F77" s="2">
        <v>234978</v>
      </c>
    </row>
    <row r="78" spans="1:6" x14ac:dyDescent="0.35">
      <c r="A78" s="2" t="s">
        <v>3</v>
      </c>
      <c r="B78" s="2" t="s">
        <v>5</v>
      </c>
      <c r="C78" s="2">
        <v>1983</v>
      </c>
      <c r="D78" s="2">
        <v>2420</v>
      </c>
      <c r="E78" s="2" t="s">
        <v>6</v>
      </c>
      <c r="F78" s="2">
        <v>237652</v>
      </c>
    </row>
    <row r="79" spans="1:6" x14ac:dyDescent="0.35">
      <c r="A79" s="2" t="s">
        <v>3</v>
      </c>
      <c r="B79" s="2" t="s">
        <v>5</v>
      </c>
      <c r="C79" s="2">
        <v>1984</v>
      </c>
      <c r="D79" s="2">
        <v>2359</v>
      </c>
      <c r="E79" s="2" t="s">
        <v>6</v>
      </c>
      <c r="F79" s="2">
        <v>229248</v>
      </c>
    </row>
    <row r="80" spans="1:6" x14ac:dyDescent="0.35">
      <c r="A80" s="2" t="s">
        <v>3</v>
      </c>
      <c r="B80" s="2" t="s">
        <v>5</v>
      </c>
      <c r="C80" s="2">
        <v>1985</v>
      </c>
      <c r="D80" s="2">
        <v>2622</v>
      </c>
      <c r="E80" s="2" t="s">
        <v>6</v>
      </c>
      <c r="F80" s="2">
        <v>241999</v>
      </c>
    </row>
    <row r="81" spans="1:6" x14ac:dyDescent="0.35">
      <c r="A81" s="2" t="s">
        <v>3</v>
      </c>
      <c r="B81" s="2" t="s">
        <v>5</v>
      </c>
      <c r="C81" s="2">
        <v>1986</v>
      </c>
      <c r="D81" s="2">
        <v>2636</v>
      </c>
      <c r="E81" s="2" t="s">
        <v>6</v>
      </c>
      <c r="F81" s="2">
        <v>238011</v>
      </c>
    </row>
    <row r="82" spans="1:6" x14ac:dyDescent="0.35">
      <c r="A82" s="2" t="s">
        <v>3</v>
      </c>
      <c r="B82" s="2" t="s">
        <v>5</v>
      </c>
      <c r="C82" s="2">
        <v>1987</v>
      </c>
      <c r="D82" s="2">
        <v>2594</v>
      </c>
      <c r="E82" s="2" t="s">
        <v>6</v>
      </c>
      <c r="F82" s="2">
        <v>238612</v>
      </c>
    </row>
    <row r="83" spans="1:6" x14ac:dyDescent="0.35">
      <c r="A83" s="2" t="s">
        <v>3</v>
      </c>
      <c r="B83" s="2" t="s">
        <v>5</v>
      </c>
      <c r="C83" s="2">
        <v>1988</v>
      </c>
      <c r="D83" s="2">
        <v>2871</v>
      </c>
      <c r="E83" s="2" t="s">
        <v>6</v>
      </c>
      <c r="F83" s="2">
        <v>240228</v>
      </c>
    </row>
    <row r="84" spans="1:6" x14ac:dyDescent="0.35">
      <c r="A84" s="2" t="s">
        <v>3</v>
      </c>
      <c r="B84" s="2" t="s">
        <v>5</v>
      </c>
      <c r="C84" s="2">
        <v>1989</v>
      </c>
      <c r="D84" s="2">
        <v>3064</v>
      </c>
      <c r="E84" s="2" t="s">
        <v>6</v>
      </c>
      <c r="F84" s="2">
        <v>244452</v>
      </c>
    </row>
    <row r="85" spans="1:6" x14ac:dyDescent="0.35">
      <c r="A85" s="2" t="s">
        <v>3</v>
      </c>
      <c r="B85" s="2" t="s">
        <v>5</v>
      </c>
      <c r="C85" s="2">
        <v>1990</v>
      </c>
      <c r="D85" s="2">
        <v>3074</v>
      </c>
      <c r="E85" s="2" t="s">
        <v>6</v>
      </c>
      <c r="F85" s="2">
        <v>256267</v>
      </c>
    </row>
    <row r="86" spans="1:6" x14ac:dyDescent="0.35">
      <c r="A86" s="2" t="s">
        <v>3</v>
      </c>
      <c r="B86" s="2" t="s">
        <v>5</v>
      </c>
      <c r="C86" s="2">
        <v>1991</v>
      </c>
      <c r="D86" s="2">
        <v>3266</v>
      </c>
      <c r="E86" s="2" t="s">
        <v>6</v>
      </c>
      <c r="F86" s="2">
        <v>250506</v>
      </c>
    </row>
    <row r="87" spans="1:6" x14ac:dyDescent="0.35">
      <c r="A87" s="2" t="s">
        <v>3</v>
      </c>
      <c r="B87" s="2" t="s">
        <v>5</v>
      </c>
      <c r="C87" s="2">
        <v>1992</v>
      </c>
      <c r="D87" s="2">
        <v>3315</v>
      </c>
      <c r="E87" s="2" t="s">
        <v>6</v>
      </c>
      <c r="F87" s="2">
        <v>257242</v>
      </c>
    </row>
    <row r="88" spans="1:6" x14ac:dyDescent="0.35">
      <c r="A88" s="2" t="s">
        <v>3</v>
      </c>
      <c r="B88" s="2" t="s">
        <v>5</v>
      </c>
      <c r="C88" s="2">
        <v>1993</v>
      </c>
      <c r="D88" s="2">
        <v>3399</v>
      </c>
      <c r="E88" s="2" t="s">
        <v>6</v>
      </c>
      <c r="F88" s="2">
        <v>253206</v>
      </c>
    </row>
    <row r="89" spans="1:6" x14ac:dyDescent="0.35">
      <c r="A89" s="2" t="s">
        <v>3</v>
      </c>
      <c r="B89" s="2" t="s">
        <v>5</v>
      </c>
      <c r="C89" s="2">
        <v>1994</v>
      </c>
      <c r="D89" s="2">
        <v>3409</v>
      </c>
      <c r="E89" s="2" t="s">
        <v>6</v>
      </c>
      <c r="F89" s="2">
        <v>251055</v>
      </c>
    </row>
    <row r="90" spans="1:6" x14ac:dyDescent="0.35">
      <c r="A90" s="2" t="s">
        <v>3</v>
      </c>
      <c r="B90" s="2" t="s">
        <v>5</v>
      </c>
      <c r="C90" s="2">
        <v>1995</v>
      </c>
      <c r="D90" s="2">
        <v>3359</v>
      </c>
      <c r="E90" s="2" t="s">
        <v>6</v>
      </c>
      <c r="F90" s="2">
        <v>249249</v>
      </c>
    </row>
    <row r="91" spans="1:6" x14ac:dyDescent="0.35">
      <c r="A91" s="2" t="s">
        <v>3</v>
      </c>
      <c r="B91" s="2" t="s">
        <v>5</v>
      </c>
      <c r="C91" s="2">
        <v>1996</v>
      </c>
      <c r="D91" s="2">
        <v>3345</v>
      </c>
      <c r="E91" s="2" t="s">
        <v>6</v>
      </c>
      <c r="F91" s="2">
        <v>246914</v>
      </c>
    </row>
    <row r="92" spans="1:6" x14ac:dyDescent="0.35">
      <c r="A92" s="2" t="s">
        <v>3</v>
      </c>
      <c r="B92" s="2" t="s">
        <v>5</v>
      </c>
      <c r="C92" s="2">
        <v>1997</v>
      </c>
      <c r="D92" s="2">
        <v>3450</v>
      </c>
      <c r="E92" s="2" t="s">
        <v>6</v>
      </c>
      <c r="F92" s="2">
        <v>244689</v>
      </c>
    </row>
    <row r="93" spans="1:6" x14ac:dyDescent="0.35">
      <c r="A93" s="2" t="s">
        <v>3</v>
      </c>
      <c r="B93" s="2" t="s">
        <v>5</v>
      </c>
      <c r="C93" s="2">
        <v>1998</v>
      </c>
      <c r="D93" s="2">
        <v>3592</v>
      </c>
      <c r="E93" s="2" t="s">
        <v>6</v>
      </c>
      <c r="F93" s="2">
        <v>242208</v>
      </c>
    </row>
    <row r="94" spans="1:6" x14ac:dyDescent="0.35">
      <c r="A94" s="2" t="s">
        <v>3</v>
      </c>
      <c r="B94" s="2" t="s">
        <v>5</v>
      </c>
      <c r="C94" s="2">
        <v>1999</v>
      </c>
      <c r="D94" s="2">
        <v>3630</v>
      </c>
      <c r="E94" s="2" t="s">
        <v>6</v>
      </c>
      <c r="F94" s="2">
        <v>241370</v>
      </c>
    </row>
    <row r="95" spans="1:6" x14ac:dyDescent="0.35">
      <c r="A95" s="2" t="s">
        <v>3</v>
      </c>
      <c r="B95" s="2" t="s">
        <v>5</v>
      </c>
      <c r="C95" s="2">
        <v>2000</v>
      </c>
      <c r="D95" s="2">
        <v>3800</v>
      </c>
      <c r="E95" s="2" t="s">
        <v>6</v>
      </c>
      <c r="F95" s="2">
        <v>241795</v>
      </c>
    </row>
    <row r="96" spans="1:6" x14ac:dyDescent="0.35">
      <c r="A96" s="2" t="s">
        <v>3</v>
      </c>
      <c r="B96" s="2" t="s">
        <v>5</v>
      </c>
      <c r="C96" s="2">
        <v>2001</v>
      </c>
      <c r="D96" s="2">
        <v>3938</v>
      </c>
      <c r="E96" s="2" t="s">
        <v>6</v>
      </c>
      <c r="F96" s="2">
        <v>238312</v>
      </c>
    </row>
    <row r="97" spans="1:6" x14ac:dyDescent="0.35">
      <c r="A97" s="2" t="s">
        <v>3</v>
      </c>
      <c r="B97" s="2" t="s">
        <v>5</v>
      </c>
      <c r="C97" s="2">
        <v>2002</v>
      </c>
      <c r="D97" s="2">
        <v>4070</v>
      </c>
      <c r="E97" s="2" t="s">
        <v>6</v>
      </c>
      <c r="F97" s="2">
        <v>242668</v>
      </c>
    </row>
    <row r="98" spans="1:6" x14ac:dyDescent="0.35">
      <c r="A98" s="2" t="s">
        <v>3</v>
      </c>
      <c r="B98" s="2" t="s">
        <v>5</v>
      </c>
      <c r="C98" s="2">
        <v>2003</v>
      </c>
      <c r="D98" s="2">
        <v>3990</v>
      </c>
      <c r="E98" s="2" t="s">
        <v>6</v>
      </c>
      <c r="F98" s="2">
        <v>243022</v>
      </c>
    </row>
    <row r="99" spans="1:6" x14ac:dyDescent="0.35">
      <c r="A99" s="2" t="s">
        <v>3</v>
      </c>
      <c r="B99" s="2" t="s">
        <v>5</v>
      </c>
      <c r="C99" s="2">
        <v>2004</v>
      </c>
      <c r="D99" s="2">
        <v>4105</v>
      </c>
      <c r="E99" s="2" t="s">
        <v>6</v>
      </c>
      <c r="F99" s="2">
        <v>245861</v>
      </c>
    </row>
    <row r="100" spans="1:6" x14ac:dyDescent="0.35">
      <c r="A100" s="2" t="s">
        <v>3</v>
      </c>
      <c r="B100" s="2" t="s">
        <v>5</v>
      </c>
      <c r="C100" s="2">
        <v>2005</v>
      </c>
      <c r="D100" s="2">
        <v>4192</v>
      </c>
      <c r="E100" s="2" t="s">
        <v>6</v>
      </c>
      <c r="F100" s="2">
        <v>255847</v>
      </c>
    </row>
    <row r="101" spans="1:6" x14ac:dyDescent="0.35">
      <c r="A101" s="2" t="s">
        <v>3</v>
      </c>
      <c r="B101" s="2" t="s">
        <v>5</v>
      </c>
      <c r="C101" s="2">
        <v>2006</v>
      </c>
      <c r="D101" s="2">
        <v>4282</v>
      </c>
      <c r="E101" s="2" t="s">
        <v>6</v>
      </c>
      <c r="F101" s="2">
        <v>261998</v>
      </c>
    </row>
    <row r="102" spans="1:6" x14ac:dyDescent="0.35">
      <c r="A102" s="2" t="s">
        <v>3</v>
      </c>
      <c r="B102" s="2" t="s">
        <v>5</v>
      </c>
      <c r="C102" s="2">
        <v>2007</v>
      </c>
      <c r="D102" s="2">
        <v>4390</v>
      </c>
      <c r="E102" s="2" t="s">
        <v>6</v>
      </c>
      <c r="F102" s="2">
        <v>283143</v>
      </c>
    </row>
    <row r="103" spans="1:6" x14ac:dyDescent="0.35">
      <c r="A103" s="2" t="s">
        <v>3</v>
      </c>
      <c r="B103" s="2" t="s">
        <v>5</v>
      </c>
      <c r="C103" s="2">
        <v>2008</v>
      </c>
      <c r="D103" s="2">
        <v>4582</v>
      </c>
      <c r="E103" s="2" t="s">
        <v>6</v>
      </c>
      <c r="F103" s="2">
        <v>292911</v>
      </c>
    </row>
    <row r="104" spans="1:6" x14ac:dyDescent="0.35">
      <c r="A104" s="2" t="s">
        <v>3</v>
      </c>
      <c r="B104" s="2" t="s">
        <v>5</v>
      </c>
      <c r="C104" s="2">
        <v>2009</v>
      </c>
      <c r="D104" s="2">
        <v>4434</v>
      </c>
      <c r="E104" s="2" t="s">
        <v>6</v>
      </c>
      <c r="F104" s="2">
        <v>292153</v>
      </c>
    </row>
    <row r="105" spans="1:6" x14ac:dyDescent="0.35">
      <c r="A105" s="2" t="s">
        <v>3</v>
      </c>
      <c r="B105" s="2" t="s">
        <v>5</v>
      </c>
      <c r="C105" s="2">
        <v>2010</v>
      </c>
      <c r="D105" s="2">
        <v>4541</v>
      </c>
      <c r="E105" s="2" t="s">
        <v>6</v>
      </c>
      <c r="F105" s="2">
        <v>294049</v>
      </c>
    </row>
    <row r="106" spans="1:6" x14ac:dyDescent="0.35">
      <c r="A106" s="2" t="s">
        <v>3</v>
      </c>
      <c r="B106" s="2" t="s">
        <v>5</v>
      </c>
      <c r="C106" s="2">
        <v>2011</v>
      </c>
      <c r="D106" s="2">
        <v>4498</v>
      </c>
      <c r="E106" s="2" t="s">
        <v>6</v>
      </c>
      <c r="F106" s="2">
        <v>292512</v>
      </c>
    </row>
    <row r="107" spans="1:6" x14ac:dyDescent="0.35">
      <c r="A107" s="2" t="s">
        <v>3</v>
      </c>
      <c r="B107" s="2" t="s">
        <v>5</v>
      </c>
      <c r="C107" s="2">
        <v>2012</v>
      </c>
      <c r="D107" s="2">
        <v>4421</v>
      </c>
      <c r="E107" s="2" t="s">
        <v>6</v>
      </c>
      <c r="F107" s="2">
        <v>300599</v>
      </c>
    </row>
    <row r="108" spans="1:6" x14ac:dyDescent="0.35">
      <c r="A108" s="2" t="s">
        <v>3</v>
      </c>
      <c r="B108" s="2" t="s">
        <v>5</v>
      </c>
      <c r="C108" s="2">
        <v>2013</v>
      </c>
      <c r="D108" s="2">
        <v>4475</v>
      </c>
      <c r="E108" s="2" t="s">
        <v>6</v>
      </c>
      <c r="F108" s="2">
        <v>298984</v>
      </c>
    </row>
    <row r="109" spans="1:6" x14ac:dyDescent="0.35">
      <c r="A109" s="2" t="s">
        <v>3</v>
      </c>
      <c r="B109" s="2" t="s">
        <v>5</v>
      </c>
      <c r="C109" s="2">
        <v>2014</v>
      </c>
      <c r="D109" s="2">
        <v>4316</v>
      </c>
      <c r="E109" s="2" t="s">
        <v>6</v>
      </c>
      <c r="F109" s="2">
        <v>291012</v>
      </c>
    </row>
    <row r="110" spans="1:6" x14ac:dyDescent="0.35">
      <c r="A110" s="2" t="s">
        <v>3</v>
      </c>
      <c r="B110" s="2" t="s">
        <v>5</v>
      </c>
      <c r="C110" s="2">
        <v>2015</v>
      </c>
      <c r="D110" s="2">
        <v>4291</v>
      </c>
      <c r="E110" s="2" t="s">
        <v>6</v>
      </c>
      <c r="F110" s="2">
        <v>296741</v>
      </c>
    </row>
    <row r="111" spans="1:6" x14ac:dyDescent="0.35">
      <c r="A111" s="2" t="s">
        <v>3</v>
      </c>
      <c r="B111" s="2" t="s">
        <v>5</v>
      </c>
      <c r="C111" s="2">
        <v>2016</v>
      </c>
      <c r="D111" s="2">
        <v>4497</v>
      </c>
      <c r="E111" s="2" t="s">
        <v>6</v>
      </c>
      <c r="F111" s="2">
        <v>302088</v>
      </c>
    </row>
    <row r="112" spans="1:6" x14ac:dyDescent="0.35">
      <c r="A112" s="2" t="s">
        <v>3</v>
      </c>
      <c r="B112" s="2" t="s">
        <v>5</v>
      </c>
      <c r="C112" s="2">
        <v>2017</v>
      </c>
      <c r="D112" s="2">
        <v>4468</v>
      </c>
      <c r="E112" s="2" t="s">
        <v>6</v>
      </c>
      <c r="F112" s="2">
        <v>300209</v>
      </c>
    </row>
    <row r="113" spans="1:6" x14ac:dyDescent="0.35">
      <c r="A113" s="2" t="s">
        <v>3</v>
      </c>
      <c r="B113" s="2" t="s">
        <v>5</v>
      </c>
      <c r="C113" s="2">
        <v>2018</v>
      </c>
      <c r="D113" s="2">
        <v>4437</v>
      </c>
      <c r="E113" s="2" t="s">
        <v>6</v>
      </c>
      <c r="F113" s="2">
        <v>306156</v>
      </c>
    </row>
    <row r="114" spans="1:6" x14ac:dyDescent="0.35">
      <c r="A114" s="2" t="s">
        <v>3</v>
      </c>
      <c r="B114" s="2" t="s">
        <v>5</v>
      </c>
      <c r="C114" s="2">
        <v>2019</v>
      </c>
      <c r="D114" s="3">
        <v>4446</v>
      </c>
      <c r="E114" s="4" t="s">
        <v>6</v>
      </c>
      <c r="F114" s="3">
        <v>296963</v>
      </c>
    </row>
    <row r="115" spans="1:6" x14ac:dyDescent="0.35">
      <c r="A115" s="3" t="s">
        <v>3</v>
      </c>
      <c r="B115" s="3" t="s">
        <v>5</v>
      </c>
      <c r="C115" s="3">
        <v>2020</v>
      </c>
      <c r="D115" s="3">
        <v>4148</v>
      </c>
      <c r="E115" s="4" t="s">
        <v>6</v>
      </c>
      <c r="F115" s="3">
        <v>286070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AF6D-03E2-451B-B3E6-8E4FE6CADF2C}">
  <dimension ref="A1:F117"/>
  <sheetViews>
    <sheetView workbookViewId="0">
      <selection activeCell="K9" sqref="K9"/>
    </sheetView>
  </sheetViews>
  <sheetFormatPr defaultRowHeight="14.5" x14ac:dyDescent="0.35"/>
  <cols>
    <col min="1" max="1" width="13.6328125" style="3" bestFit="1" customWidth="1"/>
    <col min="2" max="2" width="13.36328125" style="3" bestFit="1" customWidth="1"/>
    <col min="3" max="3" width="7.453125" style="3" customWidth="1"/>
    <col min="4" max="4" width="11.90625" style="3" customWidth="1"/>
    <col min="5" max="5" width="16.08984375" style="3" customWidth="1"/>
    <col min="6" max="6" width="14.81640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5" t="s">
        <v>7</v>
      </c>
      <c r="F1" s="5" t="s">
        <v>8</v>
      </c>
    </row>
    <row r="2" spans="1:6" x14ac:dyDescent="0.35">
      <c r="A2" s="2" t="s">
        <v>10</v>
      </c>
      <c r="B2" s="2" t="s">
        <v>4</v>
      </c>
      <c r="C2" s="2">
        <v>1906</v>
      </c>
      <c r="D2" s="6" t="s">
        <v>6</v>
      </c>
      <c r="E2" s="6" t="s">
        <v>6</v>
      </c>
      <c r="F2" s="6" t="s">
        <v>6</v>
      </c>
    </row>
    <row r="3" spans="1:6" x14ac:dyDescent="0.35">
      <c r="A3" s="2" t="s">
        <v>10</v>
      </c>
      <c r="B3" s="2" t="s">
        <v>4</v>
      </c>
      <c r="C3" s="2">
        <v>1907</v>
      </c>
      <c r="D3" s="6" t="s">
        <v>6</v>
      </c>
      <c r="E3" s="6" t="s">
        <v>6</v>
      </c>
      <c r="F3" s="6" t="s">
        <v>6</v>
      </c>
    </row>
    <row r="4" spans="1:6" x14ac:dyDescent="0.35">
      <c r="A4" s="2" t="s">
        <v>10</v>
      </c>
      <c r="B4" s="2" t="s">
        <v>4</v>
      </c>
      <c r="C4" s="2">
        <v>1908</v>
      </c>
      <c r="D4" s="6" t="s">
        <v>6</v>
      </c>
      <c r="E4" s="6" t="s">
        <v>6</v>
      </c>
      <c r="F4" s="6" t="s">
        <v>6</v>
      </c>
    </row>
    <row r="5" spans="1:6" x14ac:dyDescent="0.35">
      <c r="A5" s="2" t="s">
        <v>10</v>
      </c>
      <c r="B5" s="2" t="s">
        <v>4</v>
      </c>
      <c r="C5" s="2">
        <v>1909</v>
      </c>
      <c r="D5" s="6" t="s">
        <v>6</v>
      </c>
      <c r="E5" s="6" t="s">
        <v>6</v>
      </c>
      <c r="F5" s="6" t="s">
        <v>6</v>
      </c>
    </row>
    <row r="6" spans="1:6" x14ac:dyDescent="0.35">
      <c r="A6" s="2" t="s">
        <v>10</v>
      </c>
      <c r="B6" s="2" t="s">
        <v>4</v>
      </c>
      <c r="C6" s="2">
        <v>1910</v>
      </c>
      <c r="D6" s="6" t="s">
        <v>6</v>
      </c>
      <c r="E6" s="6" t="s">
        <v>6</v>
      </c>
      <c r="F6" s="6" t="s">
        <v>6</v>
      </c>
    </row>
    <row r="7" spans="1:6" x14ac:dyDescent="0.35">
      <c r="A7" s="2" t="s">
        <v>10</v>
      </c>
      <c r="B7" s="2" t="s">
        <v>4</v>
      </c>
      <c r="C7" s="2">
        <v>1911</v>
      </c>
      <c r="D7" s="6" t="s">
        <v>6</v>
      </c>
      <c r="E7" s="6" t="s">
        <v>6</v>
      </c>
      <c r="F7" s="6" t="s">
        <v>6</v>
      </c>
    </row>
    <row r="8" spans="1:6" x14ac:dyDescent="0.35">
      <c r="A8" s="2" t="s">
        <v>10</v>
      </c>
      <c r="B8" s="2" t="s">
        <v>4</v>
      </c>
      <c r="C8" s="2">
        <v>1912</v>
      </c>
      <c r="D8" s="6" t="s">
        <v>6</v>
      </c>
      <c r="E8" s="6" t="s">
        <v>6</v>
      </c>
      <c r="F8" s="6" t="s">
        <v>6</v>
      </c>
    </row>
    <row r="9" spans="1:6" x14ac:dyDescent="0.35">
      <c r="A9" s="2" t="s">
        <v>10</v>
      </c>
      <c r="B9" s="2" t="s">
        <v>4</v>
      </c>
      <c r="C9" s="2">
        <v>1913</v>
      </c>
      <c r="D9" s="6" t="s">
        <v>6</v>
      </c>
      <c r="E9" s="6" t="s">
        <v>6</v>
      </c>
      <c r="F9" s="6" t="s">
        <v>6</v>
      </c>
    </row>
    <row r="10" spans="1:6" x14ac:dyDescent="0.35">
      <c r="A10" s="2" t="s">
        <v>11</v>
      </c>
      <c r="B10" s="2" t="s">
        <v>6</v>
      </c>
      <c r="C10" s="2">
        <v>1914</v>
      </c>
      <c r="D10" s="2" t="s">
        <v>6</v>
      </c>
      <c r="E10" s="2" t="s">
        <v>6</v>
      </c>
      <c r="F10" s="2" t="s">
        <v>6</v>
      </c>
    </row>
    <row r="11" spans="1:6" x14ac:dyDescent="0.35">
      <c r="A11" s="2" t="s">
        <v>11</v>
      </c>
      <c r="B11" s="2" t="s">
        <v>6</v>
      </c>
      <c r="C11" s="2">
        <v>1915</v>
      </c>
      <c r="D11" s="2" t="s">
        <v>6</v>
      </c>
      <c r="E11" s="2" t="s">
        <v>6</v>
      </c>
      <c r="F11" s="2" t="s">
        <v>6</v>
      </c>
    </row>
    <row r="12" spans="1:6" x14ac:dyDescent="0.35">
      <c r="A12" s="2" t="s">
        <v>11</v>
      </c>
      <c r="B12" s="2" t="s">
        <v>6</v>
      </c>
      <c r="C12" s="2">
        <v>1916</v>
      </c>
      <c r="D12" s="2" t="s">
        <v>6</v>
      </c>
      <c r="E12" s="2" t="s">
        <v>6</v>
      </c>
      <c r="F12" s="2" t="s">
        <v>6</v>
      </c>
    </row>
    <row r="13" spans="1:6" x14ac:dyDescent="0.35">
      <c r="A13" s="2" t="s">
        <v>11</v>
      </c>
      <c r="B13" s="2" t="s">
        <v>6</v>
      </c>
      <c r="C13" s="2">
        <v>1917</v>
      </c>
      <c r="D13" s="2" t="s">
        <v>6</v>
      </c>
      <c r="E13" s="2" t="s">
        <v>6</v>
      </c>
      <c r="F13" s="2" t="s">
        <v>6</v>
      </c>
    </row>
    <row r="14" spans="1:6" x14ac:dyDescent="0.35">
      <c r="A14" s="2" t="s">
        <v>11</v>
      </c>
      <c r="B14" s="2" t="s">
        <v>6</v>
      </c>
      <c r="C14" s="2">
        <v>1918</v>
      </c>
      <c r="D14" s="2" t="s">
        <v>6</v>
      </c>
      <c r="E14" s="2" t="s">
        <v>6</v>
      </c>
      <c r="F14" s="2" t="s">
        <v>6</v>
      </c>
    </row>
    <row r="15" spans="1:6" x14ac:dyDescent="0.35">
      <c r="A15" s="2" t="s">
        <v>11</v>
      </c>
      <c r="B15" s="2" t="s">
        <v>6</v>
      </c>
      <c r="C15" s="2">
        <v>1919</v>
      </c>
      <c r="D15" s="2" t="s">
        <v>6</v>
      </c>
      <c r="E15" s="2" t="s">
        <v>6</v>
      </c>
      <c r="F15" s="2" t="s">
        <v>6</v>
      </c>
    </row>
    <row r="16" spans="1:6" x14ac:dyDescent="0.35">
      <c r="A16" s="2" t="s">
        <v>11</v>
      </c>
      <c r="B16" s="2" t="s">
        <v>4</v>
      </c>
      <c r="C16" s="2">
        <v>1920</v>
      </c>
      <c r="D16" s="6" t="s">
        <v>6</v>
      </c>
      <c r="E16" s="6" t="s">
        <v>6</v>
      </c>
      <c r="F16" s="6" t="s">
        <v>6</v>
      </c>
    </row>
    <row r="17" spans="1:6" x14ac:dyDescent="0.35">
      <c r="A17" s="2" t="s">
        <v>11</v>
      </c>
      <c r="B17" s="2" t="s">
        <v>4</v>
      </c>
      <c r="C17" s="2">
        <v>1921</v>
      </c>
      <c r="D17" s="6" t="s">
        <v>6</v>
      </c>
      <c r="E17" s="6" t="s">
        <v>6</v>
      </c>
      <c r="F17" s="6" t="s">
        <v>6</v>
      </c>
    </row>
    <row r="18" spans="1:6" x14ac:dyDescent="0.35">
      <c r="A18" s="2" t="s">
        <v>11</v>
      </c>
      <c r="B18" s="2" t="s">
        <v>6</v>
      </c>
      <c r="C18" s="2">
        <v>1922</v>
      </c>
      <c r="D18" s="2" t="s">
        <v>6</v>
      </c>
      <c r="E18" s="2" t="s">
        <v>6</v>
      </c>
      <c r="F18" s="2" t="s">
        <v>6</v>
      </c>
    </row>
    <row r="19" spans="1:6" x14ac:dyDescent="0.35">
      <c r="A19" s="2" t="s">
        <v>11</v>
      </c>
      <c r="B19" s="2" t="s">
        <v>6</v>
      </c>
      <c r="C19" s="2">
        <v>1923</v>
      </c>
      <c r="D19" s="2" t="s">
        <v>6</v>
      </c>
      <c r="E19" s="2" t="s">
        <v>6</v>
      </c>
      <c r="F19" s="2" t="s">
        <v>6</v>
      </c>
    </row>
    <row r="20" spans="1:6" x14ac:dyDescent="0.35">
      <c r="A20" s="2" t="s">
        <v>11</v>
      </c>
      <c r="B20" s="2" t="s">
        <v>6</v>
      </c>
      <c r="C20" s="2">
        <v>1924</v>
      </c>
      <c r="D20" s="2" t="s">
        <v>6</v>
      </c>
      <c r="E20" s="2" t="s">
        <v>6</v>
      </c>
      <c r="F20" s="2" t="s">
        <v>6</v>
      </c>
    </row>
    <row r="21" spans="1:6" x14ac:dyDescent="0.35">
      <c r="A21" s="2" t="s">
        <v>11</v>
      </c>
      <c r="B21" s="2" t="s">
        <v>6</v>
      </c>
      <c r="C21" s="2">
        <v>1925</v>
      </c>
      <c r="D21" s="2" t="s">
        <v>6</v>
      </c>
      <c r="E21" s="2" t="s">
        <v>6</v>
      </c>
      <c r="F21" s="2" t="s">
        <v>6</v>
      </c>
    </row>
    <row r="22" spans="1:6" x14ac:dyDescent="0.35">
      <c r="A22" s="2" t="s">
        <v>11</v>
      </c>
      <c r="B22" s="2" t="s">
        <v>6</v>
      </c>
      <c r="C22" s="2">
        <v>1926</v>
      </c>
      <c r="D22" s="2" t="s">
        <v>6</v>
      </c>
      <c r="E22" s="2" t="s">
        <v>6</v>
      </c>
      <c r="F22" s="2" t="s">
        <v>6</v>
      </c>
    </row>
    <row r="23" spans="1:6" x14ac:dyDescent="0.35">
      <c r="A23" s="2" t="s">
        <v>11</v>
      </c>
      <c r="B23" s="2" t="s">
        <v>6</v>
      </c>
      <c r="C23" s="2">
        <v>1927</v>
      </c>
      <c r="D23" s="2" t="s">
        <v>6</v>
      </c>
      <c r="E23" s="2" t="s">
        <v>6</v>
      </c>
      <c r="F23" s="2" t="s">
        <v>6</v>
      </c>
    </row>
    <row r="24" spans="1:6" x14ac:dyDescent="0.35">
      <c r="A24" s="2" t="s">
        <v>11</v>
      </c>
      <c r="B24" s="2" t="s">
        <v>4</v>
      </c>
      <c r="C24" s="2">
        <v>1928</v>
      </c>
      <c r="D24" s="6" t="s">
        <v>6</v>
      </c>
      <c r="E24" s="6" t="s">
        <v>6</v>
      </c>
      <c r="F24" s="6" t="s">
        <v>6</v>
      </c>
    </row>
    <row r="25" spans="1:6" x14ac:dyDescent="0.35">
      <c r="A25" s="2" t="s">
        <v>11</v>
      </c>
      <c r="B25" s="2" t="s">
        <v>4</v>
      </c>
      <c r="C25" s="2">
        <v>1929</v>
      </c>
      <c r="D25" s="6" t="s">
        <v>6</v>
      </c>
      <c r="E25" s="6" t="s">
        <v>6</v>
      </c>
      <c r="F25" s="6" t="s">
        <v>6</v>
      </c>
    </row>
    <row r="26" spans="1:6" x14ac:dyDescent="0.35">
      <c r="A26" s="2" t="s">
        <v>11</v>
      </c>
      <c r="B26" s="2" t="s">
        <v>6</v>
      </c>
      <c r="C26" s="2">
        <v>1930</v>
      </c>
      <c r="D26" s="2" t="s">
        <v>6</v>
      </c>
      <c r="E26" s="2" t="s">
        <v>6</v>
      </c>
      <c r="F26" s="2" t="s">
        <v>6</v>
      </c>
    </row>
    <row r="27" spans="1:6" x14ac:dyDescent="0.35">
      <c r="A27" s="2" t="s">
        <v>11</v>
      </c>
      <c r="B27" s="2" t="s">
        <v>4</v>
      </c>
      <c r="C27" s="2">
        <v>1931</v>
      </c>
      <c r="D27" s="6" t="s">
        <v>6</v>
      </c>
      <c r="E27" s="6" t="s">
        <v>6</v>
      </c>
      <c r="F27" s="6" t="s">
        <v>6</v>
      </c>
    </row>
    <row r="28" spans="1:6" x14ac:dyDescent="0.35">
      <c r="A28" s="2" t="s">
        <v>11</v>
      </c>
      <c r="B28" s="2" t="s">
        <v>6</v>
      </c>
      <c r="C28" s="2">
        <v>1932</v>
      </c>
      <c r="D28" s="2" t="s">
        <v>6</v>
      </c>
      <c r="E28" s="2" t="s">
        <v>6</v>
      </c>
      <c r="F28" s="2" t="s">
        <v>6</v>
      </c>
    </row>
    <row r="29" spans="1:6" x14ac:dyDescent="0.35">
      <c r="A29" s="2" t="s">
        <v>11</v>
      </c>
      <c r="B29" s="2" t="s">
        <v>6</v>
      </c>
      <c r="C29" s="2">
        <v>1933</v>
      </c>
      <c r="D29" s="2" t="s">
        <v>6</v>
      </c>
      <c r="E29" s="2" t="s">
        <v>6</v>
      </c>
      <c r="F29" s="2" t="s">
        <v>6</v>
      </c>
    </row>
    <row r="30" spans="1:6" x14ac:dyDescent="0.35">
      <c r="A30" s="2" t="s">
        <v>11</v>
      </c>
      <c r="B30" s="2" t="s">
        <v>4</v>
      </c>
      <c r="C30" s="2">
        <v>1934</v>
      </c>
      <c r="D30" s="6" t="s">
        <v>6</v>
      </c>
      <c r="E30" s="6" t="s">
        <v>6</v>
      </c>
      <c r="F30" s="6" t="s">
        <v>6</v>
      </c>
    </row>
    <row r="31" spans="1:6" x14ac:dyDescent="0.35">
      <c r="A31" s="2" t="s">
        <v>11</v>
      </c>
      <c r="B31" s="2" t="s">
        <v>6</v>
      </c>
      <c r="C31" s="2">
        <v>1935</v>
      </c>
      <c r="D31" s="2" t="s">
        <v>6</v>
      </c>
      <c r="E31" s="2" t="s">
        <v>6</v>
      </c>
      <c r="F31" s="2" t="s">
        <v>6</v>
      </c>
    </row>
    <row r="32" spans="1:6" x14ac:dyDescent="0.35">
      <c r="A32" s="2" t="s">
        <v>11</v>
      </c>
      <c r="B32" s="2" t="s">
        <v>6</v>
      </c>
      <c r="C32" s="2">
        <v>1936</v>
      </c>
      <c r="D32" s="2" t="s">
        <v>6</v>
      </c>
      <c r="E32" s="2" t="s">
        <v>6</v>
      </c>
      <c r="F32" s="2" t="s">
        <v>6</v>
      </c>
    </row>
    <row r="33" spans="1:6" x14ac:dyDescent="0.35">
      <c r="A33" s="2" t="s">
        <v>11</v>
      </c>
      <c r="B33" s="2" t="s">
        <v>6</v>
      </c>
      <c r="C33" s="2">
        <v>1937</v>
      </c>
      <c r="D33" s="2" t="s">
        <v>6</v>
      </c>
      <c r="E33" s="2" t="s">
        <v>6</v>
      </c>
      <c r="F33" s="2" t="s">
        <v>6</v>
      </c>
    </row>
    <row r="34" spans="1:6" x14ac:dyDescent="0.35">
      <c r="A34" s="2" t="s">
        <v>11</v>
      </c>
      <c r="B34" s="2" t="s">
        <v>12</v>
      </c>
      <c r="C34" s="2">
        <v>1938</v>
      </c>
      <c r="D34" s="6" t="s">
        <v>6</v>
      </c>
      <c r="E34" s="2">
        <v>1135</v>
      </c>
      <c r="F34" s="6" t="s">
        <v>6</v>
      </c>
    </row>
    <row r="35" spans="1:6" x14ac:dyDescent="0.35">
      <c r="A35" s="2" t="s">
        <v>11</v>
      </c>
      <c r="B35" s="2" t="s">
        <v>12</v>
      </c>
      <c r="C35" s="2">
        <v>1939</v>
      </c>
      <c r="D35" s="6" t="s">
        <v>6</v>
      </c>
      <c r="E35" s="2">
        <v>1742</v>
      </c>
      <c r="F35" s="6" t="s">
        <v>6</v>
      </c>
    </row>
    <row r="36" spans="1:6" x14ac:dyDescent="0.35">
      <c r="A36" s="2" t="s">
        <v>11</v>
      </c>
      <c r="B36" s="2" t="s">
        <v>12</v>
      </c>
      <c r="C36" s="2">
        <v>1940</v>
      </c>
      <c r="D36" s="6" t="s">
        <v>6</v>
      </c>
      <c r="E36" s="2">
        <v>1915</v>
      </c>
      <c r="F36" s="6" t="s">
        <v>6</v>
      </c>
    </row>
    <row r="37" spans="1:6" x14ac:dyDescent="0.35">
      <c r="A37" s="2" t="s">
        <v>11</v>
      </c>
      <c r="B37" s="2" t="s">
        <v>12</v>
      </c>
      <c r="C37" s="2">
        <v>1941</v>
      </c>
      <c r="D37" s="6" t="s">
        <v>6</v>
      </c>
      <c r="E37" s="2">
        <v>1786</v>
      </c>
      <c r="F37" s="6" t="s">
        <v>6</v>
      </c>
    </row>
    <row r="38" spans="1:6" x14ac:dyDescent="0.35">
      <c r="A38" s="2" t="s">
        <v>11</v>
      </c>
      <c r="B38" s="2" t="s">
        <v>12</v>
      </c>
      <c r="C38" s="2">
        <v>1942</v>
      </c>
      <c r="D38" s="6" t="s">
        <v>6</v>
      </c>
      <c r="E38" s="2">
        <v>1571</v>
      </c>
      <c r="F38" s="6" t="s">
        <v>6</v>
      </c>
    </row>
    <row r="39" spans="1:6" x14ac:dyDescent="0.35">
      <c r="A39" s="2" t="s">
        <v>11</v>
      </c>
      <c r="B39" s="2" t="s">
        <v>12</v>
      </c>
      <c r="C39" s="2">
        <v>1943</v>
      </c>
      <c r="D39" s="6" t="s">
        <v>6</v>
      </c>
      <c r="E39" s="2">
        <v>1705</v>
      </c>
      <c r="F39" s="6" t="s">
        <v>6</v>
      </c>
    </row>
    <row r="40" spans="1:6" x14ac:dyDescent="0.35">
      <c r="A40" s="2" t="s">
        <v>11</v>
      </c>
      <c r="B40" s="2" t="s">
        <v>12</v>
      </c>
      <c r="C40" s="2">
        <v>1944</v>
      </c>
      <c r="D40" s="6" t="s">
        <v>6</v>
      </c>
      <c r="E40" s="2">
        <v>1670</v>
      </c>
      <c r="F40" s="6" t="s">
        <v>6</v>
      </c>
    </row>
    <row r="41" spans="1:6" x14ac:dyDescent="0.35">
      <c r="A41" s="2" t="s">
        <v>11</v>
      </c>
      <c r="B41" s="2" t="s">
        <v>12</v>
      </c>
      <c r="C41" s="2">
        <v>1945</v>
      </c>
      <c r="D41" s="6" t="s">
        <v>6</v>
      </c>
      <c r="E41" s="2">
        <v>1100</v>
      </c>
      <c r="F41" s="6" t="s">
        <v>6</v>
      </c>
    </row>
    <row r="42" spans="1:6" x14ac:dyDescent="0.35">
      <c r="A42" s="2" t="s">
        <v>11</v>
      </c>
      <c r="B42" s="2" t="s">
        <v>12</v>
      </c>
      <c r="C42" s="2">
        <v>1946</v>
      </c>
      <c r="D42" s="2">
        <v>110830</v>
      </c>
      <c r="E42" s="2">
        <v>1470</v>
      </c>
      <c r="F42" s="2" t="s">
        <v>6</v>
      </c>
    </row>
    <row r="43" spans="1:6" x14ac:dyDescent="0.35">
      <c r="A43" s="2" t="s">
        <v>11</v>
      </c>
      <c r="B43" s="2" t="s">
        <v>12</v>
      </c>
      <c r="C43" s="2">
        <v>1947</v>
      </c>
      <c r="D43" s="2">
        <v>128616</v>
      </c>
      <c r="E43" s="2">
        <v>1532</v>
      </c>
      <c r="F43" s="2" t="s">
        <v>6</v>
      </c>
    </row>
    <row r="44" spans="1:6" x14ac:dyDescent="0.35">
      <c r="A44" s="2" t="s">
        <v>11</v>
      </c>
      <c r="B44" s="2" t="s">
        <v>12</v>
      </c>
      <c r="C44" s="2">
        <v>1948</v>
      </c>
      <c r="D44" s="2">
        <v>122873</v>
      </c>
      <c r="E44" s="2">
        <v>1467</v>
      </c>
      <c r="F44" s="2" t="s">
        <v>6</v>
      </c>
    </row>
    <row r="45" spans="1:6" x14ac:dyDescent="0.35">
      <c r="A45" s="2" t="s">
        <v>11</v>
      </c>
      <c r="B45" s="2" t="s">
        <v>12</v>
      </c>
      <c r="C45" s="2">
        <v>1949</v>
      </c>
      <c r="D45" s="2">
        <v>112920</v>
      </c>
      <c r="E45" s="2">
        <v>1372</v>
      </c>
      <c r="F45" s="2" t="s">
        <v>6</v>
      </c>
    </row>
    <row r="46" spans="1:6" x14ac:dyDescent="0.35">
      <c r="A46" s="2" t="s">
        <v>11</v>
      </c>
      <c r="B46" s="2" t="s">
        <v>12</v>
      </c>
      <c r="C46" s="2">
        <v>1950</v>
      </c>
      <c r="D46" s="2">
        <v>107492</v>
      </c>
      <c r="E46" s="2">
        <v>1340</v>
      </c>
      <c r="F46" s="2" t="s">
        <v>6</v>
      </c>
    </row>
    <row r="47" spans="1:6" x14ac:dyDescent="0.35">
      <c r="A47" s="2" t="s">
        <v>11</v>
      </c>
      <c r="B47" s="2" t="s">
        <v>12</v>
      </c>
      <c r="C47" s="2">
        <v>1951</v>
      </c>
      <c r="D47" s="2">
        <v>102512</v>
      </c>
      <c r="E47" s="2">
        <v>1182</v>
      </c>
      <c r="F47" s="2" t="s">
        <v>6</v>
      </c>
    </row>
    <row r="48" spans="1:6" x14ac:dyDescent="0.35">
      <c r="A48" s="2" t="s">
        <v>11</v>
      </c>
      <c r="B48" s="2" t="s">
        <v>12</v>
      </c>
      <c r="C48" s="2">
        <v>1952</v>
      </c>
      <c r="D48" s="2">
        <v>102731</v>
      </c>
      <c r="E48" s="2">
        <v>1168</v>
      </c>
      <c r="F48" s="2" t="s">
        <v>6</v>
      </c>
    </row>
    <row r="49" spans="1:6" x14ac:dyDescent="0.35">
      <c r="A49" s="2" t="s">
        <v>11</v>
      </c>
      <c r="B49" s="2" t="s">
        <v>12</v>
      </c>
      <c r="C49" s="2">
        <v>1953</v>
      </c>
      <c r="D49" s="2">
        <v>102454</v>
      </c>
      <c r="E49" s="2">
        <v>1152</v>
      </c>
      <c r="F49" s="2" t="s">
        <v>6</v>
      </c>
    </row>
    <row r="50" spans="1:6" x14ac:dyDescent="0.35">
      <c r="A50" s="2" t="s">
        <v>11</v>
      </c>
      <c r="B50" s="2" t="s">
        <v>12</v>
      </c>
      <c r="C50" s="2">
        <v>1954</v>
      </c>
      <c r="D50" s="2">
        <v>103584</v>
      </c>
      <c r="E50" s="2">
        <v>1161</v>
      </c>
      <c r="F50" s="2" t="s">
        <v>6</v>
      </c>
    </row>
    <row r="51" spans="1:6" x14ac:dyDescent="0.35">
      <c r="A51" s="2" t="s">
        <v>11</v>
      </c>
      <c r="B51" s="2" t="s">
        <v>12</v>
      </c>
      <c r="C51" s="2">
        <v>1955</v>
      </c>
      <c r="D51" s="2">
        <v>108062</v>
      </c>
      <c r="E51" s="2">
        <v>1212</v>
      </c>
      <c r="F51" s="2" t="s">
        <v>6</v>
      </c>
    </row>
    <row r="52" spans="1:6" x14ac:dyDescent="0.35">
      <c r="A52" s="2" t="s">
        <v>11</v>
      </c>
      <c r="B52" s="2" t="s">
        <v>12</v>
      </c>
      <c r="C52" s="2">
        <v>1956</v>
      </c>
      <c r="D52" s="2">
        <v>115347</v>
      </c>
      <c r="E52" s="2">
        <v>1267</v>
      </c>
      <c r="F52" s="2" t="s">
        <v>6</v>
      </c>
    </row>
    <row r="53" spans="1:6" x14ac:dyDescent="0.35">
      <c r="A53" s="2" t="s">
        <v>11</v>
      </c>
      <c r="B53" s="2" t="s">
        <v>12</v>
      </c>
      <c r="C53" s="2">
        <v>1957</v>
      </c>
      <c r="D53" s="2">
        <v>118029</v>
      </c>
      <c r="E53" s="2">
        <v>1358</v>
      </c>
      <c r="F53" s="2" t="s">
        <v>6</v>
      </c>
    </row>
    <row r="54" spans="1:6" x14ac:dyDescent="0.35">
      <c r="A54" s="2" t="s">
        <v>11</v>
      </c>
      <c r="B54" s="2" t="s">
        <v>12</v>
      </c>
      <c r="C54" s="2">
        <v>1958</v>
      </c>
      <c r="D54" s="2">
        <v>119012</v>
      </c>
      <c r="E54" s="2">
        <v>1333</v>
      </c>
      <c r="F54" s="2" t="s">
        <v>6</v>
      </c>
    </row>
    <row r="55" spans="1:6" x14ac:dyDescent="0.35">
      <c r="A55" s="2" t="s">
        <v>11</v>
      </c>
      <c r="B55" s="2" t="s">
        <v>12</v>
      </c>
      <c r="C55" s="2">
        <v>1959</v>
      </c>
      <c r="D55" s="2">
        <v>123607</v>
      </c>
      <c r="E55" s="2">
        <v>1345</v>
      </c>
      <c r="F55" s="2" t="s">
        <v>6</v>
      </c>
    </row>
    <row r="56" spans="1:6" x14ac:dyDescent="0.35">
      <c r="A56" s="2" t="s">
        <v>11</v>
      </c>
      <c r="B56" s="2" t="s">
        <v>12</v>
      </c>
      <c r="C56" s="2">
        <v>1960</v>
      </c>
      <c r="D56" s="2">
        <v>125113</v>
      </c>
      <c r="E56" s="2">
        <v>1356</v>
      </c>
      <c r="F56" s="2" t="s">
        <v>6</v>
      </c>
    </row>
    <row r="57" spans="1:6" x14ac:dyDescent="0.35">
      <c r="A57" s="2" t="s">
        <v>11</v>
      </c>
      <c r="B57" s="2" t="s">
        <v>6</v>
      </c>
      <c r="C57" s="2">
        <v>1961</v>
      </c>
      <c r="D57" s="2" t="s">
        <v>6</v>
      </c>
      <c r="E57" s="2" t="s">
        <v>6</v>
      </c>
      <c r="F57" s="2" t="s">
        <v>6</v>
      </c>
    </row>
    <row r="58" spans="1:6" x14ac:dyDescent="0.35">
      <c r="A58" s="2" t="s">
        <v>11</v>
      </c>
      <c r="B58" s="2" t="s">
        <v>6</v>
      </c>
      <c r="C58" s="2">
        <v>1962</v>
      </c>
      <c r="D58" s="2" t="s">
        <v>6</v>
      </c>
      <c r="E58" s="2" t="s">
        <v>6</v>
      </c>
      <c r="F58" s="2" t="s">
        <v>6</v>
      </c>
    </row>
    <row r="59" spans="1:6" x14ac:dyDescent="0.35">
      <c r="A59" s="2" t="s">
        <v>11</v>
      </c>
      <c r="B59" s="2" t="s">
        <v>6</v>
      </c>
      <c r="C59" s="2">
        <v>1963</v>
      </c>
      <c r="D59" s="2" t="s">
        <v>6</v>
      </c>
      <c r="E59" s="2" t="s">
        <v>6</v>
      </c>
      <c r="F59" s="2" t="s">
        <v>6</v>
      </c>
    </row>
    <row r="60" spans="1:6" x14ac:dyDescent="0.35">
      <c r="A60" s="2" t="s">
        <v>11</v>
      </c>
      <c r="B60" s="2" t="s">
        <v>6</v>
      </c>
      <c r="C60" s="2">
        <v>1964</v>
      </c>
      <c r="D60" s="2" t="s">
        <v>6</v>
      </c>
      <c r="E60" s="2" t="s">
        <v>6</v>
      </c>
      <c r="F60" s="2" t="s">
        <v>6</v>
      </c>
    </row>
    <row r="61" spans="1:6" x14ac:dyDescent="0.35">
      <c r="A61" s="2" t="s">
        <v>11</v>
      </c>
      <c r="B61" s="2" t="s">
        <v>12</v>
      </c>
      <c r="C61" s="2">
        <v>1965</v>
      </c>
      <c r="D61" s="2">
        <v>128865</v>
      </c>
      <c r="E61" s="2">
        <v>1300</v>
      </c>
      <c r="F61" s="2" t="s">
        <v>6</v>
      </c>
    </row>
    <row r="62" spans="1:6" x14ac:dyDescent="0.35">
      <c r="A62" s="2" t="s">
        <v>11</v>
      </c>
      <c r="B62" s="2" t="s">
        <v>12</v>
      </c>
      <c r="C62" s="2">
        <v>1966</v>
      </c>
      <c r="D62" s="2">
        <v>127528</v>
      </c>
      <c r="E62" s="2">
        <v>1246</v>
      </c>
      <c r="F62" s="2" t="s">
        <v>6</v>
      </c>
    </row>
    <row r="63" spans="1:6" x14ac:dyDescent="0.35">
      <c r="A63" s="2" t="s">
        <v>11</v>
      </c>
      <c r="B63" s="2" t="s">
        <v>12</v>
      </c>
      <c r="C63" s="2">
        <v>1967</v>
      </c>
      <c r="D63" s="2">
        <v>126509</v>
      </c>
      <c r="E63" s="2">
        <v>1133</v>
      </c>
      <c r="F63" s="2" t="s">
        <v>6</v>
      </c>
    </row>
    <row r="64" spans="1:6" x14ac:dyDescent="0.35">
      <c r="A64" s="2" t="s">
        <v>11</v>
      </c>
      <c r="B64" s="2" t="s">
        <v>12</v>
      </c>
      <c r="C64" s="2">
        <v>1968</v>
      </c>
      <c r="D64" s="2">
        <v>125048</v>
      </c>
      <c r="E64" s="2">
        <v>1203</v>
      </c>
      <c r="F64" s="2" t="s">
        <v>6</v>
      </c>
    </row>
    <row r="65" spans="1:6" x14ac:dyDescent="0.35">
      <c r="A65" s="2" t="s">
        <v>11</v>
      </c>
      <c r="B65" s="2" t="s">
        <v>12</v>
      </c>
      <c r="C65" s="2">
        <v>1969</v>
      </c>
      <c r="D65" s="2">
        <v>120339</v>
      </c>
      <c r="E65" s="2">
        <v>1136</v>
      </c>
      <c r="F65" s="2" t="s">
        <v>6</v>
      </c>
    </row>
    <row r="66" spans="1:6" x14ac:dyDescent="0.35">
      <c r="A66" s="2" t="s">
        <v>11</v>
      </c>
      <c r="B66" s="2" t="s">
        <v>12</v>
      </c>
      <c r="C66" s="2">
        <v>1970</v>
      </c>
      <c r="D66" s="2">
        <v>111363</v>
      </c>
      <c r="E66" s="2" t="s">
        <v>6</v>
      </c>
      <c r="F66" s="2">
        <v>2055</v>
      </c>
    </row>
    <row r="67" spans="1:6" x14ac:dyDescent="0.35">
      <c r="A67" s="2" t="s">
        <v>11</v>
      </c>
      <c r="B67" s="2" t="s">
        <v>12</v>
      </c>
      <c r="C67" s="2">
        <v>1971</v>
      </c>
      <c r="D67" s="2">
        <v>107488</v>
      </c>
      <c r="E67" s="2" t="s">
        <v>6</v>
      </c>
      <c r="F67" s="2">
        <v>2063</v>
      </c>
    </row>
    <row r="68" spans="1:6" x14ac:dyDescent="0.35">
      <c r="A68" s="2" t="s">
        <v>11</v>
      </c>
      <c r="B68" s="2" t="s">
        <v>12</v>
      </c>
      <c r="C68" s="2">
        <v>1972</v>
      </c>
      <c r="D68" s="2">
        <v>103094</v>
      </c>
      <c r="E68" s="2" t="s">
        <v>6</v>
      </c>
      <c r="F68" s="2">
        <v>1932</v>
      </c>
    </row>
    <row r="69" spans="1:6" x14ac:dyDescent="0.35">
      <c r="A69" s="2" t="s">
        <v>11</v>
      </c>
      <c r="B69" s="2" t="s">
        <v>12</v>
      </c>
      <c r="C69" s="2">
        <v>1973</v>
      </c>
      <c r="D69" s="2">
        <v>97145</v>
      </c>
      <c r="E69" s="2" t="s">
        <v>6</v>
      </c>
      <c r="F69" s="2">
        <v>1758</v>
      </c>
    </row>
    <row r="70" spans="1:6" x14ac:dyDescent="0.35">
      <c r="A70" s="2" t="s">
        <v>11</v>
      </c>
      <c r="B70" s="2" t="s">
        <v>12</v>
      </c>
      <c r="C70" s="2">
        <v>1974</v>
      </c>
      <c r="D70" s="2">
        <v>96464</v>
      </c>
      <c r="E70" s="2" t="s">
        <v>6</v>
      </c>
      <c r="F70" s="2">
        <v>1758</v>
      </c>
    </row>
    <row r="71" spans="1:6" x14ac:dyDescent="0.35">
      <c r="A71" s="2" t="s">
        <v>11</v>
      </c>
      <c r="B71" s="2" t="s">
        <v>12</v>
      </c>
      <c r="C71" s="2">
        <v>1975</v>
      </c>
      <c r="D71" s="2">
        <v>92756</v>
      </c>
      <c r="E71" s="2" t="s">
        <v>6</v>
      </c>
      <c r="F71" s="2">
        <v>1768</v>
      </c>
    </row>
    <row r="72" spans="1:6" x14ac:dyDescent="0.35">
      <c r="A72" s="2" t="s">
        <v>11</v>
      </c>
      <c r="B72" s="2" t="s">
        <v>12</v>
      </c>
      <c r="C72" s="2">
        <v>1976</v>
      </c>
      <c r="D72" s="2">
        <v>86528</v>
      </c>
      <c r="E72" s="2" t="s">
        <v>6</v>
      </c>
      <c r="F72" s="2">
        <v>1556</v>
      </c>
    </row>
    <row r="73" spans="1:6" x14ac:dyDescent="0.35">
      <c r="A73" s="2" t="s">
        <v>11</v>
      </c>
      <c r="B73" s="2" t="s">
        <v>12</v>
      </c>
      <c r="C73" s="2">
        <v>1977</v>
      </c>
      <c r="D73" s="2">
        <v>84772</v>
      </c>
      <c r="E73" s="2" t="s">
        <v>6</v>
      </c>
      <c r="F73" s="2">
        <v>1484</v>
      </c>
    </row>
    <row r="74" spans="1:6" x14ac:dyDescent="0.35">
      <c r="A74" s="2" t="s">
        <v>11</v>
      </c>
      <c r="B74" s="2" t="s">
        <v>12</v>
      </c>
      <c r="C74" s="2">
        <v>1978</v>
      </c>
      <c r="D74" s="2">
        <v>84449</v>
      </c>
      <c r="E74" s="2" t="s">
        <v>6</v>
      </c>
      <c r="F74" s="2">
        <v>1488</v>
      </c>
    </row>
    <row r="75" spans="1:6" x14ac:dyDescent="0.35">
      <c r="A75" s="2" t="s">
        <v>11</v>
      </c>
      <c r="B75" s="2" t="s">
        <v>12</v>
      </c>
      <c r="C75" s="2">
        <v>1979</v>
      </c>
      <c r="D75" s="2">
        <v>85445</v>
      </c>
      <c r="E75" s="2" t="s">
        <v>6</v>
      </c>
      <c r="F75" s="2">
        <v>1480</v>
      </c>
    </row>
    <row r="76" spans="1:6" x14ac:dyDescent="0.35">
      <c r="A76" s="2" t="s">
        <v>11</v>
      </c>
      <c r="B76" s="2" t="s">
        <v>12</v>
      </c>
      <c r="C76" s="2">
        <v>1980</v>
      </c>
      <c r="D76" s="2">
        <v>89858</v>
      </c>
      <c r="E76" s="2" t="s">
        <v>6</v>
      </c>
      <c r="F76" s="2">
        <v>1592</v>
      </c>
    </row>
    <row r="77" spans="1:6" x14ac:dyDescent="0.35">
      <c r="A77" s="2" t="s">
        <v>11</v>
      </c>
      <c r="B77" s="2" t="s">
        <v>12</v>
      </c>
      <c r="C77" s="2">
        <v>1981</v>
      </c>
      <c r="D77" s="2">
        <v>92812</v>
      </c>
      <c r="E77" s="2" t="s">
        <v>6</v>
      </c>
      <c r="F77" s="2">
        <v>1626</v>
      </c>
    </row>
    <row r="78" spans="1:6" x14ac:dyDescent="0.35">
      <c r="A78" s="2" t="s">
        <v>11</v>
      </c>
      <c r="B78" s="2" t="s">
        <v>12</v>
      </c>
      <c r="C78" s="2">
        <v>1982</v>
      </c>
      <c r="D78" s="2">
        <v>93568</v>
      </c>
      <c r="E78" s="2" t="s">
        <v>6</v>
      </c>
      <c r="F78" s="2">
        <v>1704</v>
      </c>
    </row>
    <row r="79" spans="1:6" x14ac:dyDescent="0.35">
      <c r="A79" s="2" t="s">
        <v>11</v>
      </c>
      <c r="B79" s="2" t="s">
        <v>12</v>
      </c>
      <c r="C79" s="2">
        <v>1983</v>
      </c>
      <c r="D79" s="2">
        <v>88933</v>
      </c>
      <c r="E79" s="2" t="s">
        <v>6</v>
      </c>
      <c r="F79" s="2">
        <v>1642</v>
      </c>
    </row>
    <row r="80" spans="1:6" x14ac:dyDescent="0.35">
      <c r="A80" s="2" t="s">
        <v>11</v>
      </c>
      <c r="B80" s="2" t="s">
        <v>12</v>
      </c>
      <c r="C80" s="2">
        <v>1984</v>
      </c>
      <c r="D80" s="2">
        <v>88033</v>
      </c>
      <c r="E80" s="2" t="s">
        <v>6</v>
      </c>
      <c r="F80" s="2">
        <v>1568</v>
      </c>
    </row>
    <row r="81" spans="1:6" x14ac:dyDescent="0.35">
      <c r="A81" s="2" t="s">
        <v>11</v>
      </c>
      <c r="B81" s="2" t="s">
        <v>12</v>
      </c>
      <c r="C81" s="2">
        <v>1985</v>
      </c>
      <c r="D81" s="2">
        <v>86130</v>
      </c>
      <c r="E81" s="2" t="s">
        <v>6</v>
      </c>
      <c r="F81" s="2">
        <v>1652</v>
      </c>
    </row>
    <row r="82" spans="1:6" x14ac:dyDescent="0.35">
      <c r="A82" s="2" t="s">
        <v>11</v>
      </c>
      <c r="B82" s="2" t="s">
        <v>12</v>
      </c>
      <c r="C82" s="2">
        <v>1986</v>
      </c>
      <c r="D82" s="2">
        <v>85710</v>
      </c>
      <c r="E82" s="2" t="s">
        <v>6</v>
      </c>
      <c r="F82" s="2">
        <v>1602</v>
      </c>
    </row>
    <row r="83" spans="1:6" x14ac:dyDescent="0.35">
      <c r="A83" s="2" t="s">
        <v>11</v>
      </c>
      <c r="B83" s="2" t="s">
        <v>12</v>
      </c>
      <c r="C83" s="2">
        <v>1987</v>
      </c>
      <c r="D83" s="2">
        <v>85183</v>
      </c>
      <c r="E83" s="2" t="s">
        <v>6</v>
      </c>
      <c r="F83" s="2">
        <v>1560</v>
      </c>
    </row>
    <row r="84" spans="1:6" x14ac:dyDescent="0.35">
      <c r="A84" s="2" t="s">
        <v>11</v>
      </c>
      <c r="B84" s="2" t="s">
        <v>12</v>
      </c>
      <c r="C84" s="2">
        <v>1988</v>
      </c>
      <c r="D84" s="2">
        <v>86599</v>
      </c>
      <c r="E84" s="2" t="s">
        <v>6</v>
      </c>
      <c r="F84" s="2">
        <v>1738</v>
      </c>
    </row>
    <row r="85" spans="1:6" x14ac:dyDescent="0.35">
      <c r="A85" s="2" t="s">
        <v>11</v>
      </c>
      <c r="B85" s="2" t="s">
        <v>12</v>
      </c>
      <c r="C85" s="2">
        <v>1989</v>
      </c>
      <c r="D85" s="2">
        <v>87294</v>
      </c>
      <c r="E85" s="2" t="s">
        <v>6</v>
      </c>
      <c r="F85" s="2">
        <v>1794</v>
      </c>
    </row>
    <row r="86" spans="1:6" x14ac:dyDescent="0.35">
      <c r="A86" s="2" t="s">
        <v>11</v>
      </c>
      <c r="B86" s="2" t="s">
        <v>12</v>
      </c>
      <c r="C86" s="2">
        <v>1990</v>
      </c>
      <c r="D86" s="2">
        <v>88870</v>
      </c>
      <c r="E86" s="2" t="s">
        <v>6</v>
      </c>
      <c r="F86" s="2">
        <v>1858</v>
      </c>
    </row>
    <row r="87" spans="1:6" x14ac:dyDescent="0.35">
      <c r="A87" s="2" t="s">
        <v>11</v>
      </c>
      <c r="B87" s="2" t="s">
        <v>12</v>
      </c>
      <c r="C87" s="2">
        <v>1991</v>
      </c>
      <c r="D87" s="2">
        <v>93039</v>
      </c>
      <c r="E87" s="2">
        <v>925</v>
      </c>
      <c r="F87" s="2" t="s">
        <v>6</v>
      </c>
    </row>
    <row r="88" spans="1:6" x14ac:dyDescent="0.35">
      <c r="A88" s="2" t="s">
        <v>11</v>
      </c>
      <c r="B88" s="2" t="s">
        <v>12</v>
      </c>
      <c r="C88" s="2">
        <v>1992</v>
      </c>
      <c r="D88" s="2">
        <v>93577</v>
      </c>
      <c r="E88" s="2">
        <v>1004</v>
      </c>
      <c r="F88" s="2" t="s">
        <v>6</v>
      </c>
    </row>
    <row r="89" spans="1:6" x14ac:dyDescent="0.35">
      <c r="A89" s="2" t="s">
        <v>11</v>
      </c>
      <c r="B89" s="2" t="s">
        <v>12</v>
      </c>
      <c r="C89" s="2">
        <v>1993</v>
      </c>
      <c r="D89" s="2">
        <v>93539</v>
      </c>
      <c r="E89" s="2">
        <v>967</v>
      </c>
      <c r="F89" s="2" t="s">
        <v>6</v>
      </c>
    </row>
    <row r="90" spans="1:6" x14ac:dyDescent="0.35">
      <c r="A90" s="2" t="s">
        <v>11</v>
      </c>
      <c r="B90" s="2" t="s">
        <v>12</v>
      </c>
      <c r="C90" s="2">
        <v>1994</v>
      </c>
      <c r="D90" s="2">
        <v>90489</v>
      </c>
      <c r="E90" s="2">
        <v>1083</v>
      </c>
      <c r="F90" s="2" t="s">
        <v>6</v>
      </c>
    </row>
    <row r="91" spans="1:6" x14ac:dyDescent="0.35">
      <c r="A91" s="2" t="s">
        <v>11</v>
      </c>
      <c r="B91" s="2" t="s">
        <v>12</v>
      </c>
      <c r="C91" s="2">
        <v>1995</v>
      </c>
      <c r="D91" s="2">
        <v>86898</v>
      </c>
      <c r="E91" s="2">
        <v>1048</v>
      </c>
      <c r="F91" s="2" t="s">
        <v>6</v>
      </c>
    </row>
    <row r="92" spans="1:6" x14ac:dyDescent="0.35">
      <c r="A92" s="2" t="s">
        <v>11</v>
      </c>
      <c r="B92" s="2" t="s">
        <v>12</v>
      </c>
      <c r="C92" s="2">
        <v>1996</v>
      </c>
      <c r="D92" s="2">
        <v>87085</v>
      </c>
      <c r="E92" s="2">
        <v>1019</v>
      </c>
      <c r="F92" s="2" t="s">
        <v>6</v>
      </c>
    </row>
    <row r="93" spans="1:6" x14ac:dyDescent="0.35">
      <c r="A93" s="2" t="s">
        <v>11</v>
      </c>
      <c r="B93" s="2" t="s">
        <v>12</v>
      </c>
      <c r="C93" s="2">
        <v>1997</v>
      </c>
      <c r="D93" s="2">
        <v>82267</v>
      </c>
      <c r="E93" s="2">
        <v>1032</v>
      </c>
      <c r="F93" s="2" t="s">
        <v>6</v>
      </c>
    </row>
    <row r="94" spans="1:6" x14ac:dyDescent="0.35">
      <c r="A94" s="2" t="s">
        <v>11</v>
      </c>
      <c r="B94" s="2" t="s">
        <v>12</v>
      </c>
      <c r="C94" s="2">
        <v>1998</v>
      </c>
      <c r="D94" s="2">
        <v>79519</v>
      </c>
      <c r="E94" s="2">
        <v>972</v>
      </c>
      <c r="F94" s="2" t="s">
        <v>6</v>
      </c>
    </row>
    <row r="95" spans="1:6" x14ac:dyDescent="0.35">
      <c r="A95" s="2" t="s">
        <v>11</v>
      </c>
      <c r="B95" s="2" t="s">
        <v>12</v>
      </c>
      <c r="C95" s="2">
        <v>1999</v>
      </c>
      <c r="D95" s="2">
        <v>76295</v>
      </c>
      <c r="E95" s="2">
        <v>1024</v>
      </c>
      <c r="F95" s="2" t="s">
        <v>6</v>
      </c>
    </row>
    <row r="96" spans="1:6" x14ac:dyDescent="0.35">
      <c r="A96" s="2" t="s">
        <v>11</v>
      </c>
      <c r="B96" s="2" t="s">
        <v>12</v>
      </c>
      <c r="C96" s="2">
        <v>2000</v>
      </c>
      <c r="D96" s="2">
        <v>76525</v>
      </c>
      <c r="E96" s="2">
        <v>989</v>
      </c>
      <c r="F96" s="2" t="s">
        <v>6</v>
      </c>
    </row>
    <row r="97" spans="1:6" x14ac:dyDescent="0.35">
      <c r="A97" s="2" t="s">
        <v>11</v>
      </c>
      <c r="B97" s="2" t="s">
        <v>12</v>
      </c>
      <c r="C97" s="2">
        <v>2001</v>
      </c>
      <c r="D97" s="2">
        <v>73413</v>
      </c>
      <c r="E97" s="2">
        <v>1115</v>
      </c>
      <c r="F97" s="2" t="s">
        <v>6</v>
      </c>
    </row>
    <row r="98" spans="1:6" x14ac:dyDescent="0.35">
      <c r="A98" s="2" t="s">
        <v>11</v>
      </c>
      <c r="B98" s="2" t="s">
        <v>12</v>
      </c>
      <c r="C98" s="2">
        <v>2002</v>
      </c>
      <c r="D98" s="2">
        <v>76378</v>
      </c>
      <c r="E98" s="2">
        <v>1134</v>
      </c>
      <c r="F98" s="2" t="s">
        <v>6</v>
      </c>
    </row>
    <row r="99" spans="1:6" x14ac:dyDescent="0.35">
      <c r="A99" s="2" t="s">
        <v>11</v>
      </c>
      <c r="B99" s="2" t="s">
        <v>12</v>
      </c>
      <c r="C99" s="2">
        <v>2003</v>
      </c>
      <c r="D99" s="2">
        <v>74742</v>
      </c>
      <c r="E99" s="2">
        <v>1191</v>
      </c>
      <c r="F99" s="2" t="s">
        <v>6</v>
      </c>
    </row>
    <row r="100" spans="1:6" x14ac:dyDescent="0.35">
      <c r="A100" s="2" t="s">
        <v>11</v>
      </c>
      <c r="B100" s="2" t="s">
        <v>12</v>
      </c>
      <c r="C100" s="2">
        <v>2004</v>
      </c>
      <c r="D100" s="2">
        <v>76802</v>
      </c>
      <c r="E100" s="2">
        <v>1202</v>
      </c>
      <c r="F100" s="2" t="s">
        <v>6</v>
      </c>
    </row>
    <row r="101" spans="1:6" x14ac:dyDescent="0.35">
      <c r="A101" s="2" t="s">
        <v>11</v>
      </c>
      <c r="B101" s="2" t="s">
        <v>12</v>
      </c>
      <c r="C101" s="2">
        <v>2005</v>
      </c>
      <c r="D101" s="2">
        <v>76050</v>
      </c>
      <c r="E101" s="2">
        <v>1166</v>
      </c>
      <c r="F101" s="2" t="s">
        <v>6</v>
      </c>
    </row>
    <row r="102" spans="1:6" x14ac:dyDescent="0.35">
      <c r="A102" s="2" t="s">
        <v>11</v>
      </c>
      <c r="B102" s="2" t="s">
        <v>12</v>
      </c>
      <c r="C102" s="2">
        <v>2006</v>
      </c>
      <c r="D102" s="2">
        <v>75599</v>
      </c>
      <c r="E102" s="2">
        <v>1267</v>
      </c>
      <c r="F102" s="2" t="s">
        <v>6</v>
      </c>
    </row>
    <row r="103" spans="1:6" x14ac:dyDescent="0.35">
      <c r="A103" s="2" t="s">
        <v>11</v>
      </c>
      <c r="B103" s="2" t="s">
        <v>12</v>
      </c>
      <c r="C103" s="2">
        <v>2007</v>
      </c>
      <c r="D103" s="2">
        <v>73904</v>
      </c>
      <c r="E103" s="2">
        <v>1263</v>
      </c>
      <c r="F103" s="2" t="s">
        <v>6</v>
      </c>
    </row>
    <row r="104" spans="1:6" x14ac:dyDescent="0.35">
      <c r="A104" s="2" t="s">
        <v>11</v>
      </c>
      <c r="B104" s="2" t="s">
        <v>12</v>
      </c>
      <c r="C104" s="2">
        <v>2008</v>
      </c>
      <c r="D104" s="2">
        <v>75331</v>
      </c>
      <c r="E104" s="2">
        <v>1293</v>
      </c>
      <c r="F104" s="2" t="s">
        <v>6</v>
      </c>
    </row>
    <row r="105" spans="1:6" x14ac:dyDescent="0.35">
      <c r="A105" s="2" t="s">
        <v>11</v>
      </c>
      <c r="B105" s="2" t="s">
        <v>12</v>
      </c>
      <c r="C105" s="2">
        <v>2009</v>
      </c>
      <c r="D105" s="2">
        <v>74010</v>
      </c>
      <c r="E105" s="2">
        <v>1267</v>
      </c>
      <c r="F105" s="2" t="s">
        <v>6</v>
      </c>
    </row>
    <row r="106" spans="1:6" x14ac:dyDescent="0.35">
      <c r="A106" s="2" t="s">
        <v>11</v>
      </c>
      <c r="B106" s="2" t="s">
        <v>12</v>
      </c>
      <c r="C106" s="2">
        <v>2010</v>
      </c>
      <c r="D106" s="2">
        <v>76269</v>
      </c>
      <c r="E106" s="2">
        <v>1339</v>
      </c>
      <c r="F106" s="2" t="s">
        <v>6</v>
      </c>
    </row>
    <row r="107" spans="1:6" x14ac:dyDescent="0.35">
      <c r="A107" s="2" t="s">
        <v>11</v>
      </c>
      <c r="B107" s="2" t="s">
        <v>12</v>
      </c>
      <c r="C107" s="2">
        <v>2011</v>
      </c>
      <c r="D107" s="2">
        <v>75576</v>
      </c>
      <c r="E107" s="2">
        <v>1354</v>
      </c>
      <c r="F107" s="2" t="s">
        <v>6</v>
      </c>
    </row>
    <row r="108" spans="1:6" x14ac:dyDescent="0.35">
      <c r="A108" s="2" t="s">
        <v>11</v>
      </c>
      <c r="B108" s="2" t="s">
        <v>12</v>
      </c>
      <c r="C108" s="2">
        <v>2012</v>
      </c>
      <c r="D108" s="2">
        <v>76705</v>
      </c>
      <c r="E108" s="2">
        <v>1223</v>
      </c>
      <c r="F108" s="2" t="s">
        <v>6</v>
      </c>
    </row>
    <row r="109" spans="1:6" x14ac:dyDescent="0.35">
      <c r="A109" s="2" t="s">
        <v>11</v>
      </c>
      <c r="B109" s="2" t="s">
        <v>12</v>
      </c>
      <c r="C109" s="2">
        <v>2013</v>
      </c>
      <c r="D109" s="2">
        <v>76900</v>
      </c>
      <c r="E109" s="2">
        <v>1303</v>
      </c>
      <c r="F109" s="2" t="s">
        <v>6</v>
      </c>
    </row>
    <row r="110" spans="1:6" x14ac:dyDescent="0.35">
      <c r="A110" s="2" t="s">
        <v>11</v>
      </c>
      <c r="B110" s="2" t="s">
        <v>12</v>
      </c>
      <c r="C110" s="2">
        <v>2014</v>
      </c>
      <c r="D110" s="2">
        <v>79357</v>
      </c>
      <c r="E110" s="2">
        <v>1293</v>
      </c>
      <c r="F110" s="2" t="s">
        <v>6</v>
      </c>
    </row>
    <row r="111" spans="1:6" x14ac:dyDescent="0.35">
      <c r="A111" s="2" t="s">
        <v>11</v>
      </c>
      <c r="B111" s="2" t="s">
        <v>12</v>
      </c>
      <c r="C111" s="2">
        <v>2015</v>
      </c>
      <c r="D111" s="2">
        <v>82009</v>
      </c>
      <c r="E111" s="2">
        <v>1292</v>
      </c>
      <c r="F111" s="2" t="s">
        <v>6</v>
      </c>
    </row>
    <row r="112" spans="1:6" x14ac:dyDescent="0.35">
      <c r="A112" s="2" t="s">
        <v>11</v>
      </c>
      <c r="B112" s="2" t="s">
        <v>12</v>
      </c>
      <c r="C112" s="2">
        <v>2016</v>
      </c>
      <c r="D112" s="2">
        <v>85218</v>
      </c>
      <c r="E112" s="2">
        <v>1341</v>
      </c>
      <c r="F112" s="2" t="s">
        <v>6</v>
      </c>
    </row>
    <row r="113" spans="1:6" x14ac:dyDescent="0.35">
      <c r="A113" s="2" t="s">
        <v>11</v>
      </c>
      <c r="B113" s="2" t="s">
        <v>12</v>
      </c>
      <c r="C113" s="2">
        <v>2017</v>
      </c>
      <c r="D113" s="2">
        <v>85204</v>
      </c>
      <c r="E113" s="2">
        <v>1339</v>
      </c>
      <c r="F113" s="2" t="s">
        <v>6</v>
      </c>
    </row>
    <row r="114" spans="1:6" x14ac:dyDescent="0.35">
      <c r="A114" s="2" t="s">
        <v>11</v>
      </c>
      <c r="B114" s="2" t="s">
        <v>12</v>
      </c>
      <c r="C114" s="2">
        <v>2018</v>
      </c>
      <c r="D114" s="2">
        <v>83190</v>
      </c>
      <c r="E114" s="2">
        <v>1278</v>
      </c>
      <c r="F114" s="2" t="s">
        <v>6</v>
      </c>
    </row>
    <row r="115" spans="1:6" x14ac:dyDescent="0.35">
      <c r="A115" s="2" t="s">
        <v>11</v>
      </c>
      <c r="B115" s="2" t="s">
        <v>12</v>
      </c>
      <c r="C115" s="2">
        <v>2019</v>
      </c>
      <c r="D115" s="2">
        <v>82676</v>
      </c>
      <c r="E115" s="2">
        <v>1240</v>
      </c>
      <c r="F115" s="2" t="s">
        <v>6</v>
      </c>
    </row>
    <row r="116" spans="1:6" x14ac:dyDescent="0.35">
      <c r="A116" s="2" t="s">
        <v>11</v>
      </c>
      <c r="B116" s="2" t="s">
        <v>12</v>
      </c>
      <c r="C116" s="2">
        <v>2020</v>
      </c>
      <c r="D116" s="3">
        <v>81529</v>
      </c>
      <c r="E116" s="3">
        <v>1173</v>
      </c>
      <c r="F116" s="4" t="s">
        <v>6</v>
      </c>
    </row>
    <row r="117" spans="1:6" x14ac:dyDescent="0.35">
      <c r="A117" s="2" t="s">
        <v>11</v>
      </c>
      <c r="B117" s="2" t="s">
        <v>12</v>
      </c>
      <c r="C117" s="2">
        <v>2021</v>
      </c>
      <c r="D117" s="3">
        <v>83870</v>
      </c>
      <c r="E117" s="3">
        <v>1233</v>
      </c>
      <c r="F117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FA58-E75F-416D-9AA7-D0204CA8A0F5}">
  <dimension ref="A1:F111"/>
  <sheetViews>
    <sheetView zoomScale="55" zoomScaleNormal="55" workbookViewId="0">
      <selection activeCell="H19" sqref="H19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13</v>
      </c>
      <c r="B2" s="2" t="s">
        <v>4</v>
      </c>
      <c r="C2" s="3">
        <v>1921</v>
      </c>
      <c r="D2" s="6" t="s">
        <v>6</v>
      </c>
      <c r="E2" s="6" t="s">
        <v>6</v>
      </c>
      <c r="F2" s="6" t="s">
        <v>6</v>
      </c>
    </row>
    <row r="3" spans="1:6" x14ac:dyDescent="0.35">
      <c r="A3" s="2" t="s">
        <v>13</v>
      </c>
      <c r="B3" s="2" t="s">
        <v>4</v>
      </c>
      <c r="C3" s="3">
        <v>1922</v>
      </c>
      <c r="D3" s="6" t="s">
        <v>6</v>
      </c>
      <c r="E3" s="6" t="s">
        <v>6</v>
      </c>
      <c r="F3" s="6" t="s">
        <v>6</v>
      </c>
    </row>
    <row r="4" spans="1:6" x14ac:dyDescent="0.35">
      <c r="A4" s="2" t="s">
        <v>13</v>
      </c>
      <c r="B4" s="2" t="s">
        <v>4</v>
      </c>
      <c r="C4" s="3">
        <v>1923</v>
      </c>
      <c r="D4" s="6" t="s">
        <v>6</v>
      </c>
      <c r="E4" s="6" t="s">
        <v>6</v>
      </c>
      <c r="F4" s="6" t="s">
        <v>6</v>
      </c>
    </row>
    <row r="5" spans="1:6" x14ac:dyDescent="0.35">
      <c r="A5" s="2" t="s">
        <v>13</v>
      </c>
      <c r="B5" s="2" t="s">
        <v>4</v>
      </c>
      <c r="C5" s="3">
        <v>1924</v>
      </c>
      <c r="D5" s="6" t="s">
        <v>6</v>
      </c>
      <c r="E5" s="6" t="s">
        <v>6</v>
      </c>
      <c r="F5" s="6" t="s">
        <v>6</v>
      </c>
    </row>
    <row r="6" spans="1:6" x14ac:dyDescent="0.35">
      <c r="A6" s="2" t="s">
        <v>13</v>
      </c>
      <c r="B6" s="2" t="s">
        <v>4</v>
      </c>
      <c r="C6" s="3">
        <v>1925</v>
      </c>
      <c r="D6" s="6" t="s">
        <v>6</v>
      </c>
      <c r="E6" s="6" t="s">
        <v>6</v>
      </c>
      <c r="F6" s="6" t="s">
        <v>6</v>
      </c>
    </row>
    <row r="7" spans="1:6" x14ac:dyDescent="0.35">
      <c r="A7" s="2" t="s">
        <v>13</v>
      </c>
      <c r="B7" s="2" t="s">
        <v>4</v>
      </c>
      <c r="C7" s="3">
        <v>1926</v>
      </c>
      <c r="D7" s="6" t="s">
        <v>6</v>
      </c>
      <c r="E7" s="6" t="s">
        <v>6</v>
      </c>
      <c r="F7" s="6" t="s">
        <v>6</v>
      </c>
    </row>
    <row r="8" spans="1:6" x14ac:dyDescent="0.35">
      <c r="A8" s="2" t="s">
        <v>13</v>
      </c>
      <c r="B8" s="2" t="s">
        <v>4</v>
      </c>
      <c r="C8" s="3">
        <v>1927</v>
      </c>
      <c r="D8" s="6" t="s">
        <v>6</v>
      </c>
      <c r="E8" s="6" t="s">
        <v>6</v>
      </c>
      <c r="F8" s="6" t="s">
        <v>6</v>
      </c>
    </row>
    <row r="9" spans="1:6" x14ac:dyDescent="0.35">
      <c r="A9" s="2" t="s">
        <v>13</v>
      </c>
      <c r="B9" s="2" t="s">
        <v>4</v>
      </c>
      <c r="C9" s="3">
        <v>1928</v>
      </c>
      <c r="D9" s="6" t="s">
        <v>6</v>
      </c>
      <c r="E9" s="6" t="s">
        <v>6</v>
      </c>
      <c r="F9" s="6" t="s">
        <v>6</v>
      </c>
    </row>
    <row r="10" spans="1:6" x14ac:dyDescent="0.35">
      <c r="A10" s="2" t="s">
        <v>13</v>
      </c>
      <c r="B10" s="2" t="s">
        <v>4</v>
      </c>
      <c r="C10" s="3">
        <v>1929</v>
      </c>
      <c r="D10" s="6" t="s">
        <v>6</v>
      </c>
      <c r="E10" s="6" t="s">
        <v>6</v>
      </c>
      <c r="F10" s="6" t="s">
        <v>6</v>
      </c>
    </row>
    <row r="11" spans="1:6" x14ac:dyDescent="0.35">
      <c r="A11" s="2" t="s">
        <v>13</v>
      </c>
      <c r="B11" s="2" t="s">
        <v>4</v>
      </c>
      <c r="C11" s="3">
        <v>1930</v>
      </c>
      <c r="D11" s="6" t="s">
        <v>6</v>
      </c>
      <c r="E11" s="6" t="s">
        <v>6</v>
      </c>
      <c r="F11" s="6" t="s">
        <v>6</v>
      </c>
    </row>
    <row r="12" spans="1:6" x14ac:dyDescent="0.35">
      <c r="A12" s="2" t="s">
        <v>13</v>
      </c>
      <c r="B12" s="2" t="s">
        <v>4</v>
      </c>
      <c r="C12" s="3">
        <v>1931</v>
      </c>
      <c r="D12" s="6" t="s">
        <v>6</v>
      </c>
      <c r="E12" s="6" t="s">
        <v>6</v>
      </c>
      <c r="F12" s="6" t="s">
        <v>6</v>
      </c>
    </row>
    <row r="13" spans="1:6" x14ac:dyDescent="0.35">
      <c r="A13" s="2" t="s">
        <v>13</v>
      </c>
      <c r="B13" s="2" t="s">
        <v>4</v>
      </c>
      <c r="C13" s="3">
        <v>1932</v>
      </c>
      <c r="D13" s="6" t="s">
        <v>6</v>
      </c>
      <c r="E13" s="6" t="s">
        <v>6</v>
      </c>
      <c r="F13" s="6" t="s">
        <v>6</v>
      </c>
    </row>
    <row r="14" spans="1:6" x14ac:dyDescent="0.35">
      <c r="A14" s="2" t="s">
        <v>13</v>
      </c>
      <c r="B14" s="2" t="s">
        <v>4</v>
      </c>
      <c r="C14" s="3">
        <v>1933</v>
      </c>
      <c r="D14" s="6" t="s">
        <v>6</v>
      </c>
      <c r="E14" s="6" t="s">
        <v>6</v>
      </c>
      <c r="F14" s="6" t="s">
        <v>6</v>
      </c>
    </row>
    <row r="15" spans="1:6" x14ac:dyDescent="0.35">
      <c r="A15" s="2" t="s">
        <v>13</v>
      </c>
      <c r="B15" s="2" t="s">
        <v>4</v>
      </c>
      <c r="C15" s="3">
        <v>1934</v>
      </c>
      <c r="D15" s="6" t="s">
        <v>6</v>
      </c>
      <c r="E15" s="6" t="s">
        <v>6</v>
      </c>
      <c r="F15" s="6" t="s">
        <v>6</v>
      </c>
    </row>
    <row r="16" spans="1:6" x14ac:dyDescent="0.35">
      <c r="A16" s="2" t="s">
        <v>13</v>
      </c>
      <c r="B16" s="2" t="s">
        <v>4</v>
      </c>
      <c r="C16" s="3">
        <v>1935</v>
      </c>
      <c r="D16" s="6" t="s">
        <v>6</v>
      </c>
      <c r="E16" s="6" t="s">
        <v>6</v>
      </c>
      <c r="F16" s="6" t="s">
        <v>6</v>
      </c>
    </row>
    <row r="17" spans="1:6" x14ac:dyDescent="0.35">
      <c r="A17" s="2" t="s">
        <v>13</v>
      </c>
      <c r="B17" s="2" t="s">
        <v>4</v>
      </c>
      <c r="C17" s="3">
        <v>1936</v>
      </c>
      <c r="D17" s="6" t="s">
        <v>6</v>
      </c>
      <c r="E17" s="6" t="s">
        <v>6</v>
      </c>
      <c r="F17" s="6" t="s">
        <v>6</v>
      </c>
    </row>
    <row r="18" spans="1:6" x14ac:dyDescent="0.35">
      <c r="A18" s="2" t="s">
        <v>13</v>
      </c>
      <c r="B18" s="2" t="s">
        <v>14</v>
      </c>
      <c r="C18" s="3">
        <v>1926</v>
      </c>
      <c r="D18" s="6">
        <f>227084+6723</f>
        <v>233807</v>
      </c>
      <c r="E18" s="6">
        <v>2970</v>
      </c>
      <c r="F18" s="6">
        <f>5562+378</f>
        <v>5940</v>
      </c>
    </row>
    <row r="19" spans="1:6" x14ac:dyDescent="0.35">
      <c r="A19" s="2" t="s">
        <v>13</v>
      </c>
      <c r="B19" s="2" t="s">
        <v>14</v>
      </c>
      <c r="C19" s="3">
        <v>1927</v>
      </c>
      <c r="D19" s="6">
        <f>228578+6952</f>
        <v>235530</v>
      </c>
      <c r="E19" s="6">
        <v>2940</v>
      </c>
      <c r="F19" s="6">
        <f>5502+378</f>
        <v>5880</v>
      </c>
    </row>
    <row r="20" spans="1:6" x14ac:dyDescent="0.35">
      <c r="A20" s="2" t="s">
        <v>13</v>
      </c>
      <c r="B20" s="2" t="s">
        <v>14</v>
      </c>
      <c r="C20" s="3">
        <v>1928</v>
      </c>
      <c r="D20" s="6">
        <f>231188+7114</f>
        <v>238302</v>
      </c>
      <c r="E20" s="6">
        <v>2965</v>
      </c>
      <c r="F20" s="6">
        <f>5480+450</f>
        <v>5930</v>
      </c>
    </row>
    <row r="21" spans="1:6" x14ac:dyDescent="0.35">
      <c r="A21" s="2" t="s">
        <v>13</v>
      </c>
      <c r="B21" s="2" t="s">
        <v>14</v>
      </c>
      <c r="C21" s="3">
        <v>1929</v>
      </c>
      <c r="D21" s="6">
        <f>229848+7150</f>
        <v>236998</v>
      </c>
      <c r="E21" s="6">
        <v>2939</v>
      </c>
      <c r="F21" s="6">
        <f>5474+404</f>
        <v>5878</v>
      </c>
    </row>
    <row r="22" spans="1:6" x14ac:dyDescent="0.35">
      <c r="A22" s="2" t="s">
        <v>13</v>
      </c>
      <c r="B22" s="2" t="s">
        <v>14</v>
      </c>
      <c r="C22" s="3">
        <v>1930</v>
      </c>
      <c r="D22" s="6">
        <f>238056+7283</f>
        <v>245339</v>
      </c>
      <c r="E22" s="6">
        <v>2900</v>
      </c>
      <c r="F22" s="6">
        <f>5386+414</f>
        <v>5800</v>
      </c>
    </row>
    <row r="23" spans="1:6" x14ac:dyDescent="0.35">
      <c r="A23" s="2" t="s">
        <v>13</v>
      </c>
      <c r="B23" s="2" t="s">
        <v>14</v>
      </c>
      <c r="C23" s="3">
        <v>1931</v>
      </c>
      <c r="D23" s="6">
        <f>234845+7248</f>
        <v>242093</v>
      </c>
      <c r="E23" s="6">
        <v>2966</v>
      </c>
      <c r="F23" s="6">
        <f>5568+364</f>
        <v>5932</v>
      </c>
    </row>
    <row r="24" spans="1:6" x14ac:dyDescent="0.35">
      <c r="A24" s="2" t="s">
        <v>13</v>
      </c>
      <c r="B24" s="2" t="s">
        <v>14</v>
      </c>
      <c r="C24" s="3">
        <v>1932</v>
      </c>
      <c r="D24" s="6">
        <f>230302+6960</f>
        <v>237262</v>
      </c>
      <c r="E24" s="6">
        <v>2817</v>
      </c>
      <c r="F24" s="6">
        <f>5311+323</f>
        <v>5634</v>
      </c>
    </row>
    <row r="25" spans="1:6" x14ac:dyDescent="0.35">
      <c r="A25" s="2" t="s">
        <v>13</v>
      </c>
      <c r="B25" s="2" t="s">
        <v>14</v>
      </c>
      <c r="C25" s="3">
        <v>1933</v>
      </c>
      <c r="D25" s="6">
        <f>217812+6510</f>
        <v>224322</v>
      </c>
      <c r="E25" s="6">
        <v>2655</v>
      </c>
      <c r="F25" s="6">
        <f>4979+331</f>
        <v>5310</v>
      </c>
    </row>
    <row r="26" spans="1:6" x14ac:dyDescent="0.35">
      <c r="A26" s="2" t="s">
        <v>13</v>
      </c>
      <c r="B26" s="2" t="s">
        <v>14</v>
      </c>
      <c r="C26" s="3">
        <v>1934</v>
      </c>
      <c r="D26" s="6">
        <f>216230+6150</f>
        <v>222380</v>
      </c>
      <c r="E26" s="6">
        <v>2658</v>
      </c>
      <c r="F26" s="6">
        <f>5018+298</f>
        <v>5316</v>
      </c>
    </row>
    <row r="27" spans="1:6" x14ac:dyDescent="0.35">
      <c r="A27" s="2" t="s">
        <v>13</v>
      </c>
      <c r="B27" s="2" t="s">
        <v>14</v>
      </c>
      <c r="C27" s="3">
        <v>1935</v>
      </c>
      <c r="D27" s="6">
        <f>216482+6136</f>
        <v>222618</v>
      </c>
      <c r="E27" s="6">
        <v>2590</v>
      </c>
      <c r="F27" s="6">
        <f>4872+308</f>
        <v>5180</v>
      </c>
    </row>
    <row r="28" spans="1:6" x14ac:dyDescent="0.35">
      <c r="A28" s="2" t="s">
        <v>13</v>
      </c>
      <c r="B28" s="2" t="s">
        <v>14</v>
      </c>
      <c r="C28" s="3">
        <v>1936</v>
      </c>
      <c r="D28" s="6">
        <f>215377+6051</f>
        <v>221428</v>
      </c>
      <c r="E28" s="6">
        <v>2600</v>
      </c>
      <c r="F28" s="6">
        <f>4913+287</f>
        <v>5200</v>
      </c>
    </row>
    <row r="29" spans="1:6" x14ac:dyDescent="0.35">
      <c r="A29" s="2" t="s">
        <v>13</v>
      </c>
      <c r="B29" s="2" t="s">
        <v>14</v>
      </c>
      <c r="C29" s="3">
        <v>1937</v>
      </c>
      <c r="D29" s="2">
        <f>215276+5959</f>
        <v>221235</v>
      </c>
      <c r="E29" s="2">
        <v>2599</v>
      </c>
      <c r="F29" s="2">
        <f>4890+308</f>
        <v>5198</v>
      </c>
    </row>
    <row r="30" spans="1:6" x14ac:dyDescent="0.35">
      <c r="A30" s="2" t="s">
        <v>13</v>
      </c>
      <c r="B30" s="2" t="s">
        <v>14</v>
      </c>
      <c r="C30" s="3">
        <v>1938</v>
      </c>
      <c r="D30" s="2">
        <f>224315+6129</f>
        <v>230444</v>
      </c>
      <c r="E30" s="2">
        <v>2681</v>
      </c>
      <c r="F30" s="2">
        <f>5068+294</f>
        <v>5362</v>
      </c>
    </row>
    <row r="31" spans="1:6" x14ac:dyDescent="0.35">
      <c r="A31" s="2" t="s">
        <v>13</v>
      </c>
      <c r="B31" s="2" t="s">
        <v>14</v>
      </c>
      <c r="C31" s="3">
        <v>1939</v>
      </c>
      <c r="D31" s="2">
        <f>224336+6077</f>
        <v>230413</v>
      </c>
      <c r="E31" s="2">
        <v>2686</v>
      </c>
      <c r="F31" s="2">
        <f>5092+280</f>
        <v>5372</v>
      </c>
    </row>
    <row r="32" spans="1:6" x14ac:dyDescent="0.35">
      <c r="A32" s="2" t="s">
        <v>13</v>
      </c>
      <c r="B32" s="2" t="s">
        <v>14</v>
      </c>
      <c r="C32" s="3">
        <v>1940</v>
      </c>
      <c r="D32" s="2">
        <f>239035+6335</f>
        <v>245370</v>
      </c>
      <c r="E32" s="2">
        <v>2769</v>
      </c>
      <c r="F32" s="2">
        <f>5243+295</f>
        <v>5538</v>
      </c>
    </row>
    <row r="33" spans="1:6" x14ac:dyDescent="0.35">
      <c r="A33" s="2" t="s">
        <v>13</v>
      </c>
      <c r="B33" s="2" t="s">
        <v>14</v>
      </c>
      <c r="C33" s="3">
        <v>1941</v>
      </c>
      <c r="D33" s="2">
        <v>256357</v>
      </c>
      <c r="E33" s="2">
        <v>2888</v>
      </c>
      <c r="F33" s="2">
        <f>5445+331</f>
        <v>5776</v>
      </c>
    </row>
    <row r="34" spans="1:6" x14ac:dyDescent="0.35">
      <c r="A34" s="2" t="s">
        <v>13</v>
      </c>
      <c r="B34" s="2" t="s">
        <v>14</v>
      </c>
      <c r="C34" s="3">
        <v>1942</v>
      </c>
      <c r="D34" s="2">
        <v>273331</v>
      </c>
      <c r="E34" s="2">
        <v>3018</v>
      </c>
      <c r="F34" s="2">
        <f>5770+266</f>
        <v>6036</v>
      </c>
    </row>
    <row r="35" spans="1:6" x14ac:dyDescent="0.35">
      <c r="A35" s="2" t="s">
        <v>13</v>
      </c>
      <c r="B35" s="2" t="s">
        <v>14</v>
      </c>
      <c r="C35" s="3">
        <v>1943</v>
      </c>
      <c r="D35" s="2">
        <v>284003</v>
      </c>
      <c r="E35" s="2">
        <v>3150</v>
      </c>
      <c r="F35" s="2">
        <f>5984+316</f>
        <v>6300</v>
      </c>
    </row>
    <row r="36" spans="1:6" x14ac:dyDescent="0.35">
      <c r="A36" s="2" t="s">
        <v>13</v>
      </c>
      <c r="B36" s="2" t="s">
        <v>14</v>
      </c>
      <c r="C36" s="3">
        <v>1944</v>
      </c>
      <c r="D36" s="2">
        <v>284563</v>
      </c>
      <c r="E36" s="2">
        <v>3140</v>
      </c>
      <c r="F36" s="2">
        <f>6003+277</f>
        <v>6280</v>
      </c>
    </row>
    <row r="37" spans="1:6" x14ac:dyDescent="0.35">
      <c r="A37" s="2" t="s">
        <v>13</v>
      </c>
      <c r="B37" s="2" t="s">
        <v>14</v>
      </c>
      <c r="C37" s="3">
        <v>1945</v>
      </c>
      <c r="D37" s="2">
        <v>288734</v>
      </c>
      <c r="E37" s="2">
        <v>3283</v>
      </c>
      <c r="F37" s="2">
        <f>6310+256</f>
        <v>6566</v>
      </c>
    </row>
    <row r="38" spans="1:6" x14ac:dyDescent="0.35">
      <c r="A38" s="2" t="s">
        <v>13</v>
      </c>
      <c r="B38" s="2" t="s">
        <v>14</v>
      </c>
      <c r="C38" s="3">
        <v>1946</v>
      </c>
      <c r="D38" s="2">
        <v>330405</v>
      </c>
      <c r="E38" s="2">
        <v>3664</v>
      </c>
      <c r="F38" s="2">
        <f>7034+294</f>
        <v>7328</v>
      </c>
    </row>
    <row r="39" spans="1:6" x14ac:dyDescent="0.35">
      <c r="A39" s="2" t="s">
        <v>13</v>
      </c>
      <c r="B39" s="2" t="s">
        <v>14</v>
      </c>
      <c r="C39" s="3">
        <v>1947</v>
      </c>
      <c r="D39" s="2">
        <v>358385</v>
      </c>
      <c r="E39" s="2">
        <v>4031</v>
      </c>
      <c r="F39" s="2">
        <f>7712+350</f>
        <v>8062</v>
      </c>
    </row>
    <row r="40" spans="1:6" x14ac:dyDescent="0.35">
      <c r="A40" s="2" t="s">
        <v>13</v>
      </c>
      <c r="B40" s="2" t="s">
        <v>14</v>
      </c>
      <c r="C40" s="3">
        <v>1948</v>
      </c>
      <c r="D40" s="2">
        <v>346160</v>
      </c>
      <c r="E40" s="2">
        <v>3940</v>
      </c>
      <c r="F40" s="2">
        <f>7578+302</f>
        <v>7880</v>
      </c>
    </row>
    <row r="41" spans="1:6" x14ac:dyDescent="0.35">
      <c r="A41" s="2" t="s">
        <v>13</v>
      </c>
      <c r="B41" s="2" t="s">
        <v>14</v>
      </c>
      <c r="C41" s="3">
        <v>1949</v>
      </c>
      <c r="D41" s="2">
        <v>364955</v>
      </c>
      <c r="E41" s="2">
        <v>4169</v>
      </c>
      <c r="F41" s="2">
        <f>7940+398</f>
        <v>8338</v>
      </c>
    </row>
    <row r="42" spans="1:6" x14ac:dyDescent="0.35">
      <c r="A42" s="2" t="s">
        <v>13</v>
      </c>
      <c r="B42" s="2" t="s">
        <v>14</v>
      </c>
      <c r="C42" s="3">
        <v>1950</v>
      </c>
      <c r="D42" s="2">
        <v>369578</v>
      </c>
      <c r="E42" s="2">
        <v>4285</v>
      </c>
      <c r="F42" s="2">
        <f>8261+309</f>
        <v>8570</v>
      </c>
    </row>
    <row r="43" spans="1:6" x14ac:dyDescent="0.35">
      <c r="A43" s="2" t="s">
        <v>13</v>
      </c>
      <c r="B43" s="2" t="s">
        <v>14</v>
      </c>
      <c r="C43" s="3">
        <v>1951</v>
      </c>
      <c r="D43" s="2">
        <v>378246</v>
      </c>
      <c r="E43" s="2">
        <v>4377</v>
      </c>
      <c r="F43" s="2">
        <f>8458+296</f>
        <v>8754</v>
      </c>
    </row>
    <row r="44" spans="1:6" x14ac:dyDescent="0.35">
      <c r="A44" s="2" t="s">
        <v>13</v>
      </c>
      <c r="B44" s="2" t="s">
        <v>14</v>
      </c>
      <c r="C44" s="3">
        <v>1952</v>
      </c>
      <c r="D44" s="2">
        <v>400496</v>
      </c>
      <c r="E44" s="2">
        <v>4587</v>
      </c>
      <c r="F44" s="2">
        <f>8822+352</f>
        <v>9174</v>
      </c>
    </row>
    <row r="45" spans="1:6" x14ac:dyDescent="0.35">
      <c r="A45" s="2" t="s">
        <v>13</v>
      </c>
      <c r="B45" s="2" t="s">
        <v>14</v>
      </c>
      <c r="C45" s="3">
        <v>1953</v>
      </c>
      <c r="D45" s="2">
        <v>414529</v>
      </c>
      <c r="E45" s="2">
        <v>4553</v>
      </c>
      <c r="F45" s="2">
        <f>8777+329</f>
        <v>9106</v>
      </c>
    </row>
    <row r="46" spans="1:6" x14ac:dyDescent="0.35">
      <c r="A46" s="2" t="s">
        <v>13</v>
      </c>
      <c r="B46" s="2" t="s">
        <v>14</v>
      </c>
      <c r="C46" s="3">
        <v>1954</v>
      </c>
      <c r="D46" s="2">
        <v>432525</v>
      </c>
      <c r="E46" s="2">
        <v>4847</v>
      </c>
      <c r="F46" s="2">
        <f>9398+296</f>
        <v>9694</v>
      </c>
    </row>
    <row r="47" spans="1:6" x14ac:dyDescent="0.35">
      <c r="A47" s="2" t="s">
        <v>13</v>
      </c>
      <c r="B47" s="2" t="s">
        <v>14</v>
      </c>
      <c r="C47" s="3">
        <v>1955</v>
      </c>
      <c r="D47" s="2">
        <v>438639</v>
      </c>
      <c r="E47" s="2">
        <v>4897</v>
      </c>
      <c r="F47" s="2">
        <f>9453+341</f>
        <v>9794</v>
      </c>
    </row>
    <row r="48" spans="1:6" x14ac:dyDescent="0.35">
      <c r="A48" s="2" t="s">
        <v>13</v>
      </c>
      <c r="B48" s="2" t="s">
        <v>14</v>
      </c>
      <c r="C48" s="3">
        <v>1956</v>
      </c>
      <c r="D48" s="2">
        <v>447547</v>
      </c>
      <c r="E48" s="2">
        <v>5012</v>
      </c>
      <c r="F48" s="2">
        <f>9683+341</f>
        <v>10024</v>
      </c>
    </row>
    <row r="49" spans="1:6" x14ac:dyDescent="0.35">
      <c r="A49" s="2" t="s">
        <v>13</v>
      </c>
      <c r="B49" s="2" t="s">
        <v>14</v>
      </c>
      <c r="C49" s="3">
        <v>1957</v>
      </c>
      <c r="D49" s="2">
        <v>465423</v>
      </c>
      <c r="E49" s="2">
        <v>5178</v>
      </c>
      <c r="F49" s="2">
        <f>10093+263</f>
        <v>10356</v>
      </c>
    </row>
    <row r="50" spans="1:6" x14ac:dyDescent="0.35">
      <c r="A50" s="2" t="s">
        <v>13</v>
      </c>
      <c r="B50" s="2" t="s">
        <v>14</v>
      </c>
      <c r="C50" s="3">
        <v>1958</v>
      </c>
      <c r="D50" s="2">
        <v>466065</v>
      </c>
      <c r="E50" s="2">
        <v>5334</v>
      </c>
      <c r="F50" s="2">
        <f>10360+308</f>
        <v>10668</v>
      </c>
    </row>
    <row r="51" spans="1:6" x14ac:dyDescent="0.35">
      <c r="A51" s="2" t="s">
        <v>13</v>
      </c>
      <c r="B51" s="2" t="s">
        <v>14</v>
      </c>
      <c r="C51" s="3">
        <v>1959</v>
      </c>
      <c r="D51" s="2">
        <v>475266</v>
      </c>
      <c r="E51" s="2">
        <v>5205</v>
      </c>
      <c r="F51" s="2">
        <f>10110+300</f>
        <v>10410</v>
      </c>
    </row>
    <row r="52" spans="1:6" x14ac:dyDescent="0.35">
      <c r="A52" s="2" t="s">
        <v>13</v>
      </c>
      <c r="B52" s="2" t="s">
        <v>14</v>
      </c>
      <c r="C52" s="3">
        <v>1960</v>
      </c>
      <c r="D52" s="2">
        <v>474613</v>
      </c>
      <c r="E52" s="2">
        <v>5112</v>
      </c>
      <c r="F52" s="2">
        <f>9907+317</f>
        <v>10224</v>
      </c>
    </row>
    <row r="53" spans="1:6" x14ac:dyDescent="0.35">
      <c r="A53" s="2" t="s">
        <v>13</v>
      </c>
      <c r="B53" s="2" t="s">
        <v>14</v>
      </c>
      <c r="C53" s="3">
        <v>1961</v>
      </c>
      <c r="D53" s="2">
        <v>471410</v>
      </c>
      <c r="E53" s="2">
        <v>5102</v>
      </c>
      <c r="F53" s="2">
        <f>9885+319</f>
        <v>10204</v>
      </c>
    </row>
    <row r="54" spans="1:6" x14ac:dyDescent="0.35">
      <c r="A54" s="2" t="s">
        <v>13</v>
      </c>
      <c r="B54" s="2" t="s">
        <v>14</v>
      </c>
      <c r="C54" s="3">
        <v>1962</v>
      </c>
      <c r="D54" s="2">
        <v>465136</v>
      </c>
      <c r="E54" s="2">
        <v>5159</v>
      </c>
      <c r="F54" s="2">
        <f>10006+312</f>
        <v>10318</v>
      </c>
    </row>
    <row r="55" spans="1:6" x14ac:dyDescent="0.35">
      <c r="A55" s="2" t="s">
        <v>13</v>
      </c>
      <c r="B55" s="2" t="s">
        <v>14</v>
      </c>
      <c r="C55" s="3">
        <v>1963</v>
      </c>
      <c r="D55" s="2">
        <v>461569</v>
      </c>
      <c r="E55" s="2">
        <v>4930</v>
      </c>
      <c r="F55" s="2">
        <f>9553+307</f>
        <v>9860</v>
      </c>
    </row>
    <row r="56" spans="1:6" x14ac:dyDescent="0.35">
      <c r="A56" s="2" t="s">
        <v>13</v>
      </c>
      <c r="B56" s="2" t="s">
        <v>14</v>
      </c>
      <c r="C56" s="3">
        <v>1964</v>
      </c>
      <c r="D56" s="2">
        <v>448814</v>
      </c>
      <c r="E56" s="2">
        <v>4751</v>
      </c>
      <c r="F56" s="2">
        <f>9174+328</f>
        <v>9502</v>
      </c>
    </row>
    <row r="57" spans="1:6" x14ac:dyDescent="0.35">
      <c r="A57" s="2" t="s">
        <v>13</v>
      </c>
      <c r="B57" s="2" t="s">
        <v>14</v>
      </c>
      <c r="C57" s="3">
        <v>1965</v>
      </c>
      <c r="D57" s="2">
        <v>414754</v>
      </c>
      <c r="E57" s="2">
        <v>4307</v>
      </c>
      <c r="F57" s="2">
        <f>8382+232</f>
        <v>8614</v>
      </c>
    </row>
    <row r="58" spans="1:6" x14ac:dyDescent="0.35">
      <c r="A58" s="2" t="s">
        <v>13</v>
      </c>
      <c r="B58" s="2" t="s">
        <v>6</v>
      </c>
      <c r="C58" s="3">
        <v>1966</v>
      </c>
      <c r="D58" s="2" t="s">
        <v>6</v>
      </c>
      <c r="E58" s="2" t="s">
        <v>6</v>
      </c>
      <c r="F58" s="2" t="s">
        <v>6</v>
      </c>
    </row>
    <row r="59" spans="1:6" x14ac:dyDescent="0.35">
      <c r="A59" s="2" t="s">
        <v>13</v>
      </c>
      <c r="B59" s="2" t="s">
        <v>6</v>
      </c>
      <c r="C59" s="3">
        <v>1967</v>
      </c>
      <c r="D59" s="2" t="s">
        <v>6</v>
      </c>
      <c r="E59" s="2" t="s">
        <v>6</v>
      </c>
      <c r="F59" s="2" t="s">
        <v>6</v>
      </c>
    </row>
    <row r="60" spans="1:6" x14ac:dyDescent="0.35">
      <c r="A60" s="2" t="s">
        <v>13</v>
      </c>
      <c r="B60" s="2" t="s">
        <v>6</v>
      </c>
      <c r="C60" s="3">
        <v>1968</v>
      </c>
      <c r="D60" s="2" t="s">
        <v>6</v>
      </c>
      <c r="E60" s="2" t="s">
        <v>6</v>
      </c>
      <c r="F60" s="2" t="s">
        <v>6</v>
      </c>
    </row>
    <row r="61" spans="1:6" x14ac:dyDescent="0.35">
      <c r="A61" s="2" t="s">
        <v>13</v>
      </c>
      <c r="B61" s="2" t="s">
        <v>6</v>
      </c>
      <c r="C61" s="3">
        <v>1969</v>
      </c>
      <c r="D61" s="2" t="s">
        <v>6</v>
      </c>
      <c r="E61" s="2" t="s">
        <v>6</v>
      </c>
      <c r="F61" s="2" t="s">
        <v>6</v>
      </c>
    </row>
    <row r="62" spans="1:6" x14ac:dyDescent="0.35">
      <c r="A62" s="2" t="s">
        <v>13</v>
      </c>
      <c r="B62" s="2" t="s">
        <v>6</v>
      </c>
      <c r="C62" s="3">
        <v>1970</v>
      </c>
      <c r="D62" s="2" t="s">
        <v>6</v>
      </c>
      <c r="E62" s="2" t="s">
        <v>6</v>
      </c>
      <c r="F62" s="2" t="s">
        <v>6</v>
      </c>
    </row>
    <row r="63" spans="1:6" x14ac:dyDescent="0.35">
      <c r="A63" s="2" t="s">
        <v>13</v>
      </c>
      <c r="B63" s="2" t="s">
        <v>6</v>
      </c>
      <c r="C63" s="3">
        <v>1971</v>
      </c>
      <c r="D63" s="2" t="s">
        <v>6</v>
      </c>
      <c r="E63" s="2" t="s">
        <v>6</v>
      </c>
      <c r="F63" s="2" t="s">
        <v>6</v>
      </c>
    </row>
    <row r="64" spans="1:6" x14ac:dyDescent="0.35">
      <c r="A64" s="2" t="s">
        <v>13</v>
      </c>
      <c r="B64" s="2" t="s">
        <v>15</v>
      </c>
      <c r="C64" s="3">
        <v>1972</v>
      </c>
      <c r="D64" s="6" t="s">
        <v>6</v>
      </c>
      <c r="E64" s="6">
        <v>3095</v>
      </c>
      <c r="F64" s="6" t="s">
        <v>6</v>
      </c>
    </row>
    <row r="65" spans="1:6" x14ac:dyDescent="0.35">
      <c r="A65" s="2" t="s">
        <v>13</v>
      </c>
      <c r="B65" s="2" t="s">
        <v>15</v>
      </c>
      <c r="C65" s="3">
        <v>1973</v>
      </c>
      <c r="D65" s="6" t="s">
        <v>6</v>
      </c>
      <c r="E65" s="6">
        <v>2995</v>
      </c>
      <c r="F65" s="6" t="s">
        <v>6</v>
      </c>
    </row>
    <row r="66" spans="1:6" x14ac:dyDescent="0.35">
      <c r="A66" s="2" t="s">
        <v>13</v>
      </c>
      <c r="B66" s="2" t="s">
        <v>15</v>
      </c>
      <c r="C66" s="3">
        <v>1974</v>
      </c>
      <c r="D66" s="6" t="s">
        <v>6</v>
      </c>
      <c r="E66" s="6">
        <v>3036</v>
      </c>
      <c r="F66" s="6" t="s">
        <v>6</v>
      </c>
    </row>
    <row r="67" spans="1:6" x14ac:dyDescent="0.35">
      <c r="A67" s="2" t="s">
        <v>13</v>
      </c>
      <c r="B67" s="2" t="s">
        <v>15</v>
      </c>
      <c r="C67" s="3">
        <v>1975</v>
      </c>
      <c r="D67" s="6" t="s">
        <v>6</v>
      </c>
      <c r="E67" s="6">
        <v>3129</v>
      </c>
      <c r="F67" s="6" t="s">
        <v>6</v>
      </c>
    </row>
    <row r="68" spans="1:6" x14ac:dyDescent="0.35">
      <c r="A68" s="2" t="s">
        <v>13</v>
      </c>
      <c r="B68" s="2" t="s">
        <v>15</v>
      </c>
      <c r="C68" s="3">
        <v>1976</v>
      </c>
      <c r="D68" s="6" t="s">
        <v>6</v>
      </c>
      <c r="E68" s="6">
        <v>3209</v>
      </c>
      <c r="F68" s="6" t="s">
        <v>6</v>
      </c>
    </row>
    <row r="69" spans="1:6" x14ac:dyDescent="0.35">
      <c r="A69" s="2" t="s">
        <v>13</v>
      </c>
      <c r="B69" s="2" t="s">
        <v>15</v>
      </c>
      <c r="C69" s="3">
        <v>1977</v>
      </c>
      <c r="D69" s="6" t="s">
        <v>6</v>
      </c>
      <c r="E69" s="6">
        <v>3181</v>
      </c>
      <c r="F69" s="6" t="s">
        <v>6</v>
      </c>
    </row>
    <row r="70" spans="1:6" x14ac:dyDescent="0.35">
      <c r="A70" s="2" t="s">
        <v>13</v>
      </c>
      <c r="B70" s="2" t="s">
        <v>15</v>
      </c>
      <c r="C70" s="3">
        <v>1978</v>
      </c>
      <c r="D70" s="6" t="s">
        <v>6</v>
      </c>
      <c r="E70" s="6">
        <v>3332</v>
      </c>
      <c r="F70" s="6" t="s">
        <v>6</v>
      </c>
    </row>
    <row r="71" spans="1:6" x14ac:dyDescent="0.35">
      <c r="A71" s="2" t="s">
        <v>13</v>
      </c>
      <c r="B71" s="2" t="s">
        <v>15</v>
      </c>
      <c r="C71" s="3">
        <v>1979</v>
      </c>
      <c r="D71" s="6" t="s">
        <v>6</v>
      </c>
      <c r="E71" s="6">
        <v>3282</v>
      </c>
      <c r="F71" s="6" t="s">
        <v>6</v>
      </c>
    </row>
    <row r="72" spans="1:6" x14ac:dyDescent="0.35">
      <c r="A72" s="2" t="s">
        <v>13</v>
      </c>
      <c r="B72" s="2" t="s">
        <v>15</v>
      </c>
      <c r="C72" s="3">
        <v>1980</v>
      </c>
      <c r="D72" s="6" t="s">
        <v>6</v>
      </c>
      <c r="E72" s="6">
        <v>3428</v>
      </c>
      <c r="F72" s="6" t="s">
        <v>6</v>
      </c>
    </row>
    <row r="73" spans="1:6" x14ac:dyDescent="0.35">
      <c r="A73" s="2" t="s">
        <v>13</v>
      </c>
      <c r="B73" s="2" t="s">
        <v>15</v>
      </c>
      <c r="C73" s="3">
        <v>1981</v>
      </c>
      <c r="D73" s="6" t="s">
        <v>6</v>
      </c>
      <c r="E73" s="6">
        <v>3337</v>
      </c>
      <c r="F73" s="6" t="s">
        <v>6</v>
      </c>
    </row>
    <row r="74" spans="1:6" x14ac:dyDescent="0.35">
      <c r="A74" s="2" t="s">
        <v>13</v>
      </c>
      <c r="B74" s="2" t="s">
        <v>15</v>
      </c>
      <c r="C74" s="3">
        <v>1982</v>
      </c>
      <c r="D74" s="6" t="s">
        <v>6</v>
      </c>
      <c r="E74" s="6">
        <v>3398</v>
      </c>
      <c r="F74" s="6" t="s">
        <v>6</v>
      </c>
    </row>
    <row r="75" spans="1:6" x14ac:dyDescent="0.35">
      <c r="A75" s="2" t="s">
        <v>13</v>
      </c>
      <c r="B75" s="2" t="s">
        <v>15</v>
      </c>
      <c r="C75" s="3">
        <v>1983</v>
      </c>
      <c r="D75" s="6" t="s">
        <v>6</v>
      </c>
      <c r="E75" s="6">
        <v>3461</v>
      </c>
      <c r="F75" s="6" t="s">
        <v>6</v>
      </c>
    </row>
    <row r="76" spans="1:6" x14ac:dyDescent="0.35">
      <c r="A76" s="2" t="s">
        <v>13</v>
      </c>
      <c r="B76" s="2" t="s">
        <v>15</v>
      </c>
      <c r="C76" s="3">
        <v>1984</v>
      </c>
      <c r="D76" s="6" t="s">
        <v>6</v>
      </c>
      <c r="E76" s="6">
        <v>3555</v>
      </c>
      <c r="F76" s="6" t="s">
        <v>6</v>
      </c>
    </row>
    <row r="77" spans="1:6" x14ac:dyDescent="0.35">
      <c r="A77" s="2" t="s">
        <v>13</v>
      </c>
      <c r="B77" s="2" t="s">
        <v>15</v>
      </c>
      <c r="C77" s="3">
        <v>1985</v>
      </c>
      <c r="D77" s="6" t="s">
        <v>6</v>
      </c>
      <c r="E77" s="6">
        <v>3617</v>
      </c>
      <c r="F77" s="6" t="s">
        <v>6</v>
      </c>
    </row>
    <row r="78" spans="1:6" x14ac:dyDescent="0.35">
      <c r="A78" s="2" t="s">
        <v>13</v>
      </c>
      <c r="B78" s="2" t="s">
        <v>15</v>
      </c>
      <c r="C78" s="3">
        <v>1986</v>
      </c>
      <c r="D78" s="6" t="s">
        <v>6</v>
      </c>
      <c r="E78" s="6">
        <v>3509</v>
      </c>
      <c r="F78" s="6" t="s">
        <v>6</v>
      </c>
    </row>
    <row r="79" spans="1:6" x14ac:dyDescent="0.35">
      <c r="A79" s="2" t="s">
        <v>13</v>
      </c>
      <c r="B79" s="2" t="s">
        <v>15</v>
      </c>
      <c r="C79" s="3">
        <v>1987</v>
      </c>
      <c r="D79" s="6" t="s">
        <v>6</v>
      </c>
      <c r="E79" s="6">
        <v>3701</v>
      </c>
      <c r="F79" s="6" t="s">
        <v>6</v>
      </c>
    </row>
    <row r="80" spans="1:6" x14ac:dyDescent="0.35">
      <c r="A80" s="2" t="s">
        <v>13</v>
      </c>
      <c r="B80" s="2" t="s">
        <v>15</v>
      </c>
      <c r="C80" s="3">
        <v>1988</v>
      </c>
      <c r="D80" s="6" t="s">
        <v>6</v>
      </c>
      <c r="E80" s="6">
        <v>3781</v>
      </c>
      <c r="F80" s="6" t="s">
        <v>6</v>
      </c>
    </row>
    <row r="81" spans="1:6" x14ac:dyDescent="0.35">
      <c r="A81" s="2" t="s">
        <v>13</v>
      </c>
      <c r="B81" s="2" t="s">
        <v>15</v>
      </c>
      <c r="C81" s="3">
        <v>1989</v>
      </c>
      <c r="D81" s="6" t="s">
        <v>6</v>
      </c>
      <c r="E81" s="6">
        <v>4000</v>
      </c>
      <c r="F81" s="6" t="s">
        <v>6</v>
      </c>
    </row>
    <row r="82" spans="1:6" x14ac:dyDescent="0.35">
      <c r="A82" s="2" t="s">
        <v>13</v>
      </c>
      <c r="B82" s="2" t="s">
        <v>15</v>
      </c>
      <c r="C82" s="3">
        <v>1990</v>
      </c>
      <c r="D82" s="6" t="s">
        <v>6</v>
      </c>
      <c r="E82" s="6">
        <v>4108</v>
      </c>
      <c r="F82" s="6" t="s">
        <v>6</v>
      </c>
    </row>
    <row r="83" spans="1:6" x14ac:dyDescent="0.35">
      <c r="A83" s="2" t="s">
        <v>13</v>
      </c>
      <c r="B83" s="2" t="s">
        <v>16</v>
      </c>
      <c r="C83" s="2">
        <v>1991</v>
      </c>
      <c r="D83" s="2">
        <v>396515</v>
      </c>
      <c r="E83" s="2" t="s">
        <v>6</v>
      </c>
      <c r="F83" s="2">
        <v>8030</v>
      </c>
    </row>
    <row r="84" spans="1:6" x14ac:dyDescent="0.35">
      <c r="A84" s="2" t="s">
        <v>13</v>
      </c>
      <c r="B84" s="2" t="s">
        <v>16</v>
      </c>
      <c r="C84" s="2">
        <v>1992</v>
      </c>
      <c r="D84" s="2">
        <v>392680</v>
      </c>
      <c r="E84" s="2" t="s">
        <v>6</v>
      </c>
      <c r="F84" s="2">
        <v>8165</v>
      </c>
    </row>
    <row r="85" spans="1:6" x14ac:dyDescent="0.35">
      <c r="A85" s="2" t="s">
        <v>13</v>
      </c>
      <c r="B85" s="2" t="s">
        <v>16</v>
      </c>
      <c r="C85" s="2">
        <v>1993</v>
      </c>
      <c r="D85" s="2">
        <v>382430</v>
      </c>
      <c r="E85" s="2" t="s">
        <v>6</v>
      </c>
      <c r="F85" s="2">
        <v>7950</v>
      </c>
    </row>
    <row r="86" spans="1:6" x14ac:dyDescent="0.35">
      <c r="A86" s="2" t="s">
        <v>13</v>
      </c>
      <c r="B86" s="2" t="s">
        <v>16</v>
      </c>
      <c r="C86" s="2">
        <v>1994</v>
      </c>
      <c r="D86" s="2">
        <v>378525</v>
      </c>
      <c r="E86" s="2" t="s">
        <v>6</v>
      </c>
      <c r="F86" s="2">
        <v>8510</v>
      </c>
    </row>
    <row r="87" spans="1:6" x14ac:dyDescent="0.35">
      <c r="A87" s="2" t="s">
        <v>13</v>
      </c>
      <c r="B87" s="2" t="s">
        <v>16</v>
      </c>
      <c r="C87" s="2">
        <v>1995</v>
      </c>
      <c r="D87" s="2">
        <v>371550</v>
      </c>
      <c r="E87" s="2" t="s">
        <v>6</v>
      </c>
      <c r="F87" s="2">
        <v>8515</v>
      </c>
    </row>
    <row r="88" spans="1:6" x14ac:dyDescent="0.35">
      <c r="A88" s="2" t="s">
        <v>13</v>
      </c>
      <c r="B88" s="2" t="s">
        <v>16</v>
      </c>
      <c r="C88" s="2">
        <v>1996</v>
      </c>
      <c r="D88" s="2">
        <v>359380</v>
      </c>
      <c r="E88" s="2" t="s">
        <v>6</v>
      </c>
      <c r="F88" s="2">
        <v>8570</v>
      </c>
    </row>
    <row r="89" spans="1:6" x14ac:dyDescent="0.35">
      <c r="A89" s="2" t="s">
        <v>13</v>
      </c>
      <c r="B89" s="2" t="s">
        <v>16</v>
      </c>
      <c r="C89" s="2">
        <v>1997</v>
      </c>
      <c r="D89" s="2">
        <v>341855</v>
      </c>
      <c r="E89" s="2" t="s">
        <v>6</v>
      </c>
      <c r="F89" s="2">
        <v>8495</v>
      </c>
    </row>
    <row r="90" spans="1:6" x14ac:dyDescent="0.35">
      <c r="A90" s="2" t="s">
        <v>13</v>
      </c>
      <c r="B90" s="2" t="s">
        <v>16</v>
      </c>
      <c r="C90" s="2">
        <v>1998</v>
      </c>
      <c r="D90" s="2">
        <v>335225</v>
      </c>
      <c r="E90" s="2" t="s">
        <v>6</v>
      </c>
      <c r="F90" s="2">
        <v>8805</v>
      </c>
    </row>
    <row r="91" spans="1:6" x14ac:dyDescent="0.35">
      <c r="A91" s="2" t="s">
        <v>13</v>
      </c>
      <c r="B91" s="2" t="s">
        <v>16</v>
      </c>
      <c r="C91" s="2">
        <v>1999</v>
      </c>
      <c r="D91" s="2">
        <v>330040</v>
      </c>
      <c r="E91" s="2" t="s">
        <v>6</v>
      </c>
      <c r="F91" s="2">
        <v>8870</v>
      </c>
    </row>
    <row r="92" spans="1:6" x14ac:dyDescent="0.35">
      <c r="A92" s="2" t="s">
        <v>13</v>
      </c>
      <c r="B92" s="2" t="s">
        <v>16</v>
      </c>
      <c r="C92" s="2">
        <v>2000</v>
      </c>
      <c r="D92" s="2">
        <v>320755</v>
      </c>
      <c r="E92" s="2" t="s">
        <v>6</v>
      </c>
      <c r="F92" s="2">
        <v>8740</v>
      </c>
    </row>
    <row r="93" spans="1:6" x14ac:dyDescent="0.35">
      <c r="A93" s="2" t="s">
        <v>13</v>
      </c>
      <c r="B93" s="2" t="s">
        <v>16</v>
      </c>
      <c r="C93" s="2">
        <v>2001</v>
      </c>
      <c r="D93" s="2">
        <v>326195</v>
      </c>
      <c r="E93" s="2" t="s">
        <v>6</v>
      </c>
      <c r="F93" s="2">
        <v>9215</v>
      </c>
    </row>
    <row r="94" spans="1:6" x14ac:dyDescent="0.35">
      <c r="A94" s="2" t="s">
        <v>13</v>
      </c>
      <c r="B94" s="2" t="s">
        <v>16</v>
      </c>
      <c r="C94" s="2">
        <v>2002</v>
      </c>
      <c r="D94" s="2">
        <v>321105</v>
      </c>
      <c r="E94" s="2" t="s">
        <v>6</v>
      </c>
      <c r="F94" s="2">
        <v>9265</v>
      </c>
    </row>
    <row r="95" spans="1:6" x14ac:dyDescent="0.35">
      <c r="A95" s="2" t="s">
        <v>13</v>
      </c>
      <c r="B95" s="2" t="s">
        <v>16</v>
      </c>
      <c r="C95" s="2">
        <v>2003</v>
      </c>
      <c r="D95" s="2">
        <v>327030</v>
      </c>
      <c r="E95" s="2" t="s">
        <v>6</v>
      </c>
      <c r="F95" s="2">
        <v>9915</v>
      </c>
    </row>
    <row r="96" spans="1:6" x14ac:dyDescent="0.35">
      <c r="A96" s="2" t="s">
        <v>13</v>
      </c>
      <c r="B96" s="2" t="s">
        <v>16</v>
      </c>
      <c r="C96" s="2">
        <v>2004</v>
      </c>
      <c r="D96" s="2">
        <v>328735</v>
      </c>
      <c r="E96" s="2" t="s">
        <v>6</v>
      </c>
      <c r="F96" s="2">
        <v>9990</v>
      </c>
    </row>
    <row r="97" spans="1:6" x14ac:dyDescent="0.35">
      <c r="A97" s="2" t="s">
        <v>13</v>
      </c>
      <c r="B97" s="2" t="s">
        <v>16</v>
      </c>
      <c r="C97" s="2">
        <v>2005</v>
      </c>
      <c r="D97" s="2">
        <v>333775</v>
      </c>
      <c r="E97" s="2" t="s">
        <v>6</v>
      </c>
      <c r="F97" s="2">
        <v>10220</v>
      </c>
    </row>
    <row r="98" spans="1:6" x14ac:dyDescent="0.35">
      <c r="A98" s="2" t="s">
        <v>13</v>
      </c>
      <c r="B98" s="2" t="s">
        <v>16</v>
      </c>
      <c r="C98" s="2">
        <v>2006</v>
      </c>
      <c r="D98" s="2">
        <v>345645</v>
      </c>
      <c r="E98" s="2" t="s">
        <v>6</v>
      </c>
      <c r="F98" s="2">
        <v>10880</v>
      </c>
    </row>
    <row r="99" spans="1:6" x14ac:dyDescent="0.35">
      <c r="A99" s="2" t="s">
        <v>13</v>
      </c>
      <c r="B99" s="2" t="s">
        <v>16</v>
      </c>
      <c r="C99" s="2">
        <v>2007</v>
      </c>
      <c r="D99" s="2">
        <v>358745</v>
      </c>
      <c r="E99" s="2" t="s">
        <v>6</v>
      </c>
      <c r="F99" s="2">
        <v>11415</v>
      </c>
    </row>
    <row r="100" spans="1:6" x14ac:dyDescent="0.35">
      <c r="A100" s="2" t="s">
        <v>13</v>
      </c>
      <c r="B100" s="2" t="s">
        <v>16</v>
      </c>
      <c r="C100" s="2">
        <v>2008</v>
      </c>
      <c r="D100" s="2">
        <v>368645</v>
      </c>
      <c r="E100" s="2" t="s">
        <v>6</v>
      </c>
      <c r="F100" s="2">
        <v>11635</v>
      </c>
    </row>
    <row r="101" spans="1:6" x14ac:dyDescent="0.35">
      <c r="A101" s="2" t="s">
        <v>13</v>
      </c>
      <c r="B101" s="2" t="s">
        <v>16</v>
      </c>
      <c r="C101" s="2">
        <v>2009</v>
      </c>
      <c r="D101" s="2">
        <v>370720</v>
      </c>
      <c r="E101" s="2" t="s">
        <v>6</v>
      </c>
      <c r="F101" s="2">
        <v>12470</v>
      </c>
    </row>
    <row r="102" spans="1:6" x14ac:dyDescent="0.35">
      <c r="A102" s="2" t="s">
        <v>13</v>
      </c>
      <c r="B102" s="2" t="s">
        <v>16</v>
      </c>
      <c r="C102" s="2">
        <v>2010</v>
      </c>
      <c r="D102" s="2">
        <v>367005</v>
      </c>
      <c r="E102" s="2" t="s">
        <v>6</v>
      </c>
      <c r="F102" s="2">
        <v>12340</v>
      </c>
    </row>
    <row r="103" spans="1:6" x14ac:dyDescent="0.35">
      <c r="A103" s="2" t="s">
        <v>13</v>
      </c>
      <c r="B103" s="2" t="s">
        <v>16</v>
      </c>
      <c r="C103" s="2">
        <v>2011</v>
      </c>
      <c r="D103" s="2">
        <v>367910</v>
      </c>
      <c r="E103" s="2" t="s">
        <v>6</v>
      </c>
      <c r="F103" s="2">
        <v>12190</v>
      </c>
    </row>
    <row r="104" spans="1:6" x14ac:dyDescent="0.35">
      <c r="A104" s="2" t="s">
        <v>13</v>
      </c>
      <c r="B104" s="2" t="s">
        <v>16</v>
      </c>
      <c r="C104" s="2">
        <v>2012</v>
      </c>
      <c r="D104" s="2">
        <v>372280</v>
      </c>
      <c r="E104" s="2" t="s">
        <v>6</v>
      </c>
      <c r="F104" s="2">
        <v>12130</v>
      </c>
    </row>
    <row r="105" spans="1:6" x14ac:dyDescent="0.35">
      <c r="A105" s="2" t="s">
        <v>13</v>
      </c>
      <c r="B105" s="2" t="s">
        <v>16</v>
      </c>
      <c r="C105" s="2">
        <v>2013</v>
      </c>
      <c r="D105" s="2">
        <v>370625</v>
      </c>
      <c r="E105" s="2" t="s">
        <v>6</v>
      </c>
      <c r="F105" s="2">
        <v>12380</v>
      </c>
    </row>
    <row r="106" spans="1:6" x14ac:dyDescent="0.35">
      <c r="A106" s="2" t="s">
        <v>13</v>
      </c>
      <c r="B106" s="2" t="s">
        <v>16</v>
      </c>
      <c r="C106" s="2">
        <v>2014</v>
      </c>
      <c r="D106" s="2">
        <v>374575</v>
      </c>
      <c r="E106" s="2" t="s">
        <v>6</v>
      </c>
      <c r="F106" s="2">
        <v>12330</v>
      </c>
    </row>
    <row r="107" spans="1:6" x14ac:dyDescent="0.35">
      <c r="A107" s="2" t="s">
        <v>13</v>
      </c>
      <c r="B107" s="2" t="s">
        <v>16</v>
      </c>
      <c r="C107" s="2">
        <v>2015</v>
      </c>
      <c r="D107" s="2">
        <v>372820</v>
      </c>
      <c r="E107" s="2" t="s">
        <v>6</v>
      </c>
      <c r="F107" s="2">
        <v>12160</v>
      </c>
    </row>
    <row r="108" spans="1:6" x14ac:dyDescent="0.35">
      <c r="A108" s="2" t="s">
        <v>13</v>
      </c>
      <c r="B108" s="2" t="s">
        <v>16</v>
      </c>
      <c r="C108" s="2">
        <v>2016</v>
      </c>
      <c r="D108" s="2">
        <v>373930</v>
      </c>
      <c r="E108" s="2" t="s">
        <v>6</v>
      </c>
      <c r="F108" s="2">
        <v>11890</v>
      </c>
    </row>
    <row r="109" spans="1:6" x14ac:dyDescent="0.35">
      <c r="A109" s="2" t="s">
        <v>13</v>
      </c>
      <c r="B109" s="2" t="s">
        <v>16</v>
      </c>
      <c r="C109" s="2">
        <v>2017</v>
      </c>
      <c r="D109" s="2">
        <v>368540</v>
      </c>
      <c r="E109" s="2" t="s">
        <v>6</v>
      </c>
      <c r="F109" s="2">
        <v>11615</v>
      </c>
    </row>
    <row r="110" spans="1:6" x14ac:dyDescent="0.35">
      <c r="A110" s="2" t="s">
        <v>13</v>
      </c>
      <c r="B110" s="2" t="s">
        <v>16</v>
      </c>
      <c r="C110" s="2">
        <v>2018</v>
      </c>
      <c r="D110" s="2">
        <v>365320</v>
      </c>
      <c r="E110" s="2" t="s">
        <v>6</v>
      </c>
      <c r="F110" s="2">
        <v>11470</v>
      </c>
    </row>
    <row r="111" spans="1:6" x14ac:dyDescent="0.35">
      <c r="A111" s="2" t="s">
        <v>13</v>
      </c>
      <c r="B111" s="2" t="s">
        <v>16</v>
      </c>
      <c r="C111" s="3">
        <v>2019</v>
      </c>
      <c r="D111" s="3">
        <v>363470</v>
      </c>
      <c r="E111" s="2" t="s">
        <v>6</v>
      </c>
      <c r="F111" s="3">
        <v>11450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A4DF-0019-46DD-8576-FFD8D0F101EB}">
  <dimension ref="A1:F237"/>
  <sheetViews>
    <sheetView zoomScale="40" zoomScaleNormal="40" workbookViewId="0">
      <selection activeCell="N23" sqref="N23"/>
    </sheetView>
  </sheetViews>
  <sheetFormatPr defaultRowHeight="14.5" x14ac:dyDescent="0.35"/>
  <cols>
    <col min="1" max="1" width="11.6328125" style="3" customWidth="1"/>
    <col min="2" max="2" width="11" style="3" customWidth="1"/>
    <col min="3" max="3" width="8.1796875" style="3" customWidth="1"/>
    <col min="4" max="4" width="14.36328125" style="3" customWidth="1"/>
    <col min="5" max="5" width="19.542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17</v>
      </c>
      <c r="B2" s="2" t="s">
        <v>4</v>
      </c>
      <c r="C2" s="2">
        <v>1906</v>
      </c>
      <c r="D2" s="6" t="s">
        <v>6</v>
      </c>
      <c r="E2" s="6" t="s">
        <v>6</v>
      </c>
      <c r="F2" s="6" t="s">
        <v>6</v>
      </c>
    </row>
    <row r="3" spans="1:6" x14ac:dyDescent="0.35">
      <c r="A3" s="2" t="s">
        <v>17</v>
      </c>
      <c r="B3" s="2" t="s">
        <v>4</v>
      </c>
      <c r="C3" s="2">
        <v>1907</v>
      </c>
      <c r="D3" s="6" t="s">
        <v>6</v>
      </c>
      <c r="E3" s="6" t="s">
        <v>6</v>
      </c>
      <c r="F3" s="6" t="s">
        <v>6</v>
      </c>
    </row>
    <row r="4" spans="1:6" x14ac:dyDescent="0.35">
      <c r="A4" s="2" t="s">
        <v>17</v>
      </c>
      <c r="B4" s="2" t="s">
        <v>4</v>
      </c>
      <c r="C4" s="2">
        <v>1908</v>
      </c>
      <c r="D4" s="6" t="s">
        <v>6</v>
      </c>
      <c r="E4" s="6" t="s">
        <v>6</v>
      </c>
      <c r="F4" s="6" t="s">
        <v>6</v>
      </c>
    </row>
    <row r="5" spans="1:6" x14ac:dyDescent="0.35">
      <c r="A5" s="2" t="s">
        <v>17</v>
      </c>
      <c r="B5" s="2" t="s">
        <v>4</v>
      </c>
      <c r="C5" s="2">
        <v>1909</v>
      </c>
      <c r="D5" s="6" t="s">
        <v>6</v>
      </c>
      <c r="E5" s="6" t="s">
        <v>6</v>
      </c>
      <c r="F5" s="6" t="s">
        <v>6</v>
      </c>
    </row>
    <row r="6" spans="1:6" x14ac:dyDescent="0.35">
      <c r="A6" s="2" t="s">
        <v>17</v>
      </c>
      <c r="B6" s="2" t="s">
        <v>4</v>
      </c>
      <c r="C6" s="2">
        <v>1910</v>
      </c>
      <c r="D6" s="6" t="s">
        <v>6</v>
      </c>
      <c r="E6" s="6" t="s">
        <v>6</v>
      </c>
      <c r="F6" s="6" t="s">
        <v>6</v>
      </c>
    </row>
    <row r="7" spans="1:6" x14ac:dyDescent="0.35">
      <c r="A7" s="2" t="s">
        <v>17</v>
      </c>
      <c r="B7" s="2" t="s">
        <v>4</v>
      </c>
      <c r="C7" s="2">
        <v>1911</v>
      </c>
      <c r="D7" s="6" t="s">
        <v>6</v>
      </c>
      <c r="E7" s="6" t="s">
        <v>6</v>
      </c>
      <c r="F7" s="6" t="s">
        <v>6</v>
      </c>
    </row>
    <row r="8" spans="1:6" x14ac:dyDescent="0.35">
      <c r="A8" s="2" t="s">
        <v>17</v>
      </c>
      <c r="B8" s="2" t="s">
        <v>4</v>
      </c>
      <c r="C8" s="2">
        <v>1912</v>
      </c>
      <c r="D8" s="6" t="s">
        <v>6</v>
      </c>
      <c r="E8" s="6" t="s">
        <v>6</v>
      </c>
      <c r="F8" s="6" t="s">
        <v>6</v>
      </c>
    </row>
    <row r="9" spans="1:6" x14ac:dyDescent="0.35">
      <c r="A9" s="2" t="s">
        <v>17</v>
      </c>
      <c r="B9" s="2" t="s">
        <v>4</v>
      </c>
      <c r="C9" s="2">
        <v>1913</v>
      </c>
      <c r="D9" s="6" t="s">
        <v>6</v>
      </c>
      <c r="E9" s="6" t="s">
        <v>6</v>
      </c>
      <c r="F9" s="6" t="s">
        <v>6</v>
      </c>
    </row>
    <row r="10" spans="1:6" x14ac:dyDescent="0.35">
      <c r="A10" s="2" t="s">
        <v>17</v>
      </c>
      <c r="B10" s="2" t="s">
        <v>4</v>
      </c>
      <c r="C10" s="2">
        <v>1914</v>
      </c>
      <c r="D10" s="6" t="s">
        <v>6</v>
      </c>
      <c r="E10" s="6" t="s">
        <v>6</v>
      </c>
      <c r="F10" s="6" t="s">
        <v>6</v>
      </c>
    </row>
    <row r="11" spans="1:6" x14ac:dyDescent="0.35">
      <c r="A11" s="2" t="s">
        <v>17</v>
      </c>
      <c r="B11" s="2" t="s">
        <v>4</v>
      </c>
      <c r="C11" s="2">
        <v>1915</v>
      </c>
      <c r="D11" s="6" t="s">
        <v>6</v>
      </c>
      <c r="E11" s="6" t="s">
        <v>6</v>
      </c>
      <c r="F11" s="6" t="s">
        <v>6</v>
      </c>
    </row>
    <row r="12" spans="1:6" x14ac:dyDescent="0.35">
      <c r="A12" s="2" t="s">
        <v>17</v>
      </c>
      <c r="B12" s="2" t="s">
        <v>4</v>
      </c>
      <c r="C12" s="2">
        <v>1916</v>
      </c>
      <c r="D12" s="6" t="s">
        <v>6</v>
      </c>
      <c r="E12" s="6" t="s">
        <v>6</v>
      </c>
      <c r="F12" s="6" t="s">
        <v>6</v>
      </c>
    </row>
    <row r="13" spans="1:6" x14ac:dyDescent="0.35">
      <c r="A13" s="2" t="s">
        <v>17</v>
      </c>
      <c r="B13" s="2" t="s">
        <v>4</v>
      </c>
      <c r="C13" s="2">
        <v>1917</v>
      </c>
      <c r="D13" s="6" t="s">
        <v>6</v>
      </c>
      <c r="E13" s="6" t="s">
        <v>6</v>
      </c>
      <c r="F13" s="6" t="s">
        <v>6</v>
      </c>
    </row>
    <row r="14" spans="1:6" x14ac:dyDescent="0.35">
      <c r="A14" s="2" t="s">
        <v>17</v>
      </c>
      <c r="B14" s="2" t="s">
        <v>4</v>
      </c>
      <c r="C14" s="2">
        <v>1918</v>
      </c>
      <c r="D14" s="6" t="s">
        <v>6</v>
      </c>
      <c r="E14" s="6" t="s">
        <v>6</v>
      </c>
      <c r="F14" s="6" t="s">
        <v>6</v>
      </c>
    </row>
    <row r="15" spans="1:6" x14ac:dyDescent="0.35">
      <c r="A15" s="2" t="s">
        <v>17</v>
      </c>
      <c r="B15" s="2" t="s">
        <v>4</v>
      </c>
      <c r="C15" s="2">
        <v>1919</v>
      </c>
      <c r="D15" s="6" t="s">
        <v>6</v>
      </c>
      <c r="E15" s="6" t="s">
        <v>6</v>
      </c>
      <c r="F15" s="6" t="s">
        <v>6</v>
      </c>
    </row>
    <row r="16" spans="1:6" x14ac:dyDescent="0.35">
      <c r="A16" s="2" t="s">
        <v>17</v>
      </c>
      <c r="B16" s="2" t="s">
        <v>4</v>
      </c>
      <c r="C16" s="2">
        <v>1920</v>
      </c>
      <c r="D16" s="6" t="s">
        <v>6</v>
      </c>
      <c r="E16" s="6" t="s">
        <v>6</v>
      </c>
      <c r="F16" s="6" t="s">
        <v>6</v>
      </c>
    </row>
    <row r="17" spans="1:6" x14ac:dyDescent="0.35">
      <c r="A17" s="2" t="s">
        <v>17</v>
      </c>
      <c r="B17" s="2" t="s">
        <v>4</v>
      </c>
      <c r="C17" s="2">
        <v>1921</v>
      </c>
      <c r="D17" s="6" t="s">
        <v>6</v>
      </c>
      <c r="E17" s="6" t="s">
        <v>6</v>
      </c>
      <c r="F17" s="6" t="s">
        <v>6</v>
      </c>
    </row>
    <row r="18" spans="1:6" x14ac:dyDescent="0.35">
      <c r="A18" s="2" t="s">
        <v>17</v>
      </c>
      <c r="B18" s="2" t="s">
        <v>4</v>
      </c>
      <c r="C18" s="2">
        <v>1922</v>
      </c>
      <c r="D18" s="6" t="s">
        <v>6</v>
      </c>
      <c r="E18" s="6" t="s">
        <v>6</v>
      </c>
      <c r="F18" s="6" t="s">
        <v>6</v>
      </c>
    </row>
    <row r="19" spans="1:6" x14ac:dyDescent="0.35">
      <c r="A19" s="2" t="s">
        <v>17</v>
      </c>
      <c r="B19" s="2" t="s">
        <v>4</v>
      </c>
      <c r="C19" s="2">
        <v>1923</v>
      </c>
      <c r="D19" s="6" t="s">
        <v>6</v>
      </c>
      <c r="E19" s="6" t="s">
        <v>6</v>
      </c>
      <c r="F19" s="6" t="s">
        <v>6</v>
      </c>
    </row>
    <row r="20" spans="1:6" x14ac:dyDescent="0.35">
      <c r="A20" s="2" t="s">
        <v>17</v>
      </c>
      <c r="B20" s="2" t="s">
        <v>4</v>
      </c>
      <c r="C20" s="2">
        <v>1924</v>
      </c>
      <c r="D20" s="6" t="s">
        <v>6</v>
      </c>
      <c r="E20" s="6" t="s">
        <v>6</v>
      </c>
      <c r="F20" s="6" t="s">
        <v>6</v>
      </c>
    </row>
    <row r="21" spans="1:6" x14ac:dyDescent="0.35">
      <c r="A21" s="2" t="s">
        <v>17</v>
      </c>
      <c r="B21" s="2" t="s">
        <v>4</v>
      </c>
      <c r="C21" s="2">
        <v>1925</v>
      </c>
      <c r="D21" s="6" t="s">
        <v>6</v>
      </c>
      <c r="E21" s="6" t="s">
        <v>6</v>
      </c>
      <c r="F21" s="6" t="s">
        <v>6</v>
      </c>
    </row>
    <row r="22" spans="1:6" x14ac:dyDescent="0.35">
      <c r="A22" s="2" t="s">
        <v>17</v>
      </c>
      <c r="B22" s="2" t="s">
        <v>4</v>
      </c>
      <c r="C22" s="2">
        <v>1926</v>
      </c>
      <c r="D22" s="6" t="s">
        <v>6</v>
      </c>
      <c r="E22" s="6" t="s">
        <v>6</v>
      </c>
      <c r="F22" s="6" t="s">
        <v>6</v>
      </c>
    </row>
    <row r="23" spans="1:6" x14ac:dyDescent="0.35">
      <c r="A23" s="2" t="s">
        <v>17</v>
      </c>
      <c r="B23" s="2" t="s">
        <v>4</v>
      </c>
      <c r="C23" s="2">
        <v>1927</v>
      </c>
      <c r="D23" s="6" t="s">
        <v>6</v>
      </c>
      <c r="E23" s="6" t="s">
        <v>6</v>
      </c>
      <c r="F23" s="6" t="s">
        <v>6</v>
      </c>
    </row>
    <row r="24" spans="1:6" x14ac:dyDescent="0.35">
      <c r="A24" s="2" t="s">
        <v>17</v>
      </c>
      <c r="B24" s="2" t="s">
        <v>4</v>
      </c>
      <c r="C24" s="2">
        <v>1928</v>
      </c>
      <c r="D24" s="6" t="s">
        <v>6</v>
      </c>
      <c r="E24" s="6" t="s">
        <v>6</v>
      </c>
      <c r="F24" s="6" t="s">
        <v>6</v>
      </c>
    </row>
    <row r="25" spans="1:6" x14ac:dyDescent="0.35">
      <c r="A25" s="2" t="s">
        <v>17</v>
      </c>
      <c r="B25" s="2" t="s">
        <v>4</v>
      </c>
      <c r="C25" s="2">
        <v>1929</v>
      </c>
      <c r="D25" s="6" t="s">
        <v>6</v>
      </c>
      <c r="E25" s="6" t="s">
        <v>6</v>
      </c>
      <c r="F25" s="6" t="s">
        <v>6</v>
      </c>
    </row>
    <row r="26" spans="1:6" x14ac:dyDescent="0.35">
      <c r="A26" s="2" t="s">
        <v>17</v>
      </c>
      <c r="B26" s="2" t="s">
        <v>4</v>
      </c>
      <c r="C26" s="2">
        <v>1930</v>
      </c>
      <c r="D26" s="6" t="s">
        <v>6</v>
      </c>
      <c r="E26" s="6" t="s">
        <v>6</v>
      </c>
      <c r="F26" s="6" t="s">
        <v>6</v>
      </c>
    </row>
    <row r="27" spans="1:6" x14ac:dyDescent="0.35">
      <c r="A27" s="2" t="s">
        <v>17</v>
      </c>
      <c r="B27" s="2" t="s">
        <v>4</v>
      </c>
      <c r="C27" s="2">
        <v>1931</v>
      </c>
      <c r="D27" s="6" t="s">
        <v>6</v>
      </c>
      <c r="E27" s="6" t="s">
        <v>6</v>
      </c>
      <c r="F27" s="6" t="s">
        <v>6</v>
      </c>
    </row>
    <row r="28" spans="1:6" x14ac:dyDescent="0.35">
      <c r="A28" s="2" t="s">
        <v>17</v>
      </c>
      <c r="B28" s="2" t="s">
        <v>4</v>
      </c>
      <c r="C28" s="2">
        <v>1932</v>
      </c>
      <c r="D28" s="6" t="s">
        <v>6</v>
      </c>
      <c r="E28" s="6" t="s">
        <v>6</v>
      </c>
      <c r="F28" s="6" t="s">
        <v>6</v>
      </c>
    </row>
    <row r="29" spans="1:6" x14ac:dyDescent="0.35">
      <c r="A29" s="2" t="s">
        <v>17</v>
      </c>
      <c r="B29" s="2" t="s">
        <v>4</v>
      </c>
      <c r="C29" s="2">
        <v>1933</v>
      </c>
      <c r="D29" s="6" t="s">
        <v>6</v>
      </c>
      <c r="E29" s="6" t="s">
        <v>6</v>
      </c>
      <c r="F29" s="6" t="s">
        <v>6</v>
      </c>
    </row>
    <row r="30" spans="1:6" x14ac:dyDescent="0.35">
      <c r="A30" s="2" t="s">
        <v>17</v>
      </c>
      <c r="B30" s="2" t="s">
        <v>4</v>
      </c>
      <c r="C30" s="2">
        <v>1934</v>
      </c>
      <c r="D30" s="6" t="s">
        <v>6</v>
      </c>
      <c r="E30" s="6" t="s">
        <v>6</v>
      </c>
      <c r="F30" s="6" t="s">
        <v>6</v>
      </c>
    </row>
    <row r="31" spans="1:6" x14ac:dyDescent="0.35">
      <c r="A31" s="2" t="s">
        <v>17</v>
      </c>
      <c r="B31" s="2" t="s">
        <v>4</v>
      </c>
      <c r="C31" s="2">
        <v>1935</v>
      </c>
      <c r="D31" s="6" t="s">
        <v>6</v>
      </c>
      <c r="E31" s="6" t="s">
        <v>6</v>
      </c>
      <c r="F31" s="6" t="s">
        <v>6</v>
      </c>
    </row>
    <row r="32" spans="1:6" x14ac:dyDescent="0.35">
      <c r="A32" s="2" t="s">
        <v>17</v>
      </c>
      <c r="B32" s="2" t="s">
        <v>4</v>
      </c>
      <c r="C32" s="2">
        <v>1936</v>
      </c>
      <c r="D32" s="6" t="s">
        <v>6</v>
      </c>
      <c r="E32" s="6" t="s">
        <v>6</v>
      </c>
      <c r="F32" s="6" t="s">
        <v>6</v>
      </c>
    </row>
    <row r="33" spans="1:6" x14ac:dyDescent="0.35">
      <c r="A33" s="2" t="s">
        <v>17</v>
      </c>
      <c r="B33" s="2" t="s">
        <v>6</v>
      </c>
      <c r="C33" s="2">
        <v>1937</v>
      </c>
      <c r="D33" s="6" t="s">
        <v>6</v>
      </c>
      <c r="E33" s="6" t="s">
        <v>6</v>
      </c>
      <c r="F33" s="6" t="s">
        <v>6</v>
      </c>
    </row>
    <row r="34" spans="1:6" x14ac:dyDescent="0.35">
      <c r="A34" s="2" t="s">
        <v>17</v>
      </c>
      <c r="B34" s="2" t="s">
        <v>6</v>
      </c>
      <c r="C34" s="2">
        <v>1938</v>
      </c>
      <c r="D34" s="6" t="s">
        <v>6</v>
      </c>
      <c r="E34" s="6" t="s">
        <v>6</v>
      </c>
      <c r="F34" s="6" t="s">
        <v>6</v>
      </c>
    </row>
    <row r="35" spans="1:6" x14ac:dyDescent="0.35">
      <c r="A35" s="2" t="s">
        <v>17</v>
      </c>
      <c r="B35" s="2" t="s">
        <v>6</v>
      </c>
      <c r="C35" s="2">
        <v>1939</v>
      </c>
      <c r="D35" s="6" t="s">
        <v>6</v>
      </c>
      <c r="E35" s="6" t="s">
        <v>6</v>
      </c>
      <c r="F35" s="6" t="s">
        <v>6</v>
      </c>
    </row>
    <row r="36" spans="1:6" x14ac:dyDescent="0.35">
      <c r="A36" s="2" t="s">
        <v>17</v>
      </c>
      <c r="B36" s="2" t="s">
        <v>6</v>
      </c>
      <c r="C36" s="2">
        <v>1940</v>
      </c>
      <c r="D36" s="6" t="s">
        <v>6</v>
      </c>
      <c r="E36" s="6" t="s">
        <v>6</v>
      </c>
      <c r="F36" s="6" t="s">
        <v>6</v>
      </c>
    </row>
    <row r="37" spans="1:6" x14ac:dyDescent="0.35">
      <c r="A37" s="2" t="s">
        <v>17</v>
      </c>
      <c r="B37" s="2" t="s">
        <v>6</v>
      </c>
      <c r="C37" s="2">
        <v>1941</v>
      </c>
      <c r="D37" s="6" t="s">
        <v>6</v>
      </c>
      <c r="E37" s="6" t="s">
        <v>6</v>
      </c>
      <c r="F37" s="6" t="s">
        <v>6</v>
      </c>
    </row>
    <row r="38" spans="1:6" x14ac:dyDescent="0.35">
      <c r="A38" s="2" t="s">
        <v>17</v>
      </c>
      <c r="B38" s="2" t="s">
        <v>6</v>
      </c>
      <c r="C38" s="2">
        <v>1942</v>
      </c>
      <c r="D38" s="6" t="s">
        <v>6</v>
      </c>
      <c r="E38" s="6" t="s">
        <v>6</v>
      </c>
      <c r="F38" s="6" t="s">
        <v>6</v>
      </c>
    </row>
    <row r="39" spans="1:6" x14ac:dyDescent="0.35">
      <c r="A39" s="2" t="s">
        <v>17</v>
      </c>
      <c r="B39" s="2" t="s">
        <v>6</v>
      </c>
      <c r="C39" s="2">
        <v>1943</v>
      </c>
      <c r="D39" s="6" t="s">
        <v>6</v>
      </c>
      <c r="E39" s="6" t="s">
        <v>6</v>
      </c>
      <c r="F39" s="6" t="s">
        <v>6</v>
      </c>
    </row>
    <row r="40" spans="1:6" x14ac:dyDescent="0.35">
      <c r="A40" s="2" t="s">
        <v>17</v>
      </c>
      <c r="B40" s="2" t="s">
        <v>6</v>
      </c>
      <c r="C40" s="2">
        <v>1944</v>
      </c>
      <c r="D40" s="6" t="s">
        <v>6</v>
      </c>
      <c r="E40" s="6" t="s">
        <v>6</v>
      </c>
      <c r="F40" s="6" t="s">
        <v>6</v>
      </c>
    </row>
    <row r="41" spans="1:6" x14ac:dyDescent="0.35">
      <c r="A41" s="2" t="s">
        <v>17</v>
      </c>
      <c r="B41" s="2" t="s">
        <v>6</v>
      </c>
      <c r="C41" s="2">
        <v>1945</v>
      </c>
      <c r="D41" s="6" t="s">
        <v>6</v>
      </c>
      <c r="E41" s="6" t="s">
        <v>6</v>
      </c>
      <c r="F41" s="6" t="s">
        <v>6</v>
      </c>
    </row>
    <row r="42" spans="1:6" x14ac:dyDescent="0.35">
      <c r="A42" s="2" t="s">
        <v>17</v>
      </c>
      <c r="B42" s="2" t="s">
        <v>6</v>
      </c>
      <c r="C42" s="2">
        <v>1946</v>
      </c>
      <c r="D42" s="6" t="s">
        <v>6</v>
      </c>
      <c r="E42" s="6" t="s">
        <v>6</v>
      </c>
      <c r="F42" s="6" t="s">
        <v>6</v>
      </c>
    </row>
    <row r="43" spans="1:6" x14ac:dyDescent="0.35">
      <c r="A43" s="2" t="s">
        <v>17</v>
      </c>
      <c r="B43" s="2" t="s">
        <v>6</v>
      </c>
      <c r="C43" s="2">
        <v>1947</v>
      </c>
      <c r="D43" s="6" t="s">
        <v>6</v>
      </c>
      <c r="E43" s="6" t="s">
        <v>6</v>
      </c>
      <c r="F43" s="6" t="s">
        <v>6</v>
      </c>
    </row>
    <row r="44" spans="1:6" x14ac:dyDescent="0.35">
      <c r="A44" s="2" t="s">
        <v>17</v>
      </c>
      <c r="B44" s="2" t="s">
        <v>6</v>
      </c>
      <c r="C44" s="2">
        <v>1948</v>
      </c>
      <c r="D44" s="6" t="s">
        <v>6</v>
      </c>
      <c r="E44" s="6" t="s">
        <v>6</v>
      </c>
      <c r="F44" s="6" t="s">
        <v>6</v>
      </c>
    </row>
    <row r="45" spans="1:6" x14ac:dyDescent="0.35">
      <c r="A45" s="2" t="s">
        <v>17</v>
      </c>
      <c r="B45" s="2" t="s">
        <v>6</v>
      </c>
      <c r="C45" s="2">
        <v>1949</v>
      </c>
      <c r="D45" s="6" t="s">
        <v>6</v>
      </c>
      <c r="E45" s="6" t="s">
        <v>6</v>
      </c>
      <c r="F45" s="6" t="s">
        <v>6</v>
      </c>
    </row>
    <row r="46" spans="1:6" x14ac:dyDescent="0.35">
      <c r="A46" s="2" t="s">
        <v>17</v>
      </c>
      <c r="B46" s="2" t="s">
        <v>6</v>
      </c>
      <c r="C46" s="2">
        <v>1950</v>
      </c>
      <c r="D46" s="6" t="s">
        <v>6</v>
      </c>
      <c r="E46" s="6" t="s">
        <v>6</v>
      </c>
      <c r="F46" s="6" t="s">
        <v>6</v>
      </c>
    </row>
    <row r="47" spans="1:6" x14ac:dyDescent="0.35">
      <c r="A47" s="2" t="s">
        <v>17</v>
      </c>
      <c r="B47" s="2" t="s">
        <v>6</v>
      </c>
      <c r="C47" s="2">
        <v>1951</v>
      </c>
      <c r="D47" s="6" t="s">
        <v>6</v>
      </c>
      <c r="E47" s="6" t="s">
        <v>6</v>
      </c>
      <c r="F47" s="6" t="s">
        <v>6</v>
      </c>
    </row>
    <row r="48" spans="1:6" x14ac:dyDescent="0.35">
      <c r="A48" s="2" t="s">
        <v>17</v>
      </c>
      <c r="B48" s="2" t="s">
        <v>6</v>
      </c>
      <c r="C48" s="2">
        <v>1952</v>
      </c>
      <c r="D48" s="6" t="s">
        <v>6</v>
      </c>
      <c r="E48" s="6" t="s">
        <v>6</v>
      </c>
      <c r="F48" s="6" t="s">
        <v>6</v>
      </c>
    </row>
    <row r="49" spans="1:6" x14ac:dyDescent="0.35">
      <c r="A49" s="2" t="s">
        <v>17</v>
      </c>
      <c r="B49" s="2" t="s">
        <v>6</v>
      </c>
      <c r="C49" s="2">
        <v>1953</v>
      </c>
      <c r="D49" s="6" t="s">
        <v>6</v>
      </c>
      <c r="E49" s="6" t="s">
        <v>6</v>
      </c>
      <c r="F49" s="6" t="s">
        <v>6</v>
      </c>
    </row>
    <row r="50" spans="1:6" x14ac:dyDescent="0.35">
      <c r="A50" s="2" t="s">
        <v>17</v>
      </c>
      <c r="B50" s="2" t="s">
        <v>6</v>
      </c>
      <c r="C50" s="2">
        <v>1954</v>
      </c>
      <c r="D50" s="6" t="s">
        <v>6</v>
      </c>
      <c r="E50" s="6" t="s">
        <v>6</v>
      </c>
      <c r="F50" s="6" t="s">
        <v>6</v>
      </c>
    </row>
    <row r="51" spans="1:6" x14ac:dyDescent="0.35">
      <c r="A51" s="2" t="s">
        <v>17</v>
      </c>
      <c r="B51" s="2" t="s">
        <v>6</v>
      </c>
      <c r="C51" s="2">
        <v>1955</v>
      </c>
      <c r="D51" s="6" t="s">
        <v>6</v>
      </c>
      <c r="E51" s="6" t="s">
        <v>6</v>
      </c>
      <c r="F51" s="6" t="s">
        <v>6</v>
      </c>
    </row>
    <row r="52" spans="1:6" x14ac:dyDescent="0.35">
      <c r="A52" s="2" t="s">
        <v>17</v>
      </c>
      <c r="B52" s="2" t="s">
        <v>6</v>
      </c>
      <c r="C52" s="2">
        <v>1956</v>
      </c>
      <c r="D52" s="6" t="s">
        <v>6</v>
      </c>
      <c r="E52" s="6" t="s">
        <v>6</v>
      </c>
      <c r="F52" s="6" t="s">
        <v>6</v>
      </c>
    </row>
    <row r="53" spans="1:6" x14ac:dyDescent="0.35">
      <c r="A53" s="2" t="s">
        <v>17</v>
      </c>
      <c r="B53" s="2" t="s">
        <v>6</v>
      </c>
      <c r="C53" s="2">
        <v>1957</v>
      </c>
      <c r="D53" s="6" t="s">
        <v>6</v>
      </c>
      <c r="E53" s="6" t="s">
        <v>6</v>
      </c>
      <c r="F53" s="6" t="s">
        <v>6</v>
      </c>
    </row>
    <row r="54" spans="1:6" x14ac:dyDescent="0.35">
      <c r="A54" s="2" t="s">
        <v>17</v>
      </c>
      <c r="B54" s="2" t="s">
        <v>6</v>
      </c>
      <c r="C54" s="2">
        <v>1958</v>
      </c>
      <c r="D54" s="6" t="s">
        <v>6</v>
      </c>
      <c r="E54" s="6" t="s">
        <v>6</v>
      </c>
      <c r="F54" s="6" t="s">
        <v>6</v>
      </c>
    </row>
    <row r="55" spans="1:6" x14ac:dyDescent="0.35">
      <c r="A55" s="2" t="s">
        <v>17</v>
      </c>
      <c r="B55" s="2" t="s">
        <v>6</v>
      </c>
      <c r="C55" s="2">
        <v>1959</v>
      </c>
      <c r="D55" s="6" t="s">
        <v>6</v>
      </c>
      <c r="E55" s="6" t="s">
        <v>6</v>
      </c>
      <c r="F55" s="6" t="s">
        <v>6</v>
      </c>
    </row>
    <row r="56" spans="1:6" x14ac:dyDescent="0.35">
      <c r="A56" s="2" t="s">
        <v>17</v>
      </c>
      <c r="B56" s="2" t="s">
        <v>18</v>
      </c>
      <c r="C56" s="2">
        <v>1960</v>
      </c>
      <c r="D56" s="6" t="s">
        <v>6</v>
      </c>
      <c r="E56" s="6">
        <v>1031</v>
      </c>
      <c r="F56" s="6" t="s">
        <v>6</v>
      </c>
    </row>
    <row r="57" spans="1:6" x14ac:dyDescent="0.35">
      <c r="A57" s="2" t="s">
        <v>17</v>
      </c>
      <c r="B57" s="2" t="s">
        <v>6</v>
      </c>
      <c r="C57" s="2">
        <v>1961</v>
      </c>
      <c r="D57" s="6" t="s">
        <v>6</v>
      </c>
      <c r="E57" s="6" t="s">
        <v>6</v>
      </c>
      <c r="F57" s="6" t="s">
        <v>6</v>
      </c>
    </row>
    <row r="58" spans="1:6" x14ac:dyDescent="0.35">
      <c r="A58" s="2" t="s">
        <v>17</v>
      </c>
      <c r="B58" s="2" t="s">
        <v>6</v>
      </c>
      <c r="C58" s="2">
        <v>1962</v>
      </c>
      <c r="D58" s="6" t="s">
        <v>6</v>
      </c>
      <c r="E58" s="6" t="s">
        <v>6</v>
      </c>
      <c r="F58" s="6" t="s">
        <v>6</v>
      </c>
    </row>
    <row r="59" spans="1:6" x14ac:dyDescent="0.35">
      <c r="A59" s="2" t="s">
        <v>17</v>
      </c>
      <c r="B59" s="2" t="s">
        <v>6</v>
      </c>
      <c r="C59" s="2">
        <v>1963</v>
      </c>
      <c r="D59" s="6" t="s">
        <v>6</v>
      </c>
      <c r="E59" s="6" t="s">
        <v>6</v>
      </c>
      <c r="F59" s="6" t="s">
        <v>6</v>
      </c>
    </row>
    <row r="60" spans="1:6" x14ac:dyDescent="0.35">
      <c r="A60" s="2" t="s">
        <v>17</v>
      </c>
      <c r="B60" s="2" t="s">
        <v>6</v>
      </c>
      <c r="C60" s="2">
        <v>1964</v>
      </c>
      <c r="D60" s="6" t="s">
        <v>6</v>
      </c>
      <c r="E60" s="6" t="s">
        <v>6</v>
      </c>
      <c r="F60" s="6" t="s">
        <v>6</v>
      </c>
    </row>
    <row r="61" spans="1:6" x14ac:dyDescent="0.35">
      <c r="A61" s="2" t="s">
        <v>17</v>
      </c>
      <c r="B61" s="2" t="s">
        <v>6</v>
      </c>
      <c r="C61" s="2">
        <v>1965</v>
      </c>
      <c r="D61" s="6" t="s">
        <v>6</v>
      </c>
      <c r="E61" s="6" t="s">
        <v>6</v>
      </c>
      <c r="F61" s="6" t="s">
        <v>6</v>
      </c>
    </row>
    <row r="62" spans="1:6" x14ac:dyDescent="0.35">
      <c r="A62" s="2" t="s">
        <v>17</v>
      </c>
      <c r="B62" s="2" t="s">
        <v>6</v>
      </c>
      <c r="C62" s="2">
        <v>1966</v>
      </c>
      <c r="D62" s="6" t="s">
        <v>6</v>
      </c>
      <c r="E62" s="6" t="s">
        <v>6</v>
      </c>
      <c r="F62" s="6" t="s">
        <v>6</v>
      </c>
    </row>
    <row r="63" spans="1:6" x14ac:dyDescent="0.35">
      <c r="A63" s="2" t="s">
        <v>17</v>
      </c>
      <c r="B63" s="2" t="s">
        <v>6</v>
      </c>
      <c r="C63" s="2">
        <v>1967</v>
      </c>
      <c r="D63" s="6" t="s">
        <v>6</v>
      </c>
      <c r="E63" s="6" t="s">
        <v>6</v>
      </c>
      <c r="F63" s="6" t="s">
        <v>6</v>
      </c>
    </row>
    <row r="64" spans="1:6" x14ac:dyDescent="0.35">
      <c r="A64" s="2" t="s">
        <v>17</v>
      </c>
      <c r="B64" s="2" t="s">
        <v>6</v>
      </c>
      <c r="C64" s="2">
        <v>1968</v>
      </c>
      <c r="D64" s="6" t="s">
        <v>6</v>
      </c>
      <c r="E64" s="6" t="s">
        <v>6</v>
      </c>
      <c r="F64" s="6" t="s">
        <v>6</v>
      </c>
    </row>
    <row r="65" spans="1:6" x14ac:dyDescent="0.35">
      <c r="A65" s="2" t="s">
        <v>17</v>
      </c>
      <c r="B65" s="2" t="s">
        <v>18</v>
      </c>
      <c r="C65" s="2">
        <v>1969</v>
      </c>
      <c r="D65" s="6">
        <v>101489</v>
      </c>
      <c r="E65" s="6">
        <v>983</v>
      </c>
      <c r="F65" s="6" t="s">
        <v>6</v>
      </c>
    </row>
    <row r="66" spans="1:6" x14ac:dyDescent="0.35">
      <c r="A66" s="2" t="s">
        <v>17</v>
      </c>
      <c r="B66" s="2" t="s">
        <v>18</v>
      </c>
      <c r="C66" s="2">
        <v>1970</v>
      </c>
      <c r="D66" s="6">
        <v>98276</v>
      </c>
      <c r="E66" s="6">
        <v>898</v>
      </c>
      <c r="F66" s="6" t="s">
        <v>6</v>
      </c>
    </row>
    <row r="67" spans="1:6" x14ac:dyDescent="0.35">
      <c r="A67" s="2" t="s">
        <v>17</v>
      </c>
      <c r="B67" s="2" t="s">
        <v>18</v>
      </c>
      <c r="C67" s="2">
        <v>1971</v>
      </c>
      <c r="D67" s="6">
        <v>95243</v>
      </c>
      <c r="E67" s="6">
        <v>914</v>
      </c>
      <c r="F67" s="6" t="s">
        <v>6</v>
      </c>
    </row>
    <row r="68" spans="1:6" x14ac:dyDescent="0.35">
      <c r="A68" s="2" t="s">
        <v>17</v>
      </c>
      <c r="B68" s="2" t="s">
        <v>18</v>
      </c>
      <c r="C68" s="2">
        <v>1972</v>
      </c>
      <c r="D68" s="6">
        <v>90581</v>
      </c>
      <c r="E68" s="6">
        <v>769</v>
      </c>
      <c r="F68" s="6" t="s">
        <v>6</v>
      </c>
    </row>
    <row r="69" spans="1:6" x14ac:dyDescent="0.35">
      <c r="A69" s="2" t="s">
        <v>17</v>
      </c>
      <c r="B69" s="2" t="s">
        <v>18</v>
      </c>
      <c r="C69" s="2">
        <v>1973</v>
      </c>
      <c r="D69" s="6">
        <v>86588</v>
      </c>
      <c r="E69" s="6">
        <v>789</v>
      </c>
      <c r="F69" s="6" t="s">
        <v>6</v>
      </c>
    </row>
    <row r="70" spans="1:6" x14ac:dyDescent="0.35">
      <c r="A70" s="2" t="s">
        <v>17</v>
      </c>
      <c r="B70" s="2" t="s">
        <v>18</v>
      </c>
      <c r="C70" s="2">
        <v>1974</v>
      </c>
      <c r="D70" s="6">
        <v>83591</v>
      </c>
      <c r="E70" s="6">
        <v>755</v>
      </c>
      <c r="F70" s="6" t="s">
        <v>6</v>
      </c>
    </row>
    <row r="71" spans="1:6" x14ac:dyDescent="0.35">
      <c r="A71" s="2" t="s">
        <v>17</v>
      </c>
      <c r="B71" s="2" t="s">
        <v>18</v>
      </c>
      <c r="C71" s="2">
        <v>1975</v>
      </c>
      <c r="D71" s="6">
        <v>77487</v>
      </c>
      <c r="E71" s="6">
        <v>754</v>
      </c>
      <c r="F71" s="6" t="s">
        <v>6</v>
      </c>
    </row>
    <row r="72" spans="1:6" x14ac:dyDescent="0.35">
      <c r="A72" s="2" t="s">
        <v>17</v>
      </c>
      <c r="B72" s="2" t="s">
        <v>18</v>
      </c>
      <c r="C72" s="2">
        <v>1976</v>
      </c>
      <c r="D72" s="6">
        <v>73298</v>
      </c>
      <c r="E72" s="6">
        <v>706</v>
      </c>
      <c r="F72" s="6" t="s">
        <v>6</v>
      </c>
    </row>
    <row r="73" spans="1:6" x14ac:dyDescent="0.35">
      <c r="A73" s="2" t="s">
        <v>17</v>
      </c>
      <c r="B73" s="2" t="s">
        <v>18</v>
      </c>
      <c r="C73" s="2">
        <v>1977</v>
      </c>
      <c r="D73" s="6">
        <v>71830</v>
      </c>
      <c r="E73" s="6">
        <v>694</v>
      </c>
      <c r="F73" s="6" t="s">
        <v>6</v>
      </c>
    </row>
    <row r="74" spans="1:6" x14ac:dyDescent="0.35">
      <c r="A74" s="2" t="s">
        <v>17</v>
      </c>
      <c r="B74" s="2" t="s">
        <v>18</v>
      </c>
      <c r="C74" s="2">
        <v>1978</v>
      </c>
      <c r="D74" s="6">
        <v>70333</v>
      </c>
      <c r="E74" s="6">
        <v>710</v>
      </c>
      <c r="F74" s="6" t="s">
        <v>6</v>
      </c>
    </row>
    <row r="75" spans="1:6" x14ac:dyDescent="0.35">
      <c r="A75" s="2" t="s">
        <v>17</v>
      </c>
      <c r="B75" s="2" t="s">
        <v>18</v>
      </c>
      <c r="C75" s="2">
        <v>1979</v>
      </c>
      <c r="D75" s="6">
        <v>71008</v>
      </c>
      <c r="E75" s="6">
        <v>675</v>
      </c>
      <c r="F75" s="6" t="s">
        <v>6</v>
      </c>
    </row>
    <row r="76" spans="1:6" x14ac:dyDescent="0.35">
      <c r="A76" s="2" t="s">
        <v>17</v>
      </c>
      <c r="B76" s="2" t="s">
        <v>18</v>
      </c>
      <c r="C76" s="2">
        <v>1980</v>
      </c>
      <c r="D76" s="6">
        <v>72486</v>
      </c>
      <c r="E76" s="6">
        <v>747</v>
      </c>
      <c r="F76" s="6" t="s">
        <v>6</v>
      </c>
    </row>
    <row r="77" spans="1:6" x14ac:dyDescent="0.35">
      <c r="A77" s="2" t="s">
        <v>17</v>
      </c>
      <c r="B77" s="2" t="s">
        <v>18</v>
      </c>
      <c r="C77" s="2">
        <v>1981</v>
      </c>
      <c r="D77" s="6">
        <v>72617</v>
      </c>
      <c r="E77" s="6">
        <v>726</v>
      </c>
      <c r="F77" s="6" t="s">
        <v>6</v>
      </c>
    </row>
    <row r="78" spans="1:6" x14ac:dyDescent="0.35">
      <c r="A78" s="2" t="s">
        <v>17</v>
      </c>
      <c r="B78" s="2" t="s">
        <v>18</v>
      </c>
      <c r="C78" s="2">
        <v>1982</v>
      </c>
      <c r="D78" s="6">
        <v>73813</v>
      </c>
      <c r="E78" s="6">
        <v>709</v>
      </c>
      <c r="F78" s="6" t="s">
        <v>6</v>
      </c>
    </row>
    <row r="79" spans="1:6" x14ac:dyDescent="0.35">
      <c r="A79" s="2" t="s">
        <v>17</v>
      </c>
      <c r="B79" s="2" t="s">
        <v>18</v>
      </c>
      <c r="C79" s="2">
        <v>1983</v>
      </c>
      <c r="D79" s="6">
        <v>72554</v>
      </c>
      <c r="E79" s="6">
        <v>714</v>
      </c>
      <c r="F79" s="6" t="s">
        <v>6</v>
      </c>
    </row>
    <row r="80" spans="1:6" x14ac:dyDescent="0.35">
      <c r="A80" s="2" t="s">
        <v>17</v>
      </c>
      <c r="B80" s="2" t="s">
        <v>18</v>
      </c>
      <c r="C80" s="2">
        <v>1984</v>
      </c>
      <c r="D80" s="6">
        <v>73596</v>
      </c>
      <c r="E80" s="6">
        <v>716</v>
      </c>
      <c r="F80" s="6" t="s">
        <v>6</v>
      </c>
    </row>
    <row r="81" spans="1:6" x14ac:dyDescent="0.35">
      <c r="A81" s="2" t="s">
        <v>17</v>
      </c>
      <c r="B81" s="2" t="s">
        <v>18</v>
      </c>
      <c r="C81" s="2">
        <v>1985</v>
      </c>
      <c r="D81" s="6">
        <v>73456</v>
      </c>
      <c r="E81" s="6">
        <v>765</v>
      </c>
      <c r="F81" s="6" t="s">
        <v>6</v>
      </c>
    </row>
    <row r="82" spans="1:6" x14ac:dyDescent="0.35">
      <c r="A82" s="2" t="s">
        <v>17</v>
      </c>
      <c r="B82" s="2" t="s">
        <v>18</v>
      </c>
      <c r="C82" s="2">
        <v>1986</v>
      </c>
      <c r="D82" s="6">
        <v>75000</v>
      </c>
      <c r="E82" s="6">
        <v>800</v>
      </c>
      <c r="F82" s="6" t="s">
        <v>6</v>
      </c>
    </row>
    <row r="83" spans="1:6" x14ac:dyDescent="0.35">
      <c r="A83" s="2" t="s">
        <v>17</v>
      </c>
      <c r="B83" s="2" t="s">
        <v>18</v>
      </c>
      <c r="C83" s="2">
        <v>1987</v>
      </c>
      <c r="D83" s="6">
        <v>75143</v>
      </c>
      <c r="E83" s="6">
        <v>806</v>
      </c>
      <c r="F83" s="6" t="s">
        <v>6</v>
      </c>
    </row>
    <row r="84" spans="1:6" x14ac:dyDescent="0.35">
      <c r="A84" s="2" t="s">
        <v>17</v>
      </c>
      <c r="B84" s="2" t="s">
        <v>18</v>
      </c>
      <c r="C84" s="2">
        <v>1988</v>
      </c>
      <c r="D84" s="6">
        <v>78860</v>
      </c>
      <c r="E84" s="6">
        <v>859</v>
      </c>
      <c r="F84" s="6" t="s">
        <v>6</v>
      </c>
    </row>
    <row r="85" spans="1:6" x14ac:dyDescent="0.35">
      <c r="A85" s="2" t="s">
        <v>17</v>
      </c>
      <c r="B85" s="2" t="s">
        <v>18</v>
      </c>
      <c r="C85" s="2">
        <v>1989</v>
      </c>
      <c r="D85" s="6">
        <v>79524</v>
      </c>
      <c r="E85" s="6">
        <v>962</v>
      </c>
      <c r="F85" s="6" t="s">
        <v>6</v>
      </c>
    </row>
    <row r="86" spans="1:6" x14ac:dyDescent="0.35">
      <c r="A86" s="2" t="s">
        <v>17</v>
      </c>
      <c r="B86" s="2" t="s">
        <v>18</v>
      </c>
      <c r="C86" s="2">
        <v>1990</v>
      </c>
      <c r="D86" s="6">
        <v>82336</v>
      </c>
      <c r="E86" s="6">
        <v>949</v>
      </c>
      <c r="F86" s="6" t="s">
        <v>6</v>
      </c>
    </row>
    <row r="87" spans="1:6" x14ac:dyDescent="0.35">
      <c r="A87" s="2" t="s">
        <v>17</v>
      </c>
      <c r="B87" s="2" t="s">
        <v>18</v>
      </c>
      <c r="C87" s="2">
        <v>1991</v>
      </c>
      <c r="D87" s="6">
        <v>84529</v>
      </c>
      <c r="E87" s="6">
        <v>973</v>
      </c>
      <c r="F87" s="6" t="s">
        <v>6</v>
      </c>
    </row>
    <row r="88" spans="1:6" x14ac:dyDescent="0.35">
      <c r="A88" s="2" t="s">
        <v>17</v>
      </c>
      <c r="B88" s="2" t="s">
        <v>18</v>
      </c>
      <c r="C88" s="2">
        <v>1992</v>
      </c>
      <c r="D88" s="6">
        <v>85150</v>
      </c>
      <c r="E88" s="6">
        <v>1003</v>
      </c>
      <c r="F88" s="6" t="s">
        <v>6</v>
      </c>
    </row>
    <row r="89" spans="1:6" x14ac:dyDescent="0.35">
      <c r="A89" s="2" t="s">
        <v>17</v>
      </c>
      <c r="B89" s="2" t="s">
        <v>18</v>
      </c>
      <c r="C89" s="2">
        <v>1993</v>
      </c>
      <c r="D89" s="6">
        <v>82138</v>
      </c>
      <c r="E89" s="6">
        <v>956</v>
      </c>
      <c r="F89" s="6" t="s">
        <v>6</v>
      </c>
    </row>
    <row r="90" spans="1:6" x14ac:dyDescent="0.35">
      <c r="A90" s="2" t="s">
        <v>17</v>
      </c>
      <c r="B90" s="2" t="s">
        <v>18</v>
      </c>
      <c r="C90" s="2">
        <v>1994</v>
      </c>
      <c r="D90" s="6">
        <v>81206</v>
      </c>
      <c r="E90" s="6">
        <v>994</v>
      </c>
      <c r="F90" s="6" t="s">
        <v>6</v>
      </c>
    </row>
    <row r="91" spans="1:6" x14ac:dyDescent="0.35">
      <c r="A91" s="2" t="s">
        <v>17</v>
      </c>
      <c r="B91" s="2" t="s">
        <v>18</v>
      </c>
      <c r="C91" s="2">
        <v>1995</v>
      </c>
      <c r="D91" s="6">
        <v>80525</v>
      </c>
      <c r="E91" s="6">
        <v>975</v>
      </c>
      <c r="F91" s="6" t="s">
        <v>6</v>
      </c>
    </row>
    <row r="92" spans="1:6" x14ac:dyDescent="0.35">
      <c r="A92" s="2" t="s">
        <v>17</v>
      </c>
      <c r="B92" s="2" t="s">
        <v>18</v>
      </c>
      <c r="C92" s="2">
        <v>1996</v>
      </c>
      <c r="D92" s="6">
        <v>81090</v>
      </c>
      <c r="E92" s="6">
        <v>1063</v>
      </c>
      <c r="F92" s="6" t="s">
        <v>6</v>
      </c>
    </row>
    <row r="93" spans="1:6" x14ac:dyDescent="0.35">
      <c r="A93" s="2" t="s">
        <v>17</v>
      </c>
      <c r="B93" s="2" t="s">
        <v>18</v>
      </c>
      <c r="C93" s="2">
        <v>1997</v>
      </c>
      <c r="D93" s="6">
        <v>78837</v>
      </c>
      <c r="E93" s="6">
        <v>997</v>
      </c>
      <c r="F93" s="6" t="s">
        <v>6</v>
      </c>
    </row>
    <row r="94" spans="1:6" x14ac:dyDescent="0.35">
      <c r="A94" s="2" t="s">
        <v>17</v>
      </c>
      <c r="B94" s="2" t="s">
        <v>18</v>
      </c>
      <c r="C94" s="2">
        <v>1998</v>
      </c>
      <c r="D94" s="6">
        <v>77108</v>
      </c>
      <c r="E94" s="6">
        <v>1037</v>
      </c>
      <c r="F94" s="6" t="s">
        <v>6</v>
      </c>
    </row>
    <row r="95" spans="1:6" x14ac:dyDescent="0.35">
      <c r="A95" s="2" t="s">
        <v>17</v>
      </c>
      <c r="B95" s="2" t="s">
        <v>18</v>
      </c>
      <c r="C95" s="2">
        <v>1999</v>
      </c>
      <c r="D95" s="6">
        <v>76338</v>
      </c>
      <c r="E95" s="6">
        <v>1130</v>
      </c>
      <c r="F95" s="6" t="s">
        <v>6</v>
      </c>
    </row>
    <row r="96" spans="1:6" x14ac:dyDescent="0.35">
      <c r="A96" s="2" t="s">
        <v>17</v>
      </c>
      <c r="B96" s="2" t="s">
        <v>18</v>
      </c>
      <c r="C96" s="2">
        <v>2000</v>
      </c>
      <c r="D96" s="6">
        <v>76490</v>
      </c>
      <c r="E96" s="6">
        <v>1079</v>
      </c>
      <c r="F96" s="6" t="s">
        <v>6</v>
      </c>
    </row>
    <row r="97" spans="1:6" x14ac:dyDescent="0.35">
      <c r="A97" s="2" t="s">
        <v>17</v>
      </c>
      <c r="B97" s="2" t="s">
        <v>18</v>
      </c>
      <c r="C97" s="2">
        <v>2001</v>
      </c>
      <c r="D97" s="6">
        <v>70402</v>
      </c>
      <c r="E97" s="6">
        <v>1045</v>
      </c>
      <c r="F97" s="6" t="s">
        <v>6</v>
      </c>
    </row>
    <row r="98" spans="1:6" x14ac:dyDescent="0.35">
      <c r="A98" s="2" t="s">
        <v>17</v>
      </c>
      <c r="B98" s="2" t="s">
        <v>18</v>
      </c>
      <c r="C98" s="2">
        <v>2002</v>
      </c>
      <c r="D98" s="6">
        <v>70368</v>
      </c>
      <c r="E98" s="6">
        <v>1098</v>
      </c>
      <c r="F98" s="6" t="s">
        <v>6</v>
      </c>
    </row>
    <row r="99" spans="1:6" x14ac:dyDescent="0.35">
      <c r="A99" s="2" t="s">
        <v>17</v>
      </c>
      <c r="B99" s="2" t="s">
        <v>18</v>
      </c>
      <c r="C99" s="2">
        <v>2003</v>
      </c>
      <c r="D99" s="6">
        <v>69930</v>
      </c>
      <c r="E99" s="6">
        <v>1083</v>
      </c>
      <c r="F99" s="6" t="s">
        <v>6</v>
      </c>
    </row>
    <row r="100" spans="1:6" x14ac:dyDescent="0.35">
      <c r="A100" s="2" t="s">
        <v>17</v>
      </c>
      <c r="B100" s="2" t="s">
        <v>18</v>
      </c>
      <c r="C100" s="2">
        <v>2004</v>
      </c>
      <c r="D100" s="6">
        <v>70972</v>
      </c>
      <c r="E100" s="6">
        <v>1169</v>
      </c>
      <c r="F100" s="6" t="s">
        <v>6</v>
      </c>
    </row>
    <row r="101" spans="1:6" x14ac:dyDescent="0.35">
      <c r="A101" s="2" t="s">
        <v>17</v>
      </c>
      <c r="B101" s="2" t="s">
        <v>18</v>
      </c>
      <c r="C101" s="2">
        <v>2005</v>
      </c>
      <c r="D101" s="6">
        <v>70788</v>
      </c>
      <c r="E101" s="6">
        <v>1173</v>
      </c>
      <c r="F101" s="6" t="s">
        <v>6</v>
      </c>
    </row>
    <row r="102" spans="1:6" x14ac:dyDescent="0.35">
      <c r="A102" s="2" t="s">
        <v>17</v>
      </c>
      <c r="B102" s="2" t="s">
        <v>18</v>
      </c>
      <c r="C102" s="2">
        <v>2006</v>
      </c>
      <c r="D102" s="6">
        <v>71297</v>
      </c>
      <c r="E102" s="6">
        <v>1167</v>
      </c>
      <c r="F102" s="6" t="s">
        <v>6</v>
      </c>
    </row>
    <row r="103" spans="1:6" x14ac:dyDescent="0.35">
      <c r="A103" s="2" t="s">
        <v>17</v>
      </c>
      <c r="B103" s="2" t="s">
        <v>18</v>
      </c>
      <c r="C103" s="2">
        <v>2007</v>
      </c>
      <c r="D103" s="6">
        <v>72295</v>
      </c>
      <c r="E103" s="6">
        <v>1208</v>
      </c>
      <c r="F103" s="6" t="s">
        <v>6</v>
      </c>
    </row>
    <row r="104" spans="1:6" x14ac:dyDescent="0.35">
      <c r="A104" s="2" t="s">
        <v>17</v>
      </c>
      <c r="B104" s="2" t="s">
        <v>18</v>
      </c>
      <c r="C104" s="2">
        <v>2008</v>
      </c>
      <c r="D104" s="6">
        <v>74367</v>
      </c>
      <c r="E104" s="6">
        <v>1288</v>
      </c>
      <c r="F104" s="6" t="s">
        <v>6</v>
      </c>
    </row>
    <row r="105" spans="1:6" x14ac:dyDescent="0.35">
      <c r="A105" s="2" t="s">
        <v>17</v>
      </c>
      <c r="B105" s="2" t="s">
        <v>18</v>
      </c>
      <c r="C105" s="2">
        <v>2009</v>
      </c>
      <c r="D105" s="6">
        <v>75726</v>
      </c>
      <c r="E105" s="6">
        <v>1415</v>
      </c>
      <c r="F105" s="6" t="s">
        <v>6</v>
      </c>
    </row>
    <row r="106" spans="1:6" x14ac:dyDescent="0.35">
      <c r="A106" s="2" t="s">
        <v>17</v>
      </c>
      <c r="B106" s="2" t="s">
        <v>18</v>
      </c>
      <c r="C106" s="2">
        <v>2010</v>
      </c>
      <c r="D106" s="6">
        <v>77658</v>
      </c>
      <c r="E106" s="6">
        <v>1456</v>
      </c>
      <c r="F106" s="6" t="s">
        <v>6</v>
      </c>
    </row>
    <row r="107" spans="1:6" x14ac:dyDescent="0.35">
      <c r="A107" s="2" t="s">
        <v>17</v>
      </c>
      <c r="B107" s="2" t="s">
        <v>18</v>
      </c>
      <c r="C107" s="2">
        <v>2011</v>
      </c>
      <c r="D107" s="6">
        <v>78300</v>
      </c>
      <c r="E107" s="6">
        <v>1380</v>
      </c>
      <c r="F107" s="6" t="s">
        <v>6</v>
      </c>
    </row>
    <row r="108" spans="1:6" x14ac:dyDescent="0.35">
      <c r="A108" s="2" t="s">
        <v>17</v>
      </c>
      <c r="B108" s="2" t="s">
        <v>18</v>
      </c>
      <c r="C108" s="2">
        <v>2012</v>
      </c>
      <c r="D108" s="6">
        <v>79308</v>
      </c>
      <c r="E108" s="6">
        <v>1559</v>
      </c>
      <c r="F108" s="6" t="s">
        <v>6</v>
      </c>
    </row>
    <row r="109" spans="1:6" x14ac:dyDescent="0.35">
      <c r="A109" s="2" t="s">
        <v>17</v>
      </c>
      <c r="B109" s="2" t="s">
        <v>18</v>
      </c>
      <c r="C109" s="2">
        <v>2013</v>
      </c>
      <c r="D109" s="6">
        <v>80101</v>
      </c>
      <c r="E109" s="6">
        <v>1478</v>
      </c>
      <c r="F109" s="6" t="s">
        <v>6</v>
      </c>
    </row>
    <row r="110" spans="1:6" x14ac:dyDescent="0.35">
      <c r="A110" s="2" t="s">
        <v>17</v>
      </c>
      <c r="B110" s="2" t="s">
        <v>18</v>
      </c>
      <c r="C110" s="2">
        <v>2014</v>
      </c>
      <c r="D110" s="6">
        <v>82524</v>
      </c>
      <c r="E110" s="6">
        <v>1517</v>
      </c>
      <c r="F110" s="6" t="s">
        <v>6</v>
      </c>
    </row>
    <row r="111" spans="1:6" x14ac:dyDescent="0.35">
      <c r="A111" s="2" t="s">
        <v>17</v>
      </c>
      <c r="B111" s="2" t="s">
        <v>18</v>
      </c>
      <c r="C111" s="2">
        <v>2015</v>
      </c>
      <c r="D111" s="6">
        <v>83678</v>
      </c>
      <c r="E111" s="6">
        <v>1580</v>
      </c>
      <c r="F111" s="6" t="s">
        <v>6</v>
      </c>
    </row>
    <row r="112" spans="1:6" x14ac:dyDescent="0.35">
      <c r="A112" s="2" t="s">
        <v>17</v>
      </c>
      <c r="B112" s="2" t="s">
        <v>18</v>
      </c>
      <c r="C112" s="2">
        <v>2016</v>
      </c>
      <c r="D112" s="6">
        <v>84797</v>
      </c>
      <c r="E112" s="6">
        <v>1668</v>
      </c>
      <c r="F112" s="6" t="s">
        <v>6</v>
      </c>
    </row>
    <row r="113" spans="1:6" x14ac:dyDescent="0.35">
      <c r="A113" s="2" t="s">
        <v>17</v>
      </c>
      <c r="B113" s="2" t="s">
        <v>18</v>
      </c>
      <c r="C113" s="2">
        <v>2017</v>
      </c>
      <c r="D113" s="6">
        <v>84539</v>
      </c>
      <c r="E113" s="6">
        <v>1566</v>
      </c>
      <c r="F113" s="6" t="s">
        <v>6</v>
      </c>
    </row>
    <row r="114" spans="1:6" x14ac:dyDescent="0.35">
      <c r="A114" s="2" t="s">
        <v>17</v>
      </c>
      <c r="B114" s="2" t="s">
        <v>18</v>
      </c>
      <c r="C114" s="2">
        <v>2018</v>
      </c>
      <c r="D114" s="6">
        <v>84978</v>
      </c>
      <c r="E114" s="6">
        <v>1579</v>
      </c>
      <c r="F114" s="6" t="s">
        <v>6</v>
      </c>
    </row>
    <row r="115" spans="1:6" x14ac:dyDescent="0.35">
      <c r="A115" s="2" t="s">
        <v>17</v>
      </c>
      <c r="B115" s="2" t="s">
        <v>18</v>
      </c>
      <c r="C115" s="2">
        <v>2019</v>
      </c>
      <c r="D115" s="6">
        <v>83598</v>
      </c>
      <c r="E115" s="6">
        <v>1426</v>
      </c>
      <c r="F115" s="6" t="s">
        <v>6</v>
      </c>
    </row>
    <row r="116" spans="1:6" x14ac:dyDescent="0.35">
      <c r="A116" s="2" t="s">
        <v>17</v>
      </c>
      <c r="B116" s="2" t="s">
        <v>18</v>
      </c>
      <c r="C116" s="2">
        <v>2020</v>
      </c>
      <c r="D116" s="2">
        <v>83518</v>
      </c>
      <c r="E116" s="2">
        <v>1327</v>
      </c>
      <c r="F116" s="6" t="s">
        <v>6</v>
      </c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  <row r="202" spans="1:6" x14ac:dyDescent="0.35">
      <c r="A202" s="2"/>
      <c r="B202" s="2"/>
      <c r="C202" s="2"/>
      <c r="D202" s="2"/>
      <c r="E202" s="2"/>
      <c r="F202" s="2"/>
    </row>
    <row r="203" spans="1:6" x14ac:dyDescent="0.35">
      <c r="A203" s="2"/>
      <c r="B203" s="2"/>
      <c r="C203" s="2"/>
      <c r="D203" s="2"/>
      <c r="E203" s="2"/>
      <c r="F203" s="2"/>
    </row>
    <row r="204" spans="1:6" x14ac:dyDescent="0.35">
      <c r="A204" s="2"/>
      <c r="B204" s="2"/>
      <c r="C204" s="2"/>
      <c r="D204" s="2"/>
      <c r="E204" s="2"/>
      <c r="F204" s="2"/>
    </row>
    <row r="205" spans="1:6" x14ac:dyDescent="0.35">
      <c r="A205" s="2"/>
      <c r="B205" s="2"/>
      <c r="C205" s="2"/>
      <c r="D205" s="2"/>
      <c r="E205" s="2"/>
      <c r="F205" s="2"/>
    </row>
    <row r="206" spans="1:6" x14ac:dyDescent="0.35">
      <c r="A206" s="2"/>
      <c r="B206" s="2"/>
      <c r="C206" s="2"/>
      <c r="D206" s="2"/>
      <c r="E206" s="2"/>
      <c r="F206" s="2"/>
    </row>
    <row r="207" spans="1:6" x14ac:dyDescent="0.35">
      <c r="A207" s="2"/>
      <c r="B207" s="2"/>
      <c r="C207" s="2"/>
      <c r="D207" s="2"/>
      <c r="E207" s="2"/>
      <c r="F207" s="2"/>
    </row>
    <row r="208" spans="1:6" x14ac:dyDescent="0.35">
      <c r="A208" s="2"/>
      <c r="B208" s="2"/>
      <c r="C208" s="2"/>
      <c r="D208" s="2"/>
      <c r="E208" s="2"/>
      <c r="F208" s="2"/>
    </row>
    <row r="209" spans="1:6" x14ac:dyDescent="0.35">
      <c r="A209" s="2"/>
      <c r="B209" s="2"/>
      <c r="C209" s="2"/>
      <c r="D209" s="2"/>
      <c r="E209" s="2"/>
      <c r="F209" s="2"/>
    </row>
    <row r="210" spans="1:6" x14ac:dyDescent="0.35">
      <c r="A210" s="2"/>
      <c r="B210" s="2"/>
      <c r="C210" s="2"/>
      <c r="D210" s="2"/>
      <c r="E210" s="2"/>
      <c r="F210" s="2"/>
    </row>
    <row r="211" spans="1:6" x14ac:dyDescent="0.35">
      <c r="A211" s="2"/>
      <c r="B211" s="2"/>
      <c r="C211" s="2"/>
      <c r="D211" s="2"/>
      <c r="E211" s="2"/>
      <c r="F211" s="2"/>
    </row>
    <row r="212" spans="1:6" x14ac:dyDescent="0.35">
      <c r="A212" s="2"/>
      <c r="B212" s="2"/>
      <c r="C212" s="2"/>
      <c r="D212" s="2"/>
      <c r="E212" s="2"/>
      <c r="F212" s="2"/>
    </row>
    <row r="213" spans="1:6" x14ac:dyDescent="0.35">
      <c r="A213" s="2"/>
      <c r="B213" s="2"/>
      <c r="C213" s="2"/>
      <c r="D213" s="2"/>
      <c r="E213" s="2"/>
      <c r="F213" s="2"/>
    </row>
    <row r="214" spans="1:6" x14ac:dyDescent="0.35">
      <c r="A214" s="2"/>
      <c r="B214" s="2"/>
      <c r="C214" s="2"/>
      <c r="D214" s="2"/>
      <c r="E214" s="2"/>
      <c r="F214" s="2"/>
    </row>
    <row r="215" spans="1:6" x14ac:dyDescent="0.35">
      <c r="A215" s="2"/>
      <c r="B215" s="2"/>
      <c r="C215" s="2"/>
      <c r="D215" s="2"/>
      <c r="E215" s="2"/>
      <c r="F215" s="2"/>
    </row>
    <row r="216" spans="1:6" x14ac:dyDescent="0.35">
      <c r="A216" s="2"/>
      <c r="B216" s="2"/>
      <c r="C216" s="2"/>
      <c r="D216" s="2"/>
      <c r="E216" s="2"/>
      <c r="F216" s="2"/>
    </row>
    <row r="217" spans="1:6" x14ac:dyDescent="0.35">
      <c r="A217" s="2"/>
      <c r="B217" s="2"/>
      <c r="C217" s="2"/>
      <c r="D217" s="2"/>
      <c r="E217" s="2"/>
      <c r="F217" s="2"/>
    </row>
    <row r="218" spans="1:6" x14ac:dyDescent="0.35">
      <c r="A218" s="2"/>
      <c r="B218" s="2"/>
      <c r="C218" s="2"/>
      <c r="D218" s="2"/>
      <c r="E218" s="2"/>
      <c r="F218" s="2"/>
    </row>
    <row r="219" spans="1:6" x14ac:dyDescent="0.35">
      <c r="A219" s="2"/>
      <c r="B219" s="2"/>
      <c r="C219" s="2"/>
      <c r="D219" s="2"/>
      <c r="E219" s="2"/>
      <c r="F219" s="2"/>
    </row>
    <row r="220" spans="1:6" x14ac:dyDescent="0.35">
      <c r="A220" s="2"/>
      <c r="B220" s="2"/>
      <c r="C220" s="2"/>
      <c r="D220" s="2"/>
      <c r="E220" s="2"/>
      <c r="F220" s="2"/>
    </row>
    <row r="221" spans="1:6" x14ac:dyDescent="0.35">
      <c r="A221" s="2"/>
      <c r="B221" s="2"/>
      <c r="C221" s="2"/>
      <c r="D221" s="2"/>
      <c r="E221" s="2"/>
      <c r="F221" s="2"/>
    </row>
    <row r="222" spans="1:6" x14ac:dyDescent="0.35">
      <c r="A222" s="2"/>
      <c r="B222" s="2"/>
      <c r="C222" s="2"/>
      <c r="D222" s="2"/>
      <c r="E222" s="2"/>
      <c r="F222" s="2"/>
    </row>
    <row r="223" spans="1:6" x14ac:dyDescent="0.35">
      <c r="A223" s="2"/>
      <c r="B223" s="2"/>
      <c r="C223" s="2"/>
      <c r="D223" s="2"/>
      <c r="E223" s="2"/>
      <c r="F223" s="2"/>
    </row>
    <row r="224" spans="1:6" x14ac:dyDescent="0.35">
      <c r="A224" s="2"/>
      <c r="B224" s="2"/>
      <c r="C224" s="2"/>
      <c r="D224" s="2"/>
      <c r="E224" s="2"/>
      <c r="F224" s="2"/>
    </row>
    <row r="225" spans="1:6" x14ac:dyDescent="0.35">
      <c r="A225" s="2"/>
      <c r="B225" s="2"/>
      <c r="C225" s="2"/>
      <c r="D225" s="2"/>
      <c r="E225" s="2"/>
      <c r="F225" s="2"/>
    </row>
    <row r="226" spans="1:6" x14ac:dyDescent="0.35">
      <c r="A226" s="2"/>
      <c r="B226" s="2"/>
      <c r="C226" s="2"/>
      <c r="D226" s="2"/>
      <c r="E226" s="2"/>
      <c r="F226" s="2"/>
    </row>
    <row r="227" spans="1:6" x14ac:dyDescent="0.35">
      <c r="A227" s="2"/>
      <c r="B227" s="2"/>
      <c r="C227" s="2"/>
      <c r="D227" s="2"/>
      <c r="E227" s="2"/>
      <c r="F227" s="2"/>
    </row>
    <row r="228" spans="1:6" x14ac:dyDescent="0.35">
      <c r="A228" s="2"/>
      <c r="B228" s="2"/>
      <c r="C228" s="2"/>
      <c r="D228" s="2"/>
      <c r="E228" s="2"/>
      <c r="F228" s="2"/>
    </row>
    <row r="229" spans="1:6" x14ac:dyDescent="0.35">
      <c r="A229" s="2"/>
      <c r="B229" s="2"/>
      <c r="C229" s="2"/>
      <c r="D229" s="2"/>
      <c r="E229" s="2"/>
      <c r="F229" s="2"/>
    </row>
    <row r="230" spans="1:6" x14ac:dyDescent="0.35">
      <c r="A230" s="2"/>
      <c r="B230" s="2"/>
      <c r="C230" s="2"/>
      <c r="D230" s="2"/>
      <c r="E230" s="2"/>
      <c r="F230" s="2"/>
    </row>
    <row r="231" spans="1:6" x14ac:dyDescent="0.35">
      <c r="A231" s="2"/>
      <c r="B231" s="2"/>
      <c r="C231" s="2"/>
      <c r="D231" s="2"/>
      <c r="E231" s="2"/>
      <c r="F231" s="2"/>
    </row>
    <row r="232" spans="1:6" x14ac:dyDescent="0.35">
      <c r="A232" s="2"/>
      <c r="B232" s="2"/>
      <c r="C232" s="2"/>
      <c r="D232" s="2"/>
      <c r="E232" s="2"/>
      <c r="F232" s="2"/>
    </row>
    <row r="233" spans="1:6" x14ac:dyDescent="0.35">
      <c r="A233" s="2"/>
      <c r="B233" s="2"/>
      <c r="C233" s="2"/>
      <c r="D233" s="2"/>
      <c r="E233" s="2"/>
      <c r="F233" s="2"/>
    </row>
    <row r="234" spans="1:6" x14ac:dyDescent="0.35">
      <c r="A234" s="2"/>
      <c r="B234" s="2"/>
      <c r="C234" s="2"/>
      <c r="D234" s="2"/>
      <c r="E234" s="2"/>
      <c r="F234" s="2"/>
    </row>
    <row r="235" spans="1:6" x14ac:dyDescent="0.35">
      <c r="A235" s="2"/>
      <c r="B235" s="2"/>
      <c r="C235" s="2"/>
      <c r="D235" s="2"/>
      <c r="E235" s="2"/>
      <c r="F235" s="2"/>
    </row>
    <row r="236" spans="1:6" x14ac:dyDescent="0.35">
      <c r="A236" s="2"/>
      <c r="B236" s="2"/>
      <c r="C236" s="2"/>
      <c r="D236" s="2"/>
      <c r="E236" s="2"/>
      <c r="F236" s="2"/>
    </row>
    <row r="237" spans="1:6" x14ac:dyDescent="0.35">
      <c r="A237" s="4"/>
      <c r="B237" s="2"/>
      <c r="E237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2C98-F1B8-492A-BF5C-7B37B4F33743}">
  <dimension ref="A1:F220"/>
  <sheetViews>
    <sheetView zoomScale="55" zoomScaleNormal="55" workbookViewId="0">
      <selection sqref="A1:F61"/>
    </sheetView>
  </sheetViews>
  <sheetFormatPr defaultRowHeight="14.5" x14ac:dyDescent="0.35"/>
  <cols>
    <col min="1" max="1" width="11.08984375" style="3" customWidth="1"/>
    <col min="2" max="2" width="11" style="3" customWidth="1"/>
    <col min="3" max="3" width="7.7265625" style="3" customWidth="1"/>
    <col min="4" max="4" width="14.08984375" style="3" customWidth="1"/>
    <col min="5" max="5" width="19.17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19</v>
      </c>
      <c r="B2" s="2" t="s">
        <v>20</v>
      </c>
      <c r="C2" s="2">
        <v>1960</v>
      </c>
      <c r="D2" s="2">
        <v>256111</v>
      </c>
      <c r="E2" s="2" t="s">
        <v>6</v>
      </c>
      <c r="F2" s="2">
        <v>4486</v>
      </c>
    </row>
    <row r="3" spans="1:6" x14ac:dyDescent="0.35">
      <c r="A3" s="2" t="s">
        <v>19</v>
      </c>
      <c r="B3" s="2" t="s">
        <v>20</v>
      </c>
      <c r="C3" s="2">
        <v>1961</v>
      </c>
      <c r="D3" s="2">
        <v>264446</v>
      </c>
      <c r="E3" s="2" t="s">
        <v>6</v>
      </c>
      <c r="F3" s="2">
        <v>4763</v>
      </c>
    </row>
    <row r="4" spans="1:6" x14ac:dyDescent="0.35">
      <c r="A4" s="2" t="s">
        <v>19</v>
      </c>
      <c r="B4" s="2" t="s">
        <v>20</v>
      </c>
      <c r="C4" s="2">
        <v>1962</v>
      </c>
      <c r="D4" s="2">
        <v>268574</v>
      </c>
      <c r="E4" s="2" t="s">
        <v>6</v>
      </c>
      <c r="F4" s="2">
        <v>5802</v>
      </c>
    </row>
    <row r="5" spans="1:6" x14ac:dyDescent="0.35">
      <c r="A5" s="2" t="s">
        <v>19</v>
      </c>
      <c r="B5" s="2" t="s">
        <v>20</v>
      </c>
      <c r="C5" s="2">
        <v>1963</v>
      </c>
      <c r="D5" s="2">
        <v>272408</v>
      </c>
      <c r="E5" s="2" t="s">
        <v>6</v>
      </c>
      <c r="F5" s="2">
        <v>4690</v>
      </c>
    </row>
    <row r="6" spans="1:6" x14ac:dyDescent="0.35">
      <c r="A6" s="2" t="s">
        <v>19</v>
      </c>
      <c r="B6" s="2" t="s">
        <v>20</v>
      </c>
      <c r="C6" s="2">
        <v>1964</v>
      </c>
      <c r="D6" s="2">
        <v>270926</v>
      </c>
      <c r="E6" s="2" t="s">
        <v>6</v>
      </c>
      <c r="F6" s="2">
        <v>4308</v>
      </c>
    </row>
    <row r="7" spans="1:6" x14ac:dyDescent="0.35">
      <c r="A7" s="2" t="s">
        <v>19</v>
      </c>
      <c r="B7" s="2" t="s">
        <v>20</v>
      </c>
      <c r="C7" s="2">
        <v>1965</v>
      </c>
      <c r="D7" s="2">
        <v>269837</v>
      </c>
      <c r="E7" s="2" t="s">
        <v>6</v>
      </c>
      <c r="F7" s="2">
        <v>4679</v>
      </c>
    </row>
    <row r="8" spans="1:6" x14ac:dyDescent="0.35">
      <c r="A8" s="2" t="s">
        <v>19</v>
      </c>
      <c r="B8" s="2" t="s">
        <v>20</v>
      </c>
      <c r="C8" s="2">
        <v>1966</v>
      </c>
      <c r="D8" s="2">
        <v>263840</v>
      </c>
      <c r="E8" s="2" t="s">
        <v>6</v>
      </c>
      <c r="F8" s="2">
        <v>4329</v>
      </c>
    </row>
    <row r="9" spans="1:6" x14ac:dyDescent="0.35">
      <c r="A9" s="2" t="s">
        <v>19</v>
      </c>
      <c r="B9" s="2" t="s">
        <v>21</v>
      </c>
      <c r="C9" s="2">
        <v>1967</v>
      </c>
      <c r="D9" s="2">
        <v>255373</v>
      </c>
      <c r="E9" s="2" t="s">
        <v>6</v>
      </c>
      <c r="F9" s="2">
        <v>4288</v>
      </c>
    </row>
    <row r="10" spans="1:6" x14ac:dyDescent="0.35">
      <c r="A10" s="2" t="s">
        <v>19</v>
      </c>
      <c r="B10" s="2" t="s">
        <v>21</v>
      </c>
      <c r="C10" s="2">
        <v>1968</v>
      </c>
      <c r="D10" s="2">
        <v>244882</v>
      </c>
      <c r="E10" s="2" t="s">
        <v>6</v>
      </c>
      <c r="F10" s="2">
        <v>4008</v>
      </c>
    </row>
    <row r="11" spans="1:6" x14ac:dyDescent="0.35">
      <c r="A11" s="2" t="s">
        <v>19</v>
      </c>
      <c r="B11" s="2" t="s">
        <v>21</v>
      </c>
      <c r="C11" s="2">
        <v>1969</v>
      </c>
      <c r="D11" s="2" t="s">
        <v>6</v>
      </c>
      <c r="E11" s="2" t="s">
        <v>6</v>
      </c>
      <c r="F11" s="2" t="s">
        <v>6</v>
      </c>
    </row>
    <row r="12" spans="1:6" x14ac:dyDescent="0.35">
      <c r="A12" s="2" t="s">
        <v>19</v>
      </c>
      <c r="B12" s="2" t="s">
        <v>21</v>
      </c>
      <c r="C12" s="2">
        <v>1970</v>
      </c>
      <c r="D12" s="2" t="s">
        <v>6</v>
      </c>
      <c r="E12" s="2" t="s">
        <v>6</v>
      </c>
      <c r="F12" s="2" t="s">
        <v>6</v>
      </c>
    </row>
    <row r="13" spans="1:6" x14ac:dyDescent="0.35">
      <c r="A13" s="2" t="s">
        <v>19</v>
      </c>
      <c r="B13" s="2" t="s">
        <v>21</v>
      </c>
      <c r="C13" s="2">
        <v>1971</v>
      </c>
      <c r="D13" s="2">
        <v>244277</v>
      </c>
      <c r="E13" s="2" t="s">
        <v>6</v>
      </c>
      <c r="F13" s="2">
        <v>3628</v>
      </c>
    </row>
    <row r="14" spans="1:6" x14ac:dyDescent="0.35">
      <c r="A14" s="2" t="s">
        <v>19</v>
      </c>
      <c r="B14" s="2" t="s">
        <v>20</v>
      </c>
      <c r="C14" s="2">
        <v>1972</v>
      </c>
      <c r="D14" s="2">
        <v>252326</v>
      </c>
      <c r="E14" s="2" t="s">
        <v>6</v>
      </c>
      <c r="F14" s="2">
        <v>3725</v>
      </c>
    </row>
    <row r="15" spans="1:6" x14ac:dyDescent="0.35">
      <c r="A15" s="2" t="s">
        <v>19</v>
      </c>
      <c r="B15" s="2" t="s">
        <v>20</v>
      </c>
      <c r="C15" s="2">
        <v>1973</v>
      </c>
      <c r="D15" s="2">
        <v>250961</v>
      </c>
      <c r="E15" s="2" t="s">
        <v>6</v>
      </c>
      <c r="F15" s="2">
        <v>4020</v>
      </c>
    </row>
    <row r="16" spans="1:6" x14ac:dyDescent="0.35">
      <c r="A16" s="2" t="s">
        <v>19</v>
      </c>
      <c r="B16" s="2" t="s">
        <v>20</v>
      </c>
      <c r="C16" s="2">
        <v>1974</v>
      </c>
      <c r="D16" s="2">
        <v>246507</v>
      </c>
      <c r="E16" s="2" t="s">
        <v>6</v>
      </c>
      <c r="F16" s="2">
        <v>3892</v>
      </c>
    </row>
    <row r="17" spans="1:6" x14ac:dyDescent="0.35">
      <c r="A17" s="2" t="s">
        <v>19</v>
      </c>
      <c r="B17" s="2" t="s">
        <v>20</v>
      </c>
      <c r="C17" s="2">
        <v>1975</v>
      </c>
      <c r="D17" s="2">
        <v>233820</v>
      </c>
      <c r="E17" s="2" t="s">
        <v>6</v>
      </c>
      <c r="F17" s="2">
        <v>3638</v>
      </c>
    </row>
    <row r="18" spans="1:6" x14ac:dyDescent="0.35">
      <c r="A18" s="2" t="s">
        <v>19</v>
      </c>
      <c r="B18" s="2" t="s">
        <v>20</v>
      </c>
      <c r="C18" s="2">
        <v>1976</v>
      </c>
      <c r="D18" s="2">
        <v>225552</v>
      </c>
      <c r="E18" s="2" t="s">
        <v>6</v>
      </c>
      <c r="F18" s="2">
        <v>3595</v>
      </c>
    </row>
    <row r="19" spans="1:6" x14ac:dyDescent="0.35">
      <c r="A19" s="2" t="s">
        <v>19</v>
      </c>
      <c r="B19" s="2" t="s">
        <v>20</v>
      </c>
      <c r="C19" s="2">
        <v>1977</v>
      </c>
      <c r="D19" s="2">
        <v>213636</v>
      </c>
      <c r="E19" s="2" t="s">
        <v>6</v>
      </c>
      <c r="F19" s="2">
        <v>3135</v>
      </c>
    </row>
    <row r="20" spans="1:6" x14ac:dyDescent="0.35">
      <c r="A20" s="2" t="s">
        <v>19</v>
      </c>
      <c r="B20" s="2" t="s">
        <v>20</v>
      </c>
      <c r="C20" s="2">
        <v>1978</v>
      </c>
      <c r="D20" s="2">
        <v>215613</v>
      </c>
      <c r="E20" s="2" t="s">
        <v>6</v>
      </c>
      <c r="F20" s="2">
        <v>2899</v>
      </c>
    </row>
    <row r="21" spans="1:6" x14ac:dyDescent="0.35">
      <c r="A21" s="2" t="s">
        <v>19</v>
      </c>
      <c r="B21" s="2" t="s">
        <v>20</v>
      </c>
      <c r="C21" s="2">
        <v>1979</v>
      </c>
      <c r="D21" s="2">
        <v>219916</v>
      </c>
      <c r="E21" s="2" t="s">
        <v>6</v>
      </c>
      <c r="F21" s="2">
        <v>3114</v>
      </c>
    </row>
    <row r="22" spans="1:6" x14ac:dyDescent="0.35">
      <c r="A22" s="2" t="s">
        <v>19</v>
      </c>
      <c r="B22" s="2" t="s">
        <v>20</v>
      </c>
      <c r="C22" s="2">
        <v>1980</v>
      </c>
      <c r="D22" s="2">
        <v>231359</v>
      </c>
      <c r="E22" s="2" t="s">
        <v>6</v>
      </c>
      <c r="F22" s="2">
        <v>3221</v>
      </c>
    </row>
    <row r="23" spans="1:6" x14ac:dyDescent="0.35">
      <c r="A23" s="2" t="s">
        <v>19</v>
      </c>
      <c r="B23" s="2" t="s">
        <v>20</v>
      </c>
      <c r="C23" s="2">
        <v>1981</v>
      </c>
      <c r="D23" s="2">
        <v>247614</v>
      </c>
      <c r="E23" s="2" t="s">
        <v>6</v>
      </c>
      <c r="F23" s="2">
        <v>3869</v>
      </c>
    </row>
    <row r="24" spans="1:6" x14ac:dyDescent="0.35">
      <c r="A24" s="2" t="s">
        <v>19</v>
      </c>
      <c r="B24" s="2" t="s">
        <v>20</v>
      </c>
      <c r="C24" s="2">
        <v>1982</v>
      </c>
      <c r="D24" s="2">
        <v>250249</v>
      </c>
      <c r="E24" s="2" t="s">
        <v>6</v>
      </c>
      <c r="F24" s="2">
        <v>6178</v>
      </c>
    </row>
    <row r="25" spans="1:6" x14ac:dyDescent="0.35">
      <c r="A25" s="2" t="s">
        <v>19</v>
      </c>
      <c r="B25" s="2" t="s">
        <v>20</v>
      </c>
      <c r="C25" s="2">
        <v>1983</v>
      </c>
      <c r="D25" s="2">
        <v>236818</v>
      </c>
      <c r="E25" s="2" t="s">
        <v>6</v>
      </c>
      <c r="F25" s="2">
        <v>6823</v>
      </c>
    </row>
    <row r="26" spans="1:6" x14ac:dyDescent="0.35">
      <c r="A26" s="2" t="s">
        <v>19</v>
      </c>
      <c r="B26" s="2" t="s">
        <v>20</v>
      </c>
      <c r="C26" s="2">
        <v>1984</v>
      </c>
      <c r="D26" s="2">
        <v>247901</v>
      </c>
      <c r="E26" s="2" t="s">
        <v>6</v>
      </c>
      <c r="F26" s="2">
        <v>3730</v>
      </c>
    </row>
    <row r="27" spans="1:6" x14ac:dyDescent="0.35">
      <c r="A27" s="2" t="s">
        <v>19</v>
      </c>
      <c r="B27" s="2" t="s">
        <v>20</v>
      </c>
      <c r="C27" s="2">
        <v>1985</v>
      </c>
      <c r="D27" s="2">
        <v>244817</v>
      </c>
      <c r="E27" s="2" t="s">
        <v>6</v>
      </c>
      <c r="F27" s="2">
        <v>3754</v>
      </c>
    </row>
    <row r="28" spans="1:6" x14ac:dyDescent="0.35">
      <c r="A28" s="2" t="s">
        <v>19</v>
      </c>
      <c r="B28" s="2" t="s">
        <v>20</v>
      </c>
      <c r="C28" s="2">
        <v>1986</v>
      </c>
      <c r="D28" s="2">
        <v>255270</v>
      </c>
      <c r="E28" s="2" t="s">
        <v>6</v>
      </c>
      <c r="F28" s="2">
        <v>3872</v>
      </c>
    </row>
    <row r="29" spans="1:6" x14ac:dyDescent="0.35">
      <c r="A29" s="2" t="s">
        <v>19</v>
      </c>
      <c r="B29" s="2" t="s">
        <v>20</v>
      </c>
      <c r="C29" s="2">
        <v>1987</v>
      </c>
      <c r="D29" s="2">
        <v>261022</v>
      </c>
      <c r="E29" s="2" t="s">
        <v>6</v>
      </c>
      <c r="F29" s="2">
        <v>4198</v>
      </c>
    </row>
    <row r="30" spans="1:6" x14ac:dyDescent="0.35">
      <c r="A30" s="2" t="s">
        <v>19</v>
      </c>
      <c r="B30" s="2" t="s">
        <v>20</v>
      </c>
      <c r="C30" s="2">
        <v>1988</v>
      </c>
      <c r="D30" s="2">
        <v>276903</v>
      </c>
      <c r="E30" s="2" t="s">
        <v>6</v>
      </c>
      <c r="F30" s="2">
        <v>4323</v>
      </c>
    </row>
    <row r="31" spans="1:6" x14ac:dyDescent="0.35">
      <c r="A31" s="2" t="s">
        <v>19</v>
      </c>
      <c r="B31" s="2" t="s">
        <v>20</v>
      </c>
      <c r="C31" s="2">
        <v>1989</v>
      </c>
      <c r="D31" s="2">
        <v>283121</v>
      </c>
      <c r="E31" s="2" t="s">
        <v>6</v>
      </c>
      <c r="F31" s="2">
        <v>4541</v>
      </c>
    </row>
    <row r="32" spans="1:6" x14ac:dyDescent="0.35">
      <c r="A32" s="2" t="s">
        <v>19</v>
      </c>
      <c r="B32" s="2" t="s">
        <v>20</v>
      </c>
      <c r="C32" s="2">
        <v>1990</v>
      </c>
      <c r="D32" s="2">
        <v>286246</v>
      </c>
      <c r="E32" s="2" t="s">
        <v>6</v>
      </c>
      <c r="F32" s="2">
        <v>4426</v>
      </c>
    </row>
    <row r="33" spans="1:6" x14ac:dyDescent="0.35">
      <c r="A33" s="2" t="s">
        <v>19</v>
      </c>
      <c r="B33" s="2" t="s">
        <v>20</v>
      </c>
      <c r="C33" s="2">
        <v>1991</v>
      </c>
      <c r="D33" s="2">
        <v>279274</v>
      </c>
      <c r="E33" s="2" t="s">
        <v>6</v>
      </c>
      <c r="F33" s="2">
        <v>4638</v>
      </c>
    </row>
    <row r="34" spans="1:6" x14ac:dyDescent="0.35">
      <c r="A34" s="2" t="s">
        <v>19</v>
      </c>
      <c r="B34" s="2" t="s">
        <v>20</v>
      </c>
      <c r="C34" s="2">
        <v>1992</v>
      </c>
      <c r="D34" s="2">
        <v>274181</v>
      </c>
      <c r="E34" s="2" t="s">
        <v>6</v>
      </c>
      <c r="F34" s="2">
        <v>4429</v>
      </c>
    </row>
    <row r="35" spans="1:6" x14ac:dyDescent="0.35">
      <c r="A35" s="2" t="s">
        <v>19</v>
      </c>
      <c r="B35" s="2" t="s">
        <v>20</v>
      </c>
      <c r="C35" s="2">
        <v>1993</v>
      </c>
      <c r="D35" s="2">
        <v>271101</v>
      </c>
      <c r="E35" s="2" t="s">
        <v>6</v>
      </c>
      <c r="F35" s="2">
        <v>4396</v>
      </c>
    </row>
    <row r="36" spans="1:6" x14ac:dyDescent="0.35">
      <c r="A36" s="2" t="s">
        <v>19</v>
      </c>
      <c r="B36" s="2" t="s">
        <v>20</v>
      </c>
      <c r="C36" s="2">
        <v>1994</v>
      </c>
      <c r="D36" s="2">
        <v>269129</v>
      </c>
      <c r="E36" s="2" t="s">
        <v>6</v>
      </c>
      <c r="F36" s="2">
        <v>4256</v>
      </c>
    </row>
    <row r="37" spans="1:6" x14ac:dyDescent="0.35">
      <c r="A37" s="2" t="s">
        <v>19</v>
      </c>
      <c r="B37" s="2" t="s">
        <v>20</v>
      </c>
      <c r="C37" s="2">
        <v>1995</v>
      </c>
      <c r="D37" s="2">
        <v>261027</v>
      </c>
      <c r="E37" s="2" t="s">
        <v>6</v>
      </c>
      <c r="F37" s="2">
        <v>4372</v>
      </c>
    </row>
    <row r="38" spans="1:6" x14ac:dyDescent="0.35">
      <c r="A38" s="2" t="s">
        <v>19</v>
      </c>
      <c r="B38" s="2" t="s">
        <v>20</v>
      </c>
      <c r="C38" s="2">
        <v>1996</v>
      </c>
      <c r="D38" s="2">
        <v>260103</v>
      </c>
      <c r="E38" s="2" t="s">
        <v>6</v>
      </c>
      <c r="F38" s="2">
        <v>4156</v>
      </c>
    </row>
    <row r="39" spans="1:6" x14ac:dyDescent="0.35">
      <c r="A39" s="2" t="s">
        <v>19</v>
      </c>
      <c r="B39" s="2" t="s">
        <v>20</v>
      </c>
      <c r="C39" s="2">
        <v>1997</v>
      </c>
      <c r="D39" s="2">
        <v>255311</v>
      </c>
      <c r="E39" s="2" t="s">
        <v>6</v>
      </c>
      <c r="F39" s="2">
        <v>4149</v>
      </c>
    </row>
    <row r="40" spans="1:6" x14ac:dyDescent="0.35">
      <c r="A40" s="2" t="s">
        <v>19</v>
      </c>
      <c r="B40" s="2" t="s">
        <v>20</v>
      </c>
      <c r="C40" s="2">
        <v>1998</v>
      </c>
      <c r="D40" s="2">
        <v>252648</v>
      </c>
      <c r="E40" s="2" t="s">
        <v>6</v>
      </c>
      <c r="F40" s="2">
        <v>4091</v>
      </c>
    </row>
    <row r="41" spans="1:6" x14ac:dyDescent="0.35">
      <c r="A41" s="2" t="s">
        <v>19</v>
      </c>
      <c r="B41" s="2" t="s">
        <v>20</v>
      </c>
      <c r="C41" s="2">
        <v>1999</v>
      </c>
      <c r="D41" s="2">
        <v>246139</v>
      </c>
      <c r="E41" s="2" t="s">
        <v>6</v>
      </c>
      <c r="F41" s="2">
        <v>4205</v>
      </c>
    </row>
    <row r="42" spans="1:6" x14ac:dyDescent="0.35">
      <c r="A42" s="2" t="s">
        <v>19</v>
      </c>
      <c r="B42" s="2" t="s">
        <v>20</v>
      </c>
      <c r="C42" s="2">
        <v>2000</v>
      </c>
      <c r="D42" s="2">
        <v>244549</v>
      </c>
      <c r="E42" s="2" t="s">
        <v>6</v>
      </c>
      <c r="F42" s="2">
        <v>4123</v>
      </c>
    </row>
    <row r="43" spans="1:6" x14ac:dyDescent="0.35">
      <c r="A43" s="2" t="s">
        <v>19</v>
      </c>
      <c r="B43" s="2" t="s">
        <v>20</v>
      </c>
      <c r="C43" s="2">
        <v>2001</v>
      </c>
      <c r="D43" s="2">
        <v>241538</v>
      </c>
      <c r="E43" s="2" t="s">
        <v>6</v>
      </c>
      <c r="F43" s="2">
        <v>4366</v>
      </c>
    </row>
    <row r="44" spans="1:6" x14ac:dyDescent="0.35">
      <c r="A44" s="2" t="s">
        <v>19</v>
      </c>
      <c r="B44" s="2" t="s">
        <v>20</v>
      </c>
      <c r="C44" s="2">
        <v>2002</v>
      </c>
      <c r="D44" s="2">
        <v>234480</v>
      </c>
      <c r="E44" s="2" t="s">
        <v>6</v>
      </c>
      <c r="F44" s="2">
        <v>4241</v>
      </c>
    </row>
    <row r="45" spans="1:6" x14ac:dyDescent="0.35">
      <c r="A45" s="2" t="s">
        <v>19</v>
      </c>
      <c r="B45" s="2" t="s">
        <v>20</v>
      </c>
      <c r="C45" s="2">
        <v>2003</v>
      </c>
      <c r="D45" s="2">
        <v>229915</v>
      </c>
      <c r="E45" s="2" t="s">
        <v>6</v>
      </c>
      <c r="F45" s="2">
        <v>4144</v>
      </c>
    </row>
    <row r="46" spans="1:6" x14ac:dyDescent="0.35">
      <c r="A46" s="2" t="s">
        <v>19</v>
      </c>
      <c r="B46" s="2" t="s">
        <v>20</v>
      </c>
      <c r="C46" s="2">
        <v>2004</v>
      </c>
      <c r="D46" s="2">
        <v>225800</v>
      </c>
      <c r="E46" s="2" t="s">
        <v>6</v>
      </c>
      <c r="F46" s="2">
        <v>4005</v>
      </c>
    </row>
    <row r="47" spans="1:6" x14ac:dyDescent="0.35">
      <c r="A47" s="2" t="s">
        <v>19</v>
      </c>
      <c r="B47" s="2" t="s">
        <v>20</v>
      </c>
      <c r="C47" s="2">
        <v>2005</v>
      </c>
      <c r="D47" s="2">
        <v>226313</v>
      </c>
      <c r="E47" s="2" t="s">
        <v>6</v>
      </c>
      <c r="F47" s="2">
        <v>4038</v>
      </c>
    </row>
    <row r="48" spans="1:6" x14ac:dyDescent="0.35">
      <c r="A48" s="2" t="s">
        <v>19</v>
      </c>
      <c r="B48" s="2" t="s">
        <v>20</v>
      </c>
      <c r="C48" s="2">
        <v>2006</v>
      </c>
      <c r="D48" s="2">
        <v>226661</v>
      </c>
      <c r="E48" s="2" t="s">
        <v>6</v>
      </c>
      <c r="F48" s="2">
        <v>4115</v>
      </c>
    </row>
    <row r="49" spans="1:6" x14ac:dyDescent="0.35">
      <c r="A49" s="2" t="s">
        <v>19</v>
      </c>
      <c r="B49" s="2" t="s">
        <v>20</v>
      </c>
      <c r="C49" s="2">
        <v>2007</v>
      </c>
      <c r="D49" s="2">
        <v>235591</v>
      </c>
      <c r="E49" s="2" t="s">
        <v>6</v>
      </c>
      <c r="F49" s="2">
        <v>4355</v>
      </c>
    </row>
    <row r="50" spans="1:6" x14ac:dyDescent="0.35">
      <c r="A50" s="2" t="s">
        <v>19</v>
      </c>
      <c r="B50" s="2" t="s">
        <v>20</v>
      </c>
      <c r="C50" s="2">
        <v>2008</v>
      </c>
      <c r="D50" s="2">
        <v>241684</v>
      </c>
      <c r="E50" s="2" t="s">
        <v>6</v>
      </c>
      <c r="F50" s="2">
        <v>4595</v>
      </c>
    </row>
    <row r="51" spans="1:6" x14ac:dyDescent="0.35">
      <c r="A51" s="2" t="s">
        <v>19</v>
      </c>
      <c r="B51" s="2" t="s">
        <v>20</v>
      </c>
      <c r="C51" s="2">
        <v>2009</v>
      </c>
      <c r="D51" s="2">
        <v>246988</v>
      </c>
      <c r="E51" s="2" t="s">
        <v>6</v>
      </c>
      <c r="F51" s="2">
        <v>4640</v>
      </c>
    </row>
    <row r="52" spans="1:6" x14ac:dyDescent="0.35">
      <c r="A52" s="2" t="s">
        <v>19</v>
      </c>
      <c r="B52" s="2" t="s">
        <v>20</v>
      </c>
      <c r="C52" s="2">
        <v>2010</v>
      </c>
      <c r="D52" s="2">
        <v>245381</v>
      </c>
      <c r="E52" s="2" t="s">
        <v>6</v>
      </c>
      <c r="F52" s="2">
        <v>4767</v>
      </c>
    </row>
    <row r="53" spans="1:6" x14ac:dyDescent="0.35">
      <c r="A53" s="2" t="s">
        <v>19</v>
      </c>
      <c r="B53" s="2" t="s">
        <v>20</v>
      </c>
      <c r="C53" s="2">
        <v>2011</v>
      </c>
      <c r="D53" s="2">
        <v>242397</v>
      </c>
      <c r="E53" s="2" t="s">
        <v>6</v>
      </c>
      <c r="F53" s="2">
        <v>4617</v>
      </c>
    </row>
    <row r="54" spans="1:6" x14ac:dyDescent="0.35">
      <c r="A54" s="2" t="s">
        <v>19</v>
      </c>
      <c r="B54" s="2" t="s">
        <v>20</v>
      </c>
      <c r="C54" s="2">
        <v>2012</v>
      </c>
      <c r="D54" s="2">
        <v>238383</v>
      </c>
      <c r="E54" s="2" t="s">
        <v>6</v>
      </c>
      <c r="F54" s="2">
        <v>4722</v>
      </c>
    </row>
    <row r="55" spans="1:6" x14ac:dyDescent="0.35">
      <c r="A55" s="2" t="s">
        <v>19</v>
      </c>
      <c r="B55" s="2" t="s">
        <v>20</v>
      </c>
      <c r="C55" s="2">
        <v>2013</v>
      </c>
      <c r="D55" s="2">
        <v>236750</v>
      </c>
      <c r="E55" s="2" t="s">
        <v>6</v>
      </c>
      <c r="F55" s="2">
        <v>4753</v>
      </c>
    </row>
    <row r="56" spans="1:6" x14ac:dyDescent="0.35">
      <c r="A56" s="2" t="s">
        <v>19</v>
      </c>
      <c r="B56" s="2" t="s">
        <v>20</v>
      </c>
      <c r="C56" s="2">
        <v>2014</v>
      </c>
      <c r="D56" s="2">
        <v>245334</v>
      </c>
      <c r="E56" s="2" t="s">
        <v>6</v>
      </c>
      <c r="F56" s="2">
        <v>5061</v>
      </c>
    </row>
    <row r="57" spans="1:6" x14ac:dyDescent="0.35">
      <c r="A57" s="2" t="s">
        <v>19</v>
      </c>
      <c r="B57" s="2" t="s">
        <v>20</v>
      </c>
      <c r="C57" s="2">
        <v>2015</v>
      </c>
      <c r="D57" s="2">
        <v>238988</v>
      </c>
      <c r="E57" s="3">
        <v>2608</v>
      </c>
      <c r="F57" s="2">
        <v>5113</v>
      </c>
    </row>
    <row r="58" spans="1:6" x14ac:dyDescent="0.35">
      <c r="A58" s="2" t="s">
        <v>19</v>
      </c>
      <c r="B58" s="2" t="s">
        <v>20</v>
      </c>
      <c r="C58" s="2">
        <v>2016</v>
      </c>
      <c r="D58" s="2">
        <v>226176</v>
      </c>
      <c r="E58" s="3">
        <v>2525</v>
      </c>
      <c r="F58" s="2">
        <v>4951</v>
      </c>
    </row>
    <row r="59" spans="1:6" x14ac:dyDescent="0.35">
      <c r="A59" s="2" t="s">
        <v>19</v>
      </c>
      <c r="B59" s="2" t="s">
        <v>20</v>
      </c>
      <c r="C59" s="2">
        <v>2017</v>
      </c>
      <c r="D59" s="2">
        <v>213579</v>
      </c>
      <c r="E59" s="3">
        <v>2596</v>
      </c>
      <c r="F59" s="2">
        <v>5124</v>
      </c>
    </row>
    <row r="60" spans="1:6" x14ac:dyDescent="0.35">
      <c r="A60" s="2" t="s">
        <v>19</v>
      </c>
      <c r="B60" s="2" t="s">
        <v>20</v>
      </c>
      <c r="C60" s="2">
        <v>2018</v>
      </c>
      <c r="D60" s="2">
        <v>216269</v>
      </c>
      <c r="E60" s="2">
        <v>2546</v>
      </c>
      <c r="F60" s="2">
        <v>5124</v>
      </c>
    </row>
    <row r="61" spans="1:6" x14ac:dyDescent="0.35">
      <c r="A61" s="2" t="s">
        <v>19</v>
      </c>
      <c r="B61" s="2" t="s">
        <v>20</v>
      </c>
      <c r="C61" s="2">
        <v>2019</v>
      </c>
      <c r="D61" s="2">
        <v>205509</v>
      </c>
      <c r="E61" s="2">
        <v>2209</v>
      </c>
      <c r="F61" s="2">
        <v>4408</v>
      </c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  <row r="202" spans="1:6" x14ac:dyDescent="0.35">
      <c r="A202" s="2"/>
      <c r="B202" s="2"/>
      <c r="C202" s="2"/>
      <c r="D202" s="2"/>
      <c r="E202" s="2"/>
      <c r="F202" s="2"/>
    </row>
    <row r="203" spans="1:6" x14ac:dyDescent="0.35">
      <c r="A203" s="2"/>
      <c r="B203" s="2"/>
      <c r="C203" s="2"/>
      <c r="D203" s="2"/>
      <c r="E203" s="2"/>
      <c r="F203" s="2"/>
    </row>
    <row r="204" spans="1:6" x14ac:dyDescent="0.35">
      <c r="A204" s="2"/>
      <c r="B204" s="2"/>
      <c r="C204" s="2"/>
      <c r="D204" s="2"/>
      <c r="E204" s="2"/>
      <c r="F204" s="2"/>
    </row>
    <row r="205" spans="1:6" x14ac:dyDescent="0.35">
      <c r="A205" s="2"/>
      <c r="B205" s="2"/>
      <c r="C205" s="2"/>
      <c r="D205" s="2"/>
      <c r="E205" s="2"/>
      <c r="F205" s="2"/>
    </row>
    <row r="206" spans="1:6" x14ac:dyDescent="0.35">
      <c r="A206" s="2"/>
      <c r="B206" s="2"/>
      <c r="C206" s="2"/>
      <c r="D206" s="2"/>
      <c r="E206" s="2"/>
      <c r="F206" s="2"/>
    </row>
    <row r="207" spans="1:6" x14ac:dyDescent="0.35">
      <c r="A207" s="2"/>
      <c r="B207" s="2"/>
      <c r="C207" s="2"/>
      <c r="D207" s="2"/>
      <c r="E207" s="2"/>
      <c r="F207" s="2"/>
    </row>
    <row r="208" spans="1:6" x14ac:dyDescent="0.35">
      <c r="A208" s="2"/>
      <c r="B208" s="2"/>
      <c r="C208" s="2"/>
      <c r="D208" s="2"/>
      <c r="E208" s="2"/>
      <c r="F208" s="2"/>
    </row>
    <row r="209" spans="1:6" x14ac:dyDescent="0.35">
      <c r="A209" s="2"/>
      <c r="B209" s="2"/>
      <c r="C209" s="2"/>
      <c r="D209" s="2"/>
      <c r="E209" s="2"/>
      <c r="F209" s="2"/>
    </row>
    <row r="210" spans="1:6" x14ac:dyDescent="0.35">
      <c r="A210" s="2"/>
      <c r="B210" s="2"/>
      <c r="C210" s="2"/>
      <c r="D210" s="2"/>
      <c r="E210" s="2"/>
      <c r="F210" s="2"/>
    </row>
    <row r="211" spans="1:6" x14ac:dyDescent="0.35">
      <c r="A211" s="2"/>
      <c r="B211" s="2"/>
      <c r="C211" s="2"/>
      <c r="D211" s="2"/>
      <c r="E211" s="2"/>
      <c r="F211" s="2"/>
    </row>
    <row r="212" spans="1:6" x14ac:dyDescent="0.35">
      <c r="A212" s="2"/>
      <c r="B212" s="2"/>
      <c r="C212" s="2"/>
      <c r="D212" s="2"/>
      <c r="E212" s="2"/>
      <c r="F212" s="2"/>
    </row>
    <row r="213" spans="1:6" x14ac:dyDescent="0.35">
      <c r="A213" s="2"/>
      <c r="B213" s="2"/>
      <c r="C213" s="2"/>
      <c r="D213" s="2"/>
      <c r="E213" s="2"/>
      <c r="F213" s="2"/>
    </row>
    <row r="214" spans="1:6" x14ac:dyDescent="0.35">
      <c r="A214" s="2"/>
      <c r="B214" s="2"/>
      <c r="C214" s="2"/>
      <c r="D214" s="2"/>
      <c r="E214" s="2"/>
      <c r="F214" s="2"/>
    </row>
    <row r="215" spans="1:6" x14ac:dyDescent="0.35">
      <c r="A215" s="2"/>
      <c r="B215" s="2"/>
      <c r="C215" s="2"/>
      <c r="D215" s="2"/>
      <c r="E215" s="2"/>
      <c r="F215" s="2"/>
    </row>
    <row r="216" spans="1:6" x14ac:dyDescent="0.35">
      <c r="A216" s="2"/>
      <c r="B216" s="2"/>
      <c r="C216" s="2"/>
      <c r="D216" s="2"/>
      <c r="E216" s="2"/>
      <c r="F216" s="2"/>
    </row>
    <row r="217" spans="1:6" x14ac:dyDescent="0.35">
      <c r="A217" s="2"/>
      <c r="B217" s="2"/>
      <c r="C217" s="2"/>
      <c r="D217" s="2"/>
      <c r="E217" s="2"/>
      <c r="F217" s="2"/>
    </row>
    <row r="218" spans="1:6" x14ac:dyDescent="0.35">
      <c r="A218" s="2"/>
      <c r="B218" s="2"/>
      <c r="C218" s="2"/>
      <c r="D218" s="2"/>
      <c r="E218" s="2"/>
      <c r="F218" s="2"/>
    </row>
    <row r="219" spans="1:6" x14ac:dyDescent="0.35">
      <c r="A219" s="2"/>
      <c r="B219" s="2"/>
      <c r="C219" s="2"/>
      <c r="D219" s="2"/>
      <c r="E219" s="2"/>
      <c r="F219" s="2"/>
    </row>
    <row r="220" spans="1:6" x14ac:dyDescent="0.35">
      <c r="A220" s="4"/>
      <c r="B220" s="2"/>
      <c r="E220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24AA-E2F9-46F5-9529-0286EA1E12AF}">
  <dimension ref="A1:F103"/>
  <sheetViews>
    <sheetView zoomScale="55" zoomScaleNormal="55" workbookViewId="0">
      <selection sqref="A1:F103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22</v>
      </c>
      <c r="B2" s="2" t="s">
        <v>23</v>
      </c>
      <c r="C2" s="2" t="s">
        <v>24</v>
      </c>
      <c r="D2" s="7" t="s">
        <v>6</v>
      </c>
      <c r="E2" s="7">
        <f>5016+418</f>
        <v>5434</v>
      </c>
      <c r="F2" s="7" t="s">
        <v>6</v>
      </c>
    </row>
    <row r="3" spans="1:6" x14ac:dyDescent="0.35">
      <c r="A3" s="2" t="s">
        <v>22</v>
      </c>
      <c r="B3" s="2" t="s">
        <v>23</v>
      </c>
      <c r="C3" s="2" t="s">
        <v>25</v>
      </c>
      <c r="D3" s="7" t="s">
        <v>6</v>
      </c>
      <c r="E3" s="7">
        <f>3129+349</f>
        <v>3478</v>
      </c>
      <c r="F3" s="7" t="s">
        <v>6</v>
      </c>
    </row>
    <row r="4" spans="1:6" x14ac:dyDescent="0.35">
      <c r="A4" s="2" t="s">
        <v>22</v>
      </c>
      <c r="B4" s="2" t="s">
        <v>23</v>
      </c>
      <c r="C4" s="2" t="s">
        <v>26</v>
      </c>
      <c r="D4" s="7" t="s">
        <v>6</v>
      </c>
      <c r="E4" s="7">
        <f>2982+344</f>
        <v>3326</v>
      </c>
      <c r="F4" s="7" t="s">
        <v>6</v>
      </c>
    </row>
    <row r="5" spans="1:6" x14ac:dyDescent="0.35">
      <c r="A5" s="2" t="s">
        <v>22</v>
      </c>
      <c r="B5" s="2" t="s">
        <v>23</v>
      </c>
      <c r="C5" s="2" t="s">
        <v>27</v>
      </c>
      <c r="D5" s="7" t="s">
        <v>6</v>
      </c>
      <c r="E5" s="7">
        <f>2796+272</f>
        <v>3068</v>
      </c>
      <c r="F5" s="7" t="s">
        <v>6</v>
      </c>
    </row>
    <row r="6" spans="1:6" x14ac:dyDescent="0.35">
      <c r="A6" s="2" t="s">
        <v>22</v>
      </c>
      <c r="B6" s="2" t="s">
        <v>23</v>
      </c>
      <c r="C6" s="2" t="s">
        <v>28</v>
      </c>
      <c r="D6" s="7" t="s">
        <v>6</v>
      </c>
      <c r="E6" s="7">
        <f>2914+343</f>
        <v>3257</v>
      </c>
      <c r="F6" s="7" t="s">
        <v>6</v>
      </c>
    </row>
    <row r="7" spans="1:6" x14ac:dyDescent="0.35">
      <c r="A7" s="2" t="s">
        <v>22</v>
      </c>
      <c r="B7" s="2" t="s">
        <v>23</v>
      </c>
      <c r="C7" s="2" t="s">
        <v>29</v>
      </c>
      <c r="D7" s="7" t="s">
        <v>6</v>
      </c>
      <c r="E7" s="7">
        <f>2580+286</f>
        <v>2866</v>
      </c>
      <c r="F7" s="7" t="s">
        <v>6</v>
      </c>
    </row>
    <row r="8" spans="1:6" x14ac:dyDescent="0.35">
      <c r="A8" s="2" t="s">
        <v>22</v>
      </c>
      <c r="B8" s="2" t="s">
        <v>23</v>
      </c>
      <c r="C8" s="2" t="s">
        <v>30</v>
      </c>
      <c r="D8" s="7" t="s">
        <v>6</v>
      </c>
      <c r="E8" s="7">
        <f>1667+957+179+88</f>
        <v>2891</v>
      </c>
      <c r="F8" s="7" t="s">
        <v>6</v>
      </c>
    </row>
    <row r="9" spans="1:6" x14ac:dyDescent="0.35">
      <c r="A9" s="2" t="s">
        <v>22</v>
      </c>
      <c r="B9" s="2" t="s">
        <v>23</v>
      </c>
      <c r="C9" s="2" t="s">
        <v>31</v>
      </c>
      <c r="D9" s="7" t="s">
        <v>6</v>
      </c>
      <c r="E9" s="7">
        <f>1545+969+211+82</f>
        <v>2807</v>
      </c>
      <c r="F9" s="7" t="s">
        <v>6</v>
      </c>
    </row>
    <row r="10" spans="1:6" x14ac:dyDescent="0.35">
      <c r="A10" s="2" t="s">
        <v>22</v>
      </c>
      <c r="B10" s="2" t="s">
        <v>23</v>
      </c>
      <c r="C10" s="2" t="s">
        <v>32</v>
      </c>
      <c r="D10" s="7" t="s">
        <v>6</v>
      </c>
      <c r="E10" s="7">
        <f>1509+970+223+92</f>
        <v>2794</v>
      </c>
      <c r="F10" s="7" t="s">
        <v>6</v>
      </c>
    </row>
    <row r="11" spans="1:6" x14ac:dyDescent="0.35">
      <c r="A11" s="2" t="s">
        <v>22</v>
      </c>
      <c r="B11" s="2" t="s">
        <v>23</v>
      </c>
      <c r="C11" s="2" t="s">
        <v>33</v>
      </c>
      <c r="D11" s="7" t="s">
        <v>6</v>
      </c>
      <c r="E11" s="7">
        <f>1445+934+169+74</f>
        <v>2622</v>
      </c>
      <c r="F11" s="7" t="s">
        <v>6</v>
      </c>
    </row>
    <row r="12" spans="1:6" x14ac:dyDescent="0.35">
      <c r="A12" s="2" t="s">
        <v>22</v>
      </c>
      <c r="B12" s="2" t="s">
        <v>23</v>
      </c>
      <c r="C12" s="2" t="s">
        <v>34</v>
      </c>
      <c r="D12" s="7" t="s">
        <v>6</v>
      </c>
      <c r="E12" s="7">
        <f>1423+927+191+87</f>
        <v>2628</v>
      </c>
      <c r="F12" s="7" t="s">
        <v>6</v>
      </c>
    </row>
    <row r="13" spans="1:6" x14ac:dyDescent="0.35">
      <c r="A13" s="2" t="s">
        <v>22</v>
      </c>
      <c r="B13" s="2" t="s">
        <v>23</v>
      </c>
      <c r="C13" s="2" t="s">
        <v>35</v>
      </c>
      <c r="D13" s="7" t="s">
        <v>6</v>
      </c>
      <c r="E13" s="7">
        <f>1553+937+173+91</f>
        <v>2754</v>
      </c>
      <c r="F13" s="7" t="s">
        <v>6</v>
      </c>
    </row>
    <row r="14" spans="1:6" x14ac:dyDescent="0.35">
      <c r="A14" s="2" t="s">
        <v>22</v>
      </c>
      <c r="B14" s="2" t="s">
        <v>23</v>
      </c>
      <c r="C14" s="2" t="s">
        <v>36</v>
      </c>
      <c r="D14" s="7" t="s">
        <v>6</v>
      </c>
      <c r="E14" s="7">
        <f>1441+903+184+85</f>
        <v>2613</v>
      </c>
      <c r="F14" s="7" t="s">
        <v>6</v>
      </c>
    </row>
    <row r="15" spans="1:6" x14ac:dyDescent="0.35">
      <c r="A15" s="2" t="s">
        <v>22</v>
      </c>
      <c r="B15" s="2" t="s">
        <v>23</v>
      </c>
      <c r="C15" s="2" t="s">
        <v>37</v>
      </c>
      <c r="D15" s="7" t="s">
        <v>6</v>
      </c>
      <c r="E15" s="7">
        <f>1404+818+194+59</f>
        <v>2475</v>
      </c>
      <c r="F15" s="7" t="s">
        <v>6</v>
      </c>
    </row>
    <row r="16" spans="1:6" x14ac:dyDescent="0.35">
      <c r="A16" s="2" t="s">
        <v>22</v>
      </c>
      <c r="B16" s="2" t="s">
        <v>23</v>
      </c>
      <c r="C16" s="2" t="s">
        <v>38</v>
      </c>
      <c r="D16" s="7" t="s">
        <v>6</v>
      </c>
      <c r="E16" s="7">
        <f>1265+764+155+87</f>
        <v>2271</v>
      </c>
      <c r="F16" s="7" t="s">
        <v>6</v>
      </c>
    </row>
    <row r="17" spans="1:6" x14ac:dyDescent="0.35">
      <c r="A17" s="2" t="s">
        <v>22</v>
      </c>
      <c r="B17" s="2" t="s">
        <v>23</v>
      </c>
      <c r="C17" s="2" t="s">
        <v>39</v>
      </c>
      <c r="D17" s="7" t="s">
        <v>6</v>
      </c>
      <c r="E17" s="7">
        <f>1252+775+167+72</f>
        <v>2266</v>
      </c>
      <c r="F17" s="7" t="s">
        <v>6</v>
      </c>
    </row>
    <row r="18" spans="1:6" x14ac:dyDescent="0.35">
      <c r="A18" s="2" t="s">
        <v>22</v>
      </c>
      <c r="B18" s="2" t="s">
        <v>23</v>
      </c>
      <c r="C18" s="2" t="s">
        <v>40</v>
      </c>
      <c r="D18" s="7" t="s">
        <v>6</v>
      </c>
      <c r="E18" s="7">
        <f>1188+716+155+71</f>
        <v>2130</v>
      </c>
      <c r="F18" s="7" t="s">
        <v>6</v>
      </c>
    </row>
    <row r="19" spans="1:6" x14ac:dyDescent="0.35">
      <c r="A19" s="2" t="s">
        <v>22</v>
      </c>
      <c r="B19" s="2" t="s">
        <v>23</v>
      </c>
      <c r="C19" s="2" t="s">
        <v>41</v>
      </c>
      <c r="D19" s="7" t="s">
        <v>6</v>
      </c>
      <c r="E19" s="7">
        <f>1153+718+119+62</f>
        <v>2052</v>
      </c>
      <c r="F19" s="7" t="s">
        <v>6</v>
      </c>
    </row>
    <row r="20" spans="1:6" x14ac:dyDescent="0.35">
      <c r="A20" s="2" t="s">
        <v>22</v>
      </c>
      <c r="B20" s="2" t="s">
        <v>23</v>
      </c>
      <c r="C20" s="2" t="s">
        <v>42</v>
      </c>
      <c r="D20" s="7" t="s">
        <v>6</v>
      </c>
      <c r="E20" s="7">
        <f>1131+784+127+76</f>
        <v>2118</v>
      </c>
      <c r="F20" s="7" t="s">
        <v>6</v>
      </c>
    </row>
    <row r="21" spans="1:6" x14ac:dyDescent="0.35">
      <c r="A21" s="2" t="s">
        <v>22</v>
      </c>
      <c r="B21" s="2" t="s">
        <v>23</v>
      </c>
      <c r="C21" s="2" t="s">
        <v>43</v>
      </c>
      <c r="D21" s="7">
        <v>103097</v>
      </c>
      <c r="E21" s="7">
        <v>1390</v>
      </c>
      <c r="F21" s="7" t="s">
        <v>6</v>
      </c>
    </row>
    <row r="22" spans="1:6" x14ac:dyDescent="0.35">
      <c r="A22" s="2" t="s">
        <v>22</v>
      </c>
      <c r="B22" s="2" t="s">
        <v>23</v>
      </c>
      <c r="C22" s="2" t="s">
        <v>44</v>
      </c>
      <c r="D22" s="7">
        <v>106551</v>
      </c>
      <c r="E22" s="7">
        <v>1441</v>
      </c>
      <c r="F22" s="7" t="s">
        <v>6</v>
      </c>
    </row>
    <row r="23" spans="1:6" x14ac:dyDescent="0.35">
      <c r="A23" s="2" t="s">
        <v>22</v>
      </c>
      <c r="B23" s="2" t="s">
        <v>23</v>
      </c>
      <c r="C23" s="2" t="s">
        <v>45</v>
      </c>
      <c r="D23" s="7">
        <v>119513</v>
      </c>
      <c r="E23" s="7">
        <v>1506</v>
      </c>
      <c r="F23" s="7" t="s">
        <v>6</v>
      </c>
    </row>
    <row r="24" spans="1:6" x14ac:dyDescent="0.35">
      <c r="A24" s="2" t="s">
        <v>22</v>
      </c>
      <c r="B24" s="2" t="s">
        <v>23</v>
      </c>
      <c r="C24" s="2" t="s">
        <v>46</v>
      </c>
      <c r="D24" s="7">
        <v>121950</v>
      </c>
      <c r="E24" s="7">
        <v>1505</v>
      </c>
      <c r="F24" s="7" t="s">
        <v>6</v>
      </c>
    </row>
    <row r="25" spans="1:6" x14ac:dyDescent="0.35">
      <c r="A25" s="2" t="s">
        <v>22</v>
      </c>
      <c r="B25" s="2" t="s">
        <v>23</v>
      </c>
      <c r="C25" s="2" t="s">
        <v>47</v>
      </c>
      <c r="D25" s="7">
        <v>129550</v>
      </c>
      <c r="E25" s="7">
        <v>1627</v>
      </c>
      <c r="F25" s="7" t="s">
        <v>6</v>
      </c>
    </row>
    <row r="26" spans="1:6" x14ac:dyDescent="0.35">
      <c r="A26" s="2" t="s">
        <v>22</v>
      </c>
      <c r="B26" s="2" t="s">
        <v>23</v>
      </c>
      <c r="C26" s="2" t="s">
        <v>48</v>
      </c>
      <c r="D26" s="7">
        <v>149157</v>
      </c>
      <c r="E26" s="7">
        <v>1717</v>
      </c>
      <c r="F26" s="7" t="s">
        <v>6</v>
      </c>
    </row>
    <row r="27" spans="1:6" x14ac:dyDescent="0.35">
      <c r="A27" s="2" t="s">
        <v>22</v>
      </c>
      <c r="B27" s="2" t="s">
        <v>23</v>
      </c>
      <c r="C27" s="2" t="s">
        <v>49</v>
      </c>
      <c r="D27" s="7">
        <v>150414</v>
      </c>
      <c r="E27" s="7">
        <v>1753</v>
      </c>
      <c r="F27" s="7" t="s">
        <v>6</v>
      </c>
    </row>
    <row r="28" spans="1:6" x14ac:dyDescent="0.35">
      <c r="A28" s="2" t="s">
        <v>22</v>
      </c>
      <c r="B28" s="2" t="s">
        <v>23</v>
      </c>
      <c r="C28" s="2" t="s">
        <v>50</v>
      </c>
      <c r="D28" s="7">
        <v>158017</v>
      </c>
      <c r="E28" s="7">
        <v>1864</v>
      </c>
      <c r="F28" s="7" t="s">
        <v>6</v>
      </c>
    </row>
    <row r="29" spans="1:6" x14ac:dyDescent="0.35">
      <c r="A29" s="2" t="s">
        <v>22</v>
      </c>
      <c r="B29" s="2" t="s">
        <v>23</v>
      </c>
      <c r="C29" s="2" t="s">
        <v>51</v>
      </c>
      <c r="D29" s="7">
        <v>197223</v>
      </c>
      <c r="E29" s="7">
        <v>2367</v>
      </c>
      <c r="F29" s="7" t="s">
        <v>6</v>
      </c>
    </row>
    <row r="30" spans="1:6" x14ac:dyDescent="0.35">
      <c r="A30" s="2" t="s">
        <v>22</v>
      </c>
      <c r="B30" s="2" t="s">
        <v>23</v>
      </c>
      <c r="C30" s="2" t="s">
        <v>52</v>
      </c>
      <c r="D30" s="7">
        <v>204787</v>
      </c>
      <c r="E30" s="7">
        <v>2624</v>
      </c>
      <c r="F30" s="7" t="s">
        <v>6</v>
      </c>
    </row>
    <row r="31" spans="1:6" x14ac:dyDescent="0.35">
      <c r="A31" s="2" t="s">
        <v>22</v>
      </c>
      <c r="B31" s="2" t="s">
        <v>23</v>
      </c>
      <c r="C31" s="2" t="s">
        <v>53</v>
      </c>
      <c r="D31" s="7">
        <v>195874</v>
      </c>
      <c r="E31" s="7">
        <v>2436</v>
      </c>
      <c r="F31" s="7" t="s">
        <v>6</v>
      </c>
    </row>
    <row r="32" spans="1:6" x14ac:dyDescent="0.35">
      <c r="A32" s="2" t="s">
        <v>22</v>
      </c>
      <c r="B32" s="2" t="s">
        <v>23</v>
      </c>
      <c r="C32" s="2" t="s">
        <v>54</v>
      </c>
      <c r="D32" s="7">
        <v>183862</v>
      </c>
      <c r="E32" s="7">
        <v>2150</v>
      </c>
      <c r="F32" s="7" t="s">
        <v>6</v>
      </c>
    </row>
    <row r="33" spans="1:6" x14ac:dyDescent="0.35">
      <c r="A33" s="2" t="s">
        <v>22</v>
      </c>
      <c r="B33" s="2" t="s">
        <v>23</v>
      </c>
      <c r="C33" s="2" t="s">
        <v>55</v>
      </c>
      <c r="D33" s="2" t="s">
        <v>6</v>
      </c>
      <c r="E33" s="2">
        <v>2222</v>
      </c>
      <c r="F33" s="7" t="s">
        <v>6</v>
      </c>
    </row>
    <row r="34" spans="1:6" x14ac:dyDescent="0.35">
      <c r="A34" s="2" t="s">
        <v>22</v>
      </c>
      <c r="B34" s="2" t="s">
        <v>23</v>
      </c>
      <c r="C34" s="2" t="s">
        <v>56</v>
      </c>
      <c r="D34" s="2" t="s">
        <v>6</v>
      </c>
      <c r="E34" s="2">
        <v>2128</v>
      </c>
      <c r="F34" s="7" t="s">
        <v>6</v>
      </c>
    </row>
    <row r="35" spans="1:6" x14ac:dyDescent="0.35">
      <c r="A35" s="2" t="s">
        <v>22</v>
      </c>
      <c r="B35" s="2" t="s">
        <v>23</v>
      </c>
      <c r="C35" s="2" t="s">
        <v>57</v>
      </c>
      <c r="D35" s="2" t="s">
        <v>6</v>
      </c>
      <c r="E35" s="2">
        <v>2065</v>
      </c>
      <c r="F35" s="7" t="s">
        <v>6</v>
      </c>
    </row>
    <row r="36" spans="1:6" x14ac:dyDescent="0.35">
      <c r="A36" s="2" t="s">
        <v>22</v>
      </c>
      <c r="B36" s="2" t="s">
        <v>23</v>
      </c>
      <c r="C36" s="2" t="s">
        <v>58</v>
      </c>
      <c r="D36" s="2" t="s">
        <v>6</v>
      </c>
      <c r="E36" s="2">
        <v>1878</v>
      </c>
      <c r="F36" s="7" t="s">
        <v>6</v>
      </c>
    </row>
    <row r="37" spans="1:6" x14ac:dyDescent="0.35">
      <c r="A37" s="2" t="s">
        <v>22</v>
      </c>
      <c r="B37" s="2" t="s">
        <v>23</v>
      </c>
      <c r="C37" s="2" t="s">
        <v>59</v>
      </c>
      <c r="D37" s="2" t="s">
        <v>6</v>
      </c>
      <c r="E37" s="2">
        <v>1924</v>
      </c>
      <c r="F37" s="7" t="s">
        <v>6</v>
      </c>
    </row>
    <row r="38" spans="1:6" x14ac:dyDescent="0.35">
      <c r="A38" s="2" t="s">
        <v>22</v>
      </c>
      <c r="B38" s="2" t="s">
        <v>23</v>
      </c>
      <c r="C38" s="2" t="s">
        <v>60</v>
      </c>
      <c r="D38" s="2" t="s">
        <v>6</v>
      </c>
      <c r="E38" s="2">
        <v>1829</v>
      </c>
      <c r="F38" s="7" t="s">
        <v>6</v>
      </c>
    </row>
    <row r="39" spans="1:6" x14ac:dyDescent="0.35">
      <c r="A39" s="2" t="s">
        <v>22</v>
      </c>
      <c r="B39" s="2" t="s">
        <v>23</v>
      </c>
      <c r="C39" s="2" t="s">
        <v>61</v>
      </c>
      <c r="D39" s="2" t="s">
        <v>6</v>
      </c>
      <c r="E39" s="2">
        <v>1806</v>
      </c>
      <c r="F39" s="7" t="s">
        <v>6</v>
      </c>
    </row>
    <row r="40" spans="1:6" x14ac:dyDescent="0.35">
      <c r="A40" s="2" t="s">
        <v>22</v>
      </c>
      <c r="B40" s="2" t="s">
        <v>23</v>
      </c>
      <c r="C40" s="2" t="s">
        <v>62</v>
      </c>
      <c r="D40" s="2" t="s">
        <v>6</v>
      </c>
      <c r="E40" s="2">
        <v>1693</v>
      </c>
      <c r="F40" s="7" t="s">
        <v>6</v>
      </c>
    </row>
    <row r="41" spans="1:6" x14ac:dyDescent="0.35">
      <c r="A41" s="2" t="s">
        <v>22</v>
      </c>
      <c r="B41" s="2" t="s">
        <v>23</v>
      </c>
      <c r="C41" s="2" t="s">
        <v>63</v>
      </c>
      <c r="D41" s="2" t="s">
        <v>6</v>
      </c>
      <c r="E41" s="2">
        <v>1552</v>
      </c>
      <c r="F41" s="7" t="s">
        <v>6</v>
      </c>
    </row>
    <row r="42" spans="1:6" x14ac:dyDescent="0.35">
      <c r="A42" s="2" t="s">
        <v>22</v>
      </c>
      <c r="B42" s="2" t="s">
        <v>23</v>
      </c>
      <c r="C42" s="2" t="s">
        <v>64</v>
      </c>
      <c r="D42" s="2" t="s">
        <v>6</v>
      </c>
      <c r="E42" s="2">
        <v>1317</v>
      </c>
      <c r="F42" s="7" t="s">
        <v>6</v>
      </c>
    </row>
    <row r="43" spans="1:6" x14ac:dyDescent="0.35">
      <c r="A43" s="2" t="s">
        <v>22</v>
      </c>
      <c r="B43" s="2" t="s">
        <v>23</v>
      </c>
      <c r="C43" s="2" t="s">
        <v>65</v>
      </c>
      <c r="D43" s="2" t="s">
        <v>6</v>
      </c>
      <c r="E43" s="2">
        <v>1287</v>
      </c>
      <c r="F43" s="7" t="s">
        <v>6</v>
      </c>
    </row>
    <row r="44" spans="1:6" x14ac:dyDescent="0.35">
      <c r="A44" s="2" t="s">
        <v>22</v>
      </c>
      <c r="B44" s="2" t="s">
        <v>23</v>
      </c>
      <c r="C44" s="2" t="s">
        <v>66</v>
      </c>
      <c r="D44" s="2" t="s">
        <v>6</v>
      </c>
      <c r="E44" s="2">
        <v>1282</v>
      </c>
      <c r="F44" s="7" t="s">
        <v>6</v>
      </c>
    </row>
    <row r="45" spans="1:6" x14ac:dyDescent="0.35">
      <c r="A45" s="2" t="s">
        <v>22</v>
      </c>
      <c r="B45" s="2" t="s">
        <v>23</v>
      </c>
      <c r="C45" s="2" t="s">
        <v>67</v>
      </c>
      <c r="D45" s="2" t="s">
        <v>6</v>
      </c>
      <c r="E45" s="2">
        <v>1257</v>
      </c>
      <c r="F45" s="7" t="s">
        <v>6</v>
      </c>
    </row>
    <row r="46" spans="1:6" x14ac:dyDescent="0.35">
      <c r="A46" s="2" t="s">
        <v>22</v>
      </c>
      <c r="B46" s="2" t="s">
        <v>23</v>
      </c>
      <c r="C46" s="2" t="s">
        <v>68</v>
      </c>
      <c r="D46" s="2" t="s">
        <v>6</v>
      </c>
      <c r="E46" s="2">
        <v>1412</v>
      </c>
      <c r="F46" s="7" t="s">
        <v>6</v>
      </c>
    </row>
    <row r="47" spans="1:6" x14ac:dyDescent="0.35">
      <c r="A47" s="2" t="s">
        <v>22</v>
      </c>
      <c r="B47" s="2" t="s">
        <v>23</v>
      </c>
      <c r="C47" s="2" t="s">
        <v>69</v>
      </c>
      <c r="D47" s="2" t="s">
        <v>6</v>
      </c>
      <c r="E47" s="2">
        <v>1359</v>
      </c>
      <c r="F47" s="7" t="s">
        <v>6</v>
      </c>
    </row>
    <row r="48" spans="1:6" x14ac:dyDescent="0.35">
      <c r="A48" s="2" t="s">
        <v>22</v>
      </c>
      <c r="B48" s="2" t="s">
        <v>23</v>
      </c>
      <c r="C48" s="2" t="s">
        <v>70</v>
      </c>
      <c r="D48" s="2" t="s">
        <v>6</v>
      </c>
      <c r="E48" s="2">
        <v>1439</v>
      </c>
      <c r="F48" s="7" t="s">
        <v>6</v>
      </c>
    </row>
    <row r="49" spans="1:6" x14ac:dyDescent="0.35">
      <c r="A49" s="2" t="s">
        <v>22</v>
      </c>
      <c r="B49" s="2" t="s">
        <v>23</v>
      </c>
      <c r="C49" s="2" t="s">
        <v>71</v>
      </c>
      <c r="D49" s="2" t="s">
        <v>6</v>
      </c>
      <c r="E49" s="2">
        <v>1313</v>
      </c>
      <c r="F49" s="7" t="s">
        <v>6</v>
      </c>
    </row>
    <row r="50" spans="1:6" x14ac:dyDescent="0.35">
      <c r="A50" s="2" t="s">
        <v>22</v>
      </c>
      <c r="B50" s="2" t="s">
        <v>23</v>
      </c>
      <c r="C50" s="2" t="s">
        <v>72</v>
      </c>
      <c r="D50" s="2" t="s">
        <v>6</v>
      </c>
      <c r="E50" s="2">
        <v>1237</v>
      </c>
      <c r="F50" s="7" t="s">
        <v>6</v>
      </c>
    </row>
    <row r="51" spans="1:6" x14ac:dyDescent="0.35">
      <c r="A51" s="2" t="s">
        <v>22</v>
      </c>
      <c r="B51" s="2" t="s">
        <v>23</v>
      </c>
      <c r="C51" s="2" t="s">
        <v>73</v>
      </c>
      <c r="D51" s="2" t="s">
        <v>6</v>
      </c>
      <c r="E51" s="2">
        <v>1221</v>
      </c>
      <c r="F51" s="7" t="s">
        <v>6</v>
      </c>
    </row>
    <row r="52" spans="1:6" x14ac:dyDescent="0.35">
      <c r="A52" s="2" t="s">
        <v>22</v>
      </c>
      <c r="B52" s="2" t="s">
        <v>23</v>
      </c>
      <c r="C52" s="2" t="s">
        <v>74</v>
      </c>
      <c r="D52" s="2" t="s">
        <v>6</v>
      </c>
      <c r="E52" s="2">
        <v>1299</v>
      </c>
      <c r="F52" s="7" t="s">
        <v>6</v>
      </c>
    </row>
    <row r="53" spans="1:6" x14ac:dyDescent="0.35">
      <c r="A53" s="2" t="s">
        <v>22</v>
      </c>
      <c r="B53" s="2" t="s">
        <v>23</v>
      </c>
      <c r="C53" s="2" t="s">
        <v>75</v>
      </c>
      <c r="D53" s="2" t="s">
        <v>6</v>
      </c>
      <c r="E53" s="2">
        <v>1410</v>
      </c>
      <c r="F53" s="7" t="s">
        <v>6</v>
      </c>
    </row>
    <row r="54" spans="1:6" x14ac:dyDescent="0.35">
      <c r="A54" s="2" t="s">
        <v>22</v>
      </c>
      <c r="B54" s="2" t="s">
        <v>23</v>
      </c>
      <c r="C54" s="2" t="s">
        <v>76</v>
      </c>
      <c r="D54" s="2" t="s">
        <v>6</v>
      </c>
      <c r="E54" s="2">
        <v>1393</v>
      </c>
      <c r="F54" s="7" t="s">
        <v>6</v>
      </c>
    </row>
    <row r="55" spans="1:6" x14ac:dyDescent="0.35">
      <c r="A55" s="2" t="s">
        <v>22</v>
      </c>
      <c r="B55" s="2" t="s">
        <v>23</v>
      </c>
      <c r="C55" s="2" t="s">
        <v>77</v>
      </c>
      <c r="D55" s="2" t="s">
        <v>6</v>
      </c>
      <c r="E55" s="2">
        <v>1525</v>
      </c>
      <c r="F55" s="7" t="s">
        <v>6</v>
      </c>
    </row>
    <row r="56" spans="1:6" x14ac:dyDescent="0.35">
      <c r="A56" s="2" t="s">
        <v>22</v>
      </c>
      <c r="B56" s="2" t="s">
        <v>23</v>
      </c>
      <c r="C56" s="2" t="s">
        <v>78</v>
      </c>
      <c r="D56" s="2" t="s">
        <v>6</v>
      </c>
      <c r="E56" s="2">
        <v>1723</v>
      </c>
      <c r="F56" s="7" t="s">
        <v>6</v>
      </c>
    </row>
    <row r="57" spans="1:6" x14ac:dyDescent="0.35">
      <c r="A57" s="2" t="s">
        <v>22</v>
      </c>
      <c r="B57" s="2" t="s">
        <v>23</v>
      </c>
      <c r="C57" s="2" t="s">
        <v>79</v>
      </c>
      <c r="D57" s="2" t="s">
        <v>6</v>
      </c>
      <c r="E57" s="2">
        <v>1867</v>
      </c>
      <c r="F57" s="7" t="s">
        <v>6</v>
      </c>
    </row>
    <row r="58" spans="1:6" x14ac:dyDescent="0.35">
      <c r="A58" s="2" t="s">
        <v>22</v>
      </c>
      <c r="B58" s="2" t="s">
        <v>23</v>
      </c>
      <c r="C58" s="2" t="s">
        <v>80</v>
      </c>
      <c r="D58" s="2" t="s">
        <v>6</v>
      </c>
      <c r="E58" s="2">
        <v>1774</v>
      </c>
      <c r="F58" s="7" t="s">
        <v>6</v>
      </c>
    </row>
    <row r="59" spans="1:6" x14ac:dyDescent="0.35">
      <c r="A59" s="2" t="s">
        <v>22</v>
      </c>
      <c r="B59" s="2" t="s">
        <v>23</v>
      </c>
      <c r="C59" s="2" t="s">
        <v>81</v>
      </c>
      <c r="D59" s="2" t="s">
        <v>6</v>
      </c>
      <c r="E59" s="2">
        <v>1726</v>
      </c>
      <c r="F59" s="7" t="s">
        <v>6</v>
      </c>
    </row>
    <row r="60" spans="1:6" x14ac:dyDescent="0.35">
      <c r="A60" s="2" t="s">
        <v>22</v>
      </c>
      <c r="B60" s="2" t="s">
        <v>23</v>
      </c>
      <c r="C60" s="2" t="s">
        <v>82</v>
      </c>
      <c r="D60" s="2" t="s">
        <v>6</v>
      </c>
      <c r="E60" s="2">
        <v>1677</v>
      </c>
      <c r="F60" s="7" t="s">
        <v>6</v>
      </c>
    </row>
    <row r="61" spans="1:6" x14ac:dyDescent="0.35">
      <c r="A61" s="2" t="s">
        <v>22</v>
      </c>
      <c r="B61" s="2" t="s">
        <v>23</v>
      </c>
      <c r="C61" s="2" t="s">
        <v>83</v>
      </c>
      <c r="D61" s="2" t="s">
        <v>6</v>
      </c>
      <c r="E61" s="2">
        <v>1660</v>
      </c>
      <c r="F61" s="7" t="s">
        <v>6</v>
      </c>
    </row>
    <row r="62" spans="1:6" x14ac:dyDescent="0.35">
      <c r="A62" s="2" t="s">
        <v>22</v>
      </c>
      <c r="B62" s="2" t="s">
        <v>23</v>
      </c>
      <c r="C62" s="2" t="s">
        <v>84</v>
      </c>
      <c r="D62" s="2" t="s">
        <v>6</v>
      </c>
      <c r="E62" s="2">
        <v>1512</v>
      </c>
      <c r="F62" s="7" t="s">
        <v>6</v>
      </c>
    </row>
    <row r="63" spans="1:6" x14ac:dyDescent="0.35">
      <c r="A63" s="2" t="s">
        <v>22</v>
      </c>
      <c r="B63" s="2" t="s">
        <v>23</v>
      </c>
      <c r="C63" s="2" t="s">
        <v>85</v>
      </c>
      <c r="D63" s="2" t="s">
        <v>6</v>
      </c>
      <c r="E63" s="2">
        <v>1441</v>
      </c>
      <c r="F63" s="7" t="s">
        <v>6</v>
      </c>
    </row>
    <row r="64" spans="1:6" x14ac:dyDescent="0.35">
      <c r="A64" s="2" t="s">
        <v>22</v>
      </c>
      <c r="B64" s="2" t="s">
        <v>23</v>
      </c>
      <c r="C64" s="2" t="s">
        <v>86</v>
      </c>
      <c r="D64" s="2" t="s">
        <v>6</v>
      </c>
      <c r="E64" s="2">
        <v>1289</v>
      </c>
      <c r="F64" s="7" t="s">
        <v>6</v>
      </c>
    </row>
    <row r="65" spans="1:6" x14ac:dyDescent="0.35">
      <c r="A65" s="2" t="s">
        <v>22</v>
      </c>
      <c r="B65" s="2" t="s">
        <v>23</v>
      </c>
      <c r="C65" s="2" t="s">
        <v>87</v>
      </c>
      <c r="D65" s="2" t="s">
        <v>6</v>
      </c>
      <c r="E65" s="2">
        <v>1308</v>
      </c>
      <c r="F65" s="7" t="s">
        <v>6</v>
      </c>
    </row>
    <row r="66" spans="1:6" x14ac:dyDescent="0.35">
      <c r="A66" s="2" t="s">
        <v>22</v>
      </c>
      <c r="B66" s="2" t="s">
        <v>23</v>
      </c>
      <c r="C66" s="2" t="s">
        <v>88</v>
      </c>
      <c r="D66" s="2" t="s">
        <v>6</v>
      </c>
      <c r="E66" s="2">
        <v>1321</v>
      </c>
      <c r="F66" s="7" t="s">
        <v>6</v>
      </c>
    </row>
    <row r="67" spans="1:6" x14ac:dyDescent="0.35">
      <c r="A67" s="2" t="s">
        <v>22</v>
      </c>
      <c r="B67" s="2" t="s">
        <v>23</v>
      </c>
      <c r="C67" s="2" t="s">
        <v>89</v>
      </c>
      <c r="D67" s="2" t="s">
        <v>6</v>
      </c>
      <c r="E67" s="2">
        <v>1220</v>
      </c>
      <c r="F67" s="7" t="s">
        <v>6</v>
      </c>
    </row>
    <row r="68" spans="1:6" x14ac:dyDescent="0.35">
      <c r="A68" s="2" t="s">
        <v>22</v>
      </c>
      <c r="B68" s="2" t="s">
        <v>23</v>
      </c>
      <c r="C68" s="2" t="s">
        <v>90</v>
      </c>
      <c r="D68" s="2" t="s">
        <v>6</v>
      </c>
      <c r="E68" s="2">
        <v>1280</v>
      </c>
      <c r="F68" s="7" t="s">
        <v>6</v>
      </c>
    </row>
    <row r="69" spans="1:6" x14ac:dyDescent="0.35">
      <c r="A69" s="2" t="s">
        <v>22</v>
      </c>
      <c r="B69" s="2" t="s">
        <v>23</v>
      </c>
      <c r="C69" s="2" t="s">
        <v>91</v>
      </c>
      <c r="D69" s="2" t="s">
        <v>6</v>
      </c>
      <c r="E69" s="2">
        <v>1174</v>
      </c>
      <c r="F69" s="7" t="s">
        <v>6</v>
      </c>
    </row>
    <row r="70" spans="1:6" x14ac:dyDescent="0.35">
      <c r="A70" s="2" t="s">
        <v>22</v>
      </c>
      <c r="B70" s="2" t="s">
        <v>23</v>
      </c>
      <c r="C70" s="2" t="s">
        <v>92</v>
      </c>
      <c r="D70" s="2" t="s">
        <v>6</v>
      </c>
      <c r="E70" s="2">
        <v>1255</v>
      </c>
      <c r="F70" s="7" t="s">
        <v>6</v>
      </c>
    </row>
    <row r="71" spans="1:6" x14ac:dyDescent="0.35">
      <c r="A71" s="2" t="s">
        <v>22</v>
      </c>
      <c r="B71" s="2" t="s">
        <v>23</v>
      </c>
      <c r="C71" s="2" t="s">
        <v>93</v>
      </c>
      <c r="D71" s="2" t="s">
        <v>6</v>
      </c>
      <c r="E71" s="2">
        <v>1187</v>
      </c>
      <c r="F71" s="7" t="s">
        <v>6</v>
      </c>
    </row>
    <row r="72" spans="1:6" x14ac:dyDescent="0.35">
      <c r="A72" s="2" t="s">
        <v>22</v>
      </c>
      <c r="B72" s="2" t="s">
        <v>23</v>
      </c>
      <c r="C72" s="2" t="s">
        <v>94</v>
      </c>
      <c r="D72" s="2" t="s">
        <v>6</v>
      </c>
      <c r="E72" s="2">
        <v>1116</v>
      </c>
      <c r="F72" s="7" t="s">
        <v>6</v>
      </c>
    </row>
    <row r="73" spans="1:6" x14ac:dyDescent="0.35">
      <c r="A73" s="2" t="s">
        <v>22</v>
      </c>
      <c r="B73" s="2" t="s">
        <v>23</v>
      </c>
      <c r="C73" s="2" t="s">
        <v>95</v>
      </c>
      <c r="D73" s="2" t="s">
        <v>6</v>
      </c>
      <c r="E73" s="2">
        <v>1152</v>
      </c>
      <c r="F73" s="7" t="s">
        <v>6</v>
      </c>
    </row>
    <row r="74" spans="1:6" x14ac:dyDescent="0.35">
      <c r="A74" s="2" t="s">
        <v>22</v>
      </c>
      <c r="B74" s="2" t="s">
        <v>23</v>
      </c>
      <c r="C74" s="2" t="s">
        <v>96</v>
      </c>
      <c r="D74" s="2" t="s">
        <v>6</v>
      </c>
      <c r="E74" s="2">
        <v>1157</v>
      </c>
      <c r="F74" s="7" t="s">
        <v>6</v>
      </c>
    </row>
    <row r="75" spans="1:6" x14ac:dyDescent="0.35">
      <c r="A75" s="2" t="s">
        <v>22</v>
      </c>
      <c r="B75" s="2" t="s">
        <v>23</v>
      </c>
      <c r="C75" s="2" t="s">
        <v>97</v>
      </c>
      <c r="D75" s="2" t="s">
        <v>6</v>
      </c>
      <c r="E75" s="2">
        <v>1151</v>
      </c>
      <c r="F75" s="7" t="s">
        <v>6</v>
      </c>
    </row>
    <row r="76" spans="1:6" x14ac:dyDescent="0.35">
      <c r="A76" s="2" t="s">
        <v>22</v>
      </c>
      <c r="B76" s="2" t="s">
        <v>23</v>
      </c>
      <c r="C76" s="2" t="s">
        <v>98</v>
      </c>
      <c r="D76" s="2" t="s">
        <v>6</v>
      </c>
      <c r="E76" s="2">
        <v>1080</v>
      </c>
      <c r="F76" s="7" t="s">
        <v>6</v>
      </c>
    </row>
    <row r="77" spans="1:6" x14ac:dyDescent="0.35">
      <c r="A77" s="2" t="s">
        <v>22</v>
      </c>
      <c r="B77" s="2" t="s">
        <v>23</v>
      </c>
      <c r="C77" s="2" t="s">
        <v>99</v>
      </c>
      <c r="D77" s="2" t="s">
        <v>6</v>
      </c>
      <c r="E77" s="2">
        <v>998</v>
      </c>
      <c r="F77" s="7" t="s">
        <v>6</v>
      </c>
    </row>
    <row r="78" spans="1:6" x14ac:dyDescent="0.35">
      <c r="A78" s="2" t="s">
        <v>22</v>
      </c>
      <c r="B78" s="2" t="s">
        <v>23</v>
      </c>
      <c r="C78" s="2" t="s">
        <v>100</v>
      </c>
      <c r="D78" s="2" t="s">
        <v>6</v>
      </c>
      <c r="E78" s="2">
        <v>1010</v>
      </c>
      <c r="F78" s="7" t="s">
        <v>6</v>
      </c>
    </row>
    <row r="79" spans="1:6" x14ac:dyDescent="0.35">
      <c r="A79" s="2" t="s">
        <v>22</v>
      </c>
      <c r="B79" s="2" t="s">
        <v>23</v>
      </c>
      <c r="C79" s="2" t="s">
        <v>101</v>
      </c>
      <c r="D79" s="2" t="s">
        <v>6</v>
      </c>
      <c r="E79" s="2">
        <v>1034</v>
      </c>
      <c r="F79" s="7" t="s">
        <v>6</v>
      </c>
    </row>
    <row r="80" spans="1:6" x14ac:dyDescent="0.35">
      <c r="A80" s="2" t="s">
        <v>22</v>
      </c>
      <c r="B80" s="2" t="s">
        <v>23</v>
      </c>
      <c r="C80" s="2" t="s">
        <v>102</v>
      </c>
      <c r="D80" s="2" t="s">
        <v>6</v>
      </c>
      <c r="E80" s="2">
        <v>1170</v>
      </c>
      <c r="F80" s="7" t="s">
        <v>6</v>
      </c>
    </row>
    <row r="81" spans="1:6" x14ac:dyDescent="0.35">
      <c r="A81" s="2" t="s">
        <v>22</v>
      </c>
      <c r="B81" s="2" t="s">
        <v>23</v>
      </c>
      <c r="C81" s="2" t="s">
        <v>103</v>
      </c>
      <c r="D81" s="2" t="s">
        <v>6</v>
      </c>
      <c r="E81" s="2">
        <v>1447</v>
      </c>
      <c r="F81" s="7" t="s">
        <v>6</v>
      </c>
    </row>
    <row r="82" spans="1:6" x14ac:dyDescent="0.35">
      <c r="A82" s="2" t="s">
        <v>22</v>
      </c>
      <c r="B82" s="2" t="s">
        <v>23</v>
      </c>
      <c r="C82" s="2" t="s">
        <v>104</v>
      </c>
      <c r="D82" s="2" t="s">
        <v>6</v>
      </c>
      <c r="E82" s="2">
        <v>1427</v>
      </c>
      <c r="F82" s="7" t="s">
        <v>6</v>
      </c>
    </row>
    <row r="83" spans="1:6" x14ac:dyDescent="0.35">
      <c r="A83" s="2" t="s">
        <v>22</v>
      </c>
      <c r="B83" s="2" t="s">
        <v>23</v>
      </c>
      <c r="C83" s="2" t="s">
        <v>105</v>
      </c>
      <c r="D83" s="2" t="s">
        <v>6</v>
      </c>
      <c r="E83" s="2">
        <v>1368</v>
      </c>
      <c r="F83" s="7" t="s">
        <v>6</v>
      </c>
    </row>
    <row r="84" spans="1:6" x14ac:dyDescent="0.35">
      <c r="A84" s="2" t="s">
        <v>22</v>
      </c>
      <c r="B84" s="2" t="s">
        <v>23</v>
      </c>
      <c r="C84" s="2" t="s">
        <v>106</v>
      </c>
      <c r="D84" s="2" t="s">
        <v>6</v>
      </c>
      <c r="E84" s="2">
        <v>1525</v>
      </c>
      <c r="F84" s="7" t="s">
        <v>6</v>
      </c>
    </row>
    <row r="85" spans="1:6" x14ac:dyDescent="0.35">
      <c r="A85" s="2" t="s">
        <v>22</v>
      </c>
      <c r="B85" s="2" t="s">
        <v>23</v>
      </c>
      <c r="C85" s="2" t="s">
        <v>107</v>
      </c>
      <c r="D85" s="2" t="s">
        <v>6</v>
      </c>
      <c r="E85" s="2">
        <v>1502</v>
      </c>
      <c r="F85" s="7" t="s">
        <v>6</v>
      </c>
    </row>
    <row r="86" spans="1:6" x14ac:dyDescent="0.35">
      <c r="A86" s="2" t="s">
        <v>22</v>
      </c>
      <c r="B86" s="2" t="s">
        <v>23</v>
      </c>
      <c r="C86" s="2" t="s">
        <v>108</v>
      </c>
      <c r="D86" s="2" t="s">
        <v>6</v>
      </c>
      <c r="E86" s="2">
        <v>1591</v>
      </c>
      <c r="F86" s="7" t="s">
        <v>6</v>
      </c>
    </row>
    <row r="87" spans="1:6" x14ac:dyDescent="0.35">
      <c r="A87" s="2" t="s">
        <v>22</v>
      </c>
      <c r="B87" s="2" t="s">
        <v>23</v>
      </c>
      <c r="C87" s="2" t="s">
        <v>109</v>
      </c>
      <c r="D87" s="2" t="s">
        <v>6</v>
      </c>
      <c r="E87" s="2">
        <v>1813</v>
      </c>
      <c r="F87" s="7" t="s">
        <v>6</v>
      </c>
    </row>
    <row r="88" spans="1:6" x14ac:dyDescent="0.35">
      <c r="A88" s="2" t="s">
        <v>22</v>
      </c>
      <c r="B88" s="2" t="s">
        <v>23</v>
      </c>
      <c r="C88" s="2" t="s">
        <v>110</v>
      </c>
      <c r="D88" s="2" t="s">
        <v>6</v>
      </c>
      <c r="E88" s="2">
        <v>1926</v>
      </c>
      <c r="F88" s="7" t="s">
        <v>6</v>
      </c>
    </row>
    <row r="89" spans="1:6" x14ac:dyDescent="0.35">
      <c r="A89" s="2" t="s">
        <v>22</v>
      </c>
      <c r="B89" s="2" t="s">
        <v>23</v>
      </c>
      <c r="C89" s="2" t="s">
        <v>111</v>
      </c>
      <c r="D89" s="2" t="s">
        <v>6</v>
      </c>
      <c r="E89" s="2">
        <v>2115</v>
      </c>
      <c r="F89" s="7" t="s">
        <v>6</v>
      </c>
    </row>
    <row r="90" spans="1:6" x14ac:dyDescent="0.35">
      <c r="A90" s="2" t="s">
        <v>22</v>
      </c>
      <c r="B90" s="2" t="s">
        <v>23</v>
      </c>
      <c r="C90" s="2" t="s">
        <v>112</v>
      </c>
      <c r="D90" s="2" t="s">
        <v>6</v>
      </c>
      <c r="E90" s="2">
        <v>2298</v>
      </c>
      <c r="F90" s="7" t="s">
        <v>6</v>
      </c>
    </row>
    <row r="91" spans="1:6" x14ac:dyDescent="0.35">
      <c r="A91" s="2" t="s">
        <v>22</v>
      </c>
      <c r="B91" s="2" t="s">
        <v>23</v>
      </c>
      <c r="C91" s="2" t="s">
        <v>113</v>
      </c>
      <c r="D91" s="2" t="s">
        <v>6</v>
      </c>
      <c r="E91" s="2">
        <v>2381</v>
      </c>
      <c r="F91" s="7" t="s">
        <v>6</v>
      </c>
    </row>
    <row r="92" spans="1:6" x14ac:dyDescent="0.35">
      <c r="A92" s="2" t="s">
        <v>22</v>
      </c>
      <c r="B92" s="2" t="s">
        <v>23</v>
      </c>
      <c r="C92" s="2" t="s">
        <v>114</v>
      </c>
      <c r="D92" s="2" t="s">
        <v>6</v>
      </c>
      <c r="E92" s="2">
        <v>2378</v>
      </c>
      <c r="F92" s="7" t="s">
        <v>6</v>
      </c>
    </row>
    <row r="93" spans="1:6" x14ac:dyDescent="0.35">
      <c r="A93" s="2" t="s">
        <v>22</v>
      </c>
      <c r="B93" s="2" t="s">
        <v>23</v>
      </c>
      <c r="C93" s="2" t="s">
        <v>115</v>
      </c>
      <c r="D93" s="2" t="s">
        <v>6</v>
      </c>
      <c r="E93" s="2">
        <v>2446</v>
      </c>
      <c r="F93" s="7" t="s">
        <v>6</v>
      </c>
    </row>
    <row r="94" spans="1:6" x14ac:dyDescent="0.35">
      <c r="A94" s="2" t="s">
        <v>22</v>
      </c>
      <c r="B94" s="2" t="s">
        <v>23</v>
      </c>
      <c r="C94" s="2" t="s">
        <v>116</v>
      </c>
      <c r="D94" s="2" t="s">
        <v>6</v>
      </c>
      <c r="E94" s="2">
        <v>2049</v>
      </c>
      <c r="F94" s="7" t="s">
        <v>6</v>
      </c>
    </row>
    <row r="95" spans="1:6" x14ac:dyDescent="0.35">
      <c r="A95" s="2" t="s">
        <v>22</v>
      </c>
      <c r="B95" s="2" t="s">
        <v>23</v>
      </c>
      <c r="C95" s="2" t="s">
        <v>117</v>
      </c>
      <c r="D95" s="2" t="s">
        <v>6</v>
      </c>
      <c r="E95" s="2">
        <v>1987</v>
      </c>
      <c r="F95" s="7" t="s">
        <v>6</v>
      </c>
    </row>
    <row r="96" spans="1:6" x14ac:dyDescent="0.35">
      <c r="A96" s="2" t="s">
        <v>22</v>
      </c>
      <c r="B96" s="2" t="s">
        <v>23</v>
      </c>
      <c r="C96" s="2" t="s">
        <v>118</v>
      </c>
      <c r="D96" s="2" t="s">
        <v>6</v>
      </c>
      <c r="E96" s="2">
        <v>1779</v>
      </c>
      <c r="F96" s="7" t="s">
        <v>6</v>
      </c>
    </row>
    <row r="97" spans="1:6" x14ac:dyDescent="0.35">
      <c r="A97" s="2" t="s">
        <v>22</v>
      </c>
      <c r="B97" s="2" t="s">
        <v>23</v>
      </c>
      <c r="C97" s="2" t="s">
        <v>119</v>
      </c>
      <c r="D97" s="2" t="s">
        <v>6</v>
      </c>
      <c r="E97" s="2">
        <v>1683</v>
      </c>
      <c r="F97" s="7" t="s">
        <v>6</v>
      </c>
    </row>
    <row r="98" spans="1:6" x14ac:dyDescent="0.35">
      <c r="A98" s="2" t="s">
        <v>22</v>
      </c>
      <c r="B98" s="2" t="s">
        <v>23</v>
      </c>
      <c r="C98" s="2" t="s">
        <v>120</v>
      </c>
      <c r="D98" s="2" t="s">
        <v>6</v>
      </c>
      <c r="E98" s="2">
        <v>1617</v>
      </c>
      <c r="F98" s="7" t="s">
        <v>6</v>
      </c>
    </row>
    <row r="99" spans="1:6" x14ac:dyDescent="0.35">
      <c r="A99" s="2" t="s">
        <v>22</v>
      </c>
      <c r="B99" s="2" t="s">
        <v>23</v>
      </c>
      <c r="C99" s="2" t="s">
        <v>121</v>
      </c>
      <c r="D99" s="2" t="s">
        <v>6</v>
      </c>
      <c r="E99" s="2">
        <v>1667</v>
      </c>
      <c r="F99" s="7" t="s">
        <v>6</v>
      </c>
    </row>
    <row r="100" spans="1:6" x14ac:dyDescent="0.35">
      <c r="A100" s="2" t="s">
        <v>22</v>
      </c>
      <c r="B100" s="2" t="s">
        <v>23</v>
      </c>
      <c r="C100" s="2" t="s">
        <v>122</v>
      </c>
      <c r="D100" s="2" t="s">
        <v>6</v>
      </c>
      <c r="E100" s="2">
        <v>1584</v>
      </c>
      <c r="F100" s="7" t="s">
        <v>6</v>
      </c>
    </row>
    <row r="101" spans="1:6" x14ac:dyDescent="0.35">
      <c r="A101" s="2" t="s">
        <v>22</v>
      </c>
      <c r="B101" s="2" t="s">
        <v>23</v>
      </c>
      <c r="C101" s="2" t="s">
        <v>123</v>
      </c>
      <c r="D101" s="2" t="s">
        <v>6</v>
      </c>
      <c r="E101" s="2">
        <v>1495</v>
      </c>
      <c r="F101" s="7" t="s">
        <v>6</v>
      </c>
    </row>
    <row r="102" spans="1:6" x14ac:dyDescent="0.35">
      <c r="A102" s="2" t="s">
        <v>22</v>
      </c>
      <c r="B102" s="2" t="s">
        <v>23</v>
      </c>
      <c r="C102" s="2" t="s">
        <v>124</v>
      </c>
      <c r="D102" s="2" t="s">
        <v>6</v>
      </c>
      <c r="E102" s="2">
        <v>1455</v>
      </c>
      <c r="F102" s="7" t="s">
        <v>6</v>
      </c>
    </row>
    <row r="103" spans="1:6" x14ac:dyDescent="0.35">
      <c r="A103" s="4" t="s">
        <v>22</v>
      </c>
      <c r="B103" s="4" t="s">
        <v>23</v>
      </c>
      <c r="C103" s="3">
        <v>2020</v>
      </c>
      <c r="D103" s="4" t="s">
        <v>6</v>
      </c>
      <c r="E103" s="3">
        <v>1460</v>
      </c>
      <c r="F103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DA5F-7FE2-4390-837D-7110C726921D}">
  <dimension ref="A1:F116"/>
  <sheetViews>
    <sheetView zoomScale="55" zoomScaleNormal="55" workbookViewId="0">
      <selection sqref="A1:F116"/>
    </sheetView>
  </sheetViews>
  <sheetFormatPr defaultRowHeight="14.5" x14ac:dyDescent="0.35"/>
  <cols>
    <col min="1" max="1" width="11.08984375" customWidth="1"/>
    <col min="2" max="2" width="11" customWidth="1"/>
    <col min="3" max="3" width="7.7265625" style="13" customWidth="1"/>
    <col min="4" max="4" width="14.08984375" style="14" customWidth="1"/>
    <col min="5" max="5" width="19.1796875" style="14" customWidth="1"/>
    <col min="6" max="6" width="17.7265625" style="14" customWidth="1"/>
  </cols>
  <sheetData>
    <row r="1" spans="1:6" ht="26.5" x14ac:dyDescent="0.35">
      <c r="A1" s="1" t="s">
        <v>0</v>
      </c>
      <c r="B1" s="1" t="s">
        <v>1</v>
      </c>
      <c r="C1" s="8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9" t="s">
        <v>125</v>
      </c>
      <c r="B2" s="9" t="s">
        <v>4</v>
      </c>
      <c r="C2" s="10">
        <v>1906</v>
      </c>
      <c r="D2" s="6" t="s">
        <v>6</v>
      </c>
      <c r="E2" s="6" t="s">
        <v>6</v>
      </c>
      <c r="F2" s="6" t="s">
        <v>6</v>
      </c>
    </row>
    <row r="3" spans="1:6" x14ac:dyDescent="0.35">
      <c r="A3" s="9" t="s">
        <v>125</v>
      </c>
      <c r="B3" s="9" t="s">
        <v>4</v>
      </c>
      <c r="C3" s="10">
        <v>1907</v>
      </c>
      <c r="D3" s="6" t="s">
        <v>6</v>
      </c>
      <c r="E3" s="6" t="s">
        <v>6</v>
      </c>
      <c r="F3" s="6" t="s">
        <v>6</v>
      </c>
    </row>
    <row r="4" spans="1:6" x14ac:dyDescent="0.35">
      <c r="A4" s="9" t="s">
        <v>125</v>
      </c>
      <c r="B4" s="9" t="s">
        <v>4</v>
      </c>
      <c r="C4" s="10">
        <v>1908</v>
      </c>
      <c r="D4" s="6" t="s">
        <v>6</v>
      </c>
      <c r="E4" s="6" t="s">
        <v>6</v>
      </c>
      <c r="F4" s="6" t="s">
        <v>6</v>
      </c>
    </row>
    <row r="5" spans="1:6" x14ac:dyDescent="0.35">
      <c r="A5" s="9" t="s">
        <v>125</v>
      </c>
      <c r="B5" s="9" t="s">
        <v>4</v>
      </c>
      <c r="C5" s="10">
        <v>1909</v>
      </c>
      <c r="D5" s="6" t="s">
        <v>6</v>
      </c>
      <c r="E5" s="6" t="s">
        <v>6</v>
      </c>
      <c r="F5" s="6" t="s">
        <v>6</v>
      </c>
    </row>
    <row r="6" spans="1:6" x14ac:dyDescent="0.35">
      <c r="A6" s="9" t="s">
        <v>125</v>
      </c>
      <c r="B6" s="9" t="s">
        <v>4</v>
      </c>
      <c r="C6" s="10">
        <v>1910</v>
      </c>
      <c r="D6" s="6" t="s">
        <v>6</v>
      </c>
      <c r="E6" s="6" t="s">
        <v>6</v>
      </c>
      <c r="F6" s="6" t="s">
        <v>6</v>
      </c>
    </row>
    <row r="7" spans="1:6" x14ac:dyDescent="0.35">
      <c r="A7" s="9" t="s">
        <v>125</v>
      </c>
      <c r="B7" s="9" t="s">
        <v>4</v>
      </c>
      <c r="C7" s="10">
        <v>1911</v>
      </c>
      <c r="D7" s="6" t="s">
        <v>6</v>
      </c>
      <c r="E7" s="6" t="s">
        <v>6</v>
      </c>
      <c r="F7" s="6" t="s">
        <v>6</v>
      </c>
    </row>
    <row r="8" spans="1:6" x14ac:dyDescent="0.35">
      <c r="A8" s="9" t="s">
        <v>125</v>
      </c>
      <c r="B8" s="9" t="s">
        <v>4</v>
      </c>
      <c r="C8" s="10">
        <v>1912</v>
      </c>
      <c r="D8" s="6" t="s">
        <v>6</v>
      </c>
      <c r="E8" s="6" t="s">
        <v>6</v>
      </c>
      <c r="F8" s="6" t="s">
        <v>6</v>
      </c>
    </row>
    <row r="9" spans="1:6" x14ac:dyDescent="0.35">
      <c r="A9" s="9" t="s">
        <v>125</v>
      </c>
      <c r="B9" s="9" t="s">
        <v>4</v>
      </c>
      <c r="C9" s="10">
        <v>1913</v>
      </c>
      <c r="D9" s="6" t="s">
        <v>6</v>
      </c>
      <c r="E9" s="6" t="s">
        <v>6</v>
      </c>
      <c r="F9" s="6" t="s">
        <v>6</v>
      </c>
    </row>
    <row r="10" spans="1:6" x14ac:dyDescent="0.35">
      <c r="A10" s="9" t="s">
        <v>125</v>
      </c>
      <c r="B10" s="9" t="s">
        <v>4</v>
      </c>
      <c r="C10" s="10">
        <v>1914</v>
      </c>
      <c r="D10" s="6" t="s">
        <v>6</v>
      </c>
      <c r="E10" s="6" t="s">
        <v>6</v>
      </c>
      <c r="F10" s="6" t="s">
        <v>6</v>
      </c>
    </row>
    <row r="11" spans="1:6" x14ac:dyDescent="0.35">
      <c r="A11" s="9" t="s">
        <v>125</v>
      </c>
      <c r="B11" s="9" t="s">
        <v>4</v>
      </c>
      <c r="C11" s="10">
        <v>1915</v>
      </c>
      <c r="D11" s="6" t="s">
        <v>6</v>
      </c>
      <c r="E11" s="6" t="s">
        <v>6</v>
      </c>
      <c r="F11" s="6" t="s">
        <v>6</v>
      </c>
    </row>
    <row r="12" spans="1:6" x14ac:dyDescent="0.35">
      <c r="A12" s="9" t="s">
        <v>125</v>
      </c>
      <c r="B12" s="9" t="s">
        <v>4</v>
      </c>
      <c r="C12" s="10">
        <v>1916</v>
      </c>
      <c r="D12" s="6" t="s">
        <v>6</v>
      </c>
      <c r="E12" s="6" t="s">
        <v>6</v>
      </c>
      <c r="F12" s="6" t="s">
        <v>6</v>
      </c>
    </row>
    <row r="13" spans="1:6" x14ac:dyDescent="0.35">
      <c r="A13" s="9" t="s">
        <v>125</v>
      </c>
      <c r="B13" s="9" t="s">
        <v>4</v>
      </c>
      <c r="C13" s="10">
        <v>1917</v>
      </c>
      <c r="D13" s="6" t="s">
        <v>6</v>
      </c>
      <c r="E13" s="6" t="s">
        <v>6</v>
      </c>
      <c r="F13" s="6" t="s">
        <v>6</v>
      </c>
    </row>
    <row r="14" spans="1:6" x14ac:dyDescent="0.35">
      <c r="A14" s="9" t="s">
        <v>125</v>
      </c>
      <c r="B14" s="9" t="s">
        <v>4</v>
      </c>
      <c r="C14" s="10">
        <v>1918</v>
      </c>
      <c r="D14" s="6" t="s">
        <v>6</v>
      </c>
      <c r="E14" s="6" t="s">
        <v>6</v>
      </c>
      <c r="F14" s="6" t="s">
        <v>6</v>
      </c>
    </row>
    <row r="15" spans="1:6" x14ac:dyDescent="0.35">
      <c r="A15" s="9" t="s">
        <v>125</v>
      </c>
      <c r="B15" s="9" t="s">
        <v>4</v>
      </c>
      <c r="C15" s="10">
        <v>1919</v>
      </c>
      <c r="D15" s="6" t="s">
        <v>6</v>
      </c>
      <c r="E15" s="6" t="s">
        <v>6</v>
      </c>
      <c r="F15" s="6" t="s">
        <v>6</v>
      </c>
    </row>
    <row r="16" spans="1:6" x14ac:dyDescent="0.35">
      <c r="A16" s="9" t="s">
        <v>125</v>
      </c>
      <c r="B16" s="9" t="s">
        <v>4</v>
      </c>
      <c r="C16" s="10">
        <v>1920</v>
      </c>
      <c r="D16" s="6" t="s">
        <v>6</v>
      </c>
      <c r="E16" s="6" t="s">
        <v>6</v>
      </c>
      <c r="F16" s="6" t="s">
        <v>6</v>
      </c>
    </row>
    <row r="17" spans="1:6" x14ac:dyDescent="0.35">
      <c r="A17" s="9" t="s">
        <v>125</v>
      </c>
      <c r="B17" s="9" t="s">
        <v>4</v>
      </c>
      <c r="C17" s="10">
        <v>1921</v>
      </c>
      <c r="D17" s="6" t="s">
        <v>6</v>
      </c>
      <c r="E17" s="6" t="s">
        <v>6</v>
      </c>
      <c r="F17" s="6" t="s">
        <v>6</v>
      </c>
    </row>
    <row r="18" spans="1:6" x14ac:dyDescent="0.35">
      <c r="A18" s="9" t="s">
        <v>125</v>
      </c>
      <c r="B18" s="9" t="s">
        <v>4</v>
      </c>
      <c r="C18" s="10">
        <v>1922</v>
      </c>
      <c r="D18" s="6" t="s">
        <v>6</v>
      </c>
      <c r="E18" s="6" t="s">
        <v>6</v>
      </c>
      <c r="F18" s="6" t="s">
        <v>6</v>
      </c>
    </row>
    <row r="19" spans="1:6" x14ac:dyDescent="0.35">
      <c r="A19" s="9" t="s">
        <v>125</v>
      </c>
      <c r="B19" s="9" t="s">
        <v>4</v>
      </c>
      <c r="C19" s="10">
        <v>1923</v>
      </c>
      <c r="D19" s="6" t="s">
        <v>6</v>
      </c>
      <c r="E19" s="6" t="s">
        <v>6</v>
      </c>
      <c r="F19" s="6" t="s">
        <v>6</v>
      </c>
    </row>
    <row r="20" spans="1:6" x14ac:dyDescent="0.35">
      <c r="A20" s="9" t="s">
        <v>125</v>
      </c>
      <c r="B20" s="9" t="s">
        <v>4</v>
      </c>
      <c r="C20" s="10">
        <v>1924</v>
      </c>
      <c r="D20" s="6" t="s">
        <v>6</v>
      </c>
      <c r="E20" s="6" t="s">
        <v>6</v>
      </c>
      <c r="F20" s="6" t="s">
        <v>6</v>
      </c>
    </row>
    <row r="21" spans="1:6" x14ac:dyDescent="0.35">
      <c r="A21" s="9" t="s">
        <v>125</v>
      </c>
      <c r="B21" s="9" t="s">
        <v>4</v>
      </c>
      <c r="C21" s="10">
        <v>1925</v>
      </c>
      <c r="D21" s="6" t="s">
        <v>6</v>
      </c>
      <c r="E21" s="6" t="s">
        <v>6</v>
      </c>
      <c r="F21" s="6" t="s">
        <v>6</v>
      </c>
    </row>
    <row r="22" spans="1:6" x14ac:dyDescent="0.35">
      <c r="A22" s="9" t="s">
        <v>125</v>
      </c>
      <c r="B22" s="9" t="s">
        <v>4</v>
      </c>
      <c r="C22" s="10">
        <v>1926</v>
      </c>
      <c r="D22" s="6" t="s">
        <v>6</v>
      </c>
      <c r="E22" s="6" t="s">
        <v>6</v>
      </c>
      <c r="F22" s="6" t="s">
        <v>6</v>
      </c>
    </row>
    <row r="23" spans="1:6" x14ac:dyDescent="0.35">
      <c r="A23" s="9" t="s">
        <v>125</v>
      </c>
      <c r="B23" s="9" t="s">
        <v>4</v>
      </c>
      <c r="C23" s="10">
        <v>1927</v>
      </c>
      <c r="D23" s="6" t="s">
        <v>6</v>
      </c>
      <c r="E23" s="6" t="s">
        <v>6</v>
      </c>
      <c r="F23" s="6" t="s">
        <v>6</v>
      </c>
    </row>
    <row r="24" spans="1:6" x14ac:dyDescent="0.35">
      <c r="A24" s="9" t="s">
        <v>125</v>
      </c>
      <c r="B24" s="9" t="s">
        <v>4</v>
      </c>
      <c r="C24" s="10">
        <v>1928</v>
      </c>
      <c r="D24" s="6" t="s">
        <v>6</v>
      </c>
      <c r="E24" s="6" t="s">
        <v>6</v>
      </c>
      <c r="F24" s="6" t="s">
        <v>6</v>
      </c>
    </row>
    <row r="25" spans="1:6" x14ac:dyDescent="0.35">
      <c r="A25" s="9" t="s">
        <v>125</v>
      </c>
      <c r="B25" s="9" t="s">
        <v>4</v>
      </c>
      <c r="C25" s="10">
        <v>1929</v>
      </c>
      <c r="D25" s="6" t="s">
        <v>6</v>
      </c>
      <c r="E25" s="6" t="s">
        <v>6</v>
      </c>
      <c r="F25" s="6" t="s">
        <v>6</v>
      </c>
    </row>
    <row r="26" spans="1:6" x14ac:dyDescent="0.35">
      <c r="A26" s="9" t="s">
        <v>125</v>
      </c>
      <c r="B26" s="9" t="s">
        <v>4</v>
      </c>
      <c r="C26" s="10">
        <v>1930</v>
      </c>
      <c r="D26" s="6" t="s">
        <v>6</v>
      </c>
      <c r="E26" s="6" t="s">
        <v>6</v>
      </c>
      <c r="F26" s="6" t="s">
        <v>6</v>
      </c>
    </row>
    <row r="27" spans="1:6" x14ac:dyDescent="0.35">
      <c r="A27" s="9" t="s">
        <v>125</v>
      </c>
      <c r="B27" s="9" t="s">
        <v>4</v>
      </c>
      <c r="C27" s="10">
        <v>1931</v>
      </c>
      <c r="D27" s="6" t="s">
        <v>6</v>
      </c>
      <c r="E27" s="6" t="s">
        <v>6</v>
      </c>
      <c r="F27" s="6" t="s">
        <v>6</v>
      </c>
    </row>
    <row r="28" spans="1:6" x14ac:dyDescent="0.35">
      <c r="A28" s="9" t="s">
        <v>125</v>
      </c>
      <c r="B28" s="9" t="s">
        <v>4</v>
      </c>
      <c r="C28" s="10">
        <v>1932</v>
      </c>
      <c r="D28" s="6" t="s">
        <v>6</v>
      </c>
      <c r="E28" s="6" t="s">
        <v>6</v>
      </c>
      <c r="F28" s="6" t="s">
        <v>6</v>
      </c>
    </row>
    <row r="29" spans="1:6" x14ac:dyDescent="0.35">
      <c r="A29" s="9" t="s">
        <v>125</v>
      </c>
      <c r="B29" s="9" t="s">
        <v>4</v>
      </c>
      <c r="C29" s="10">
        <v>1933</v>
      </c>
      <c r="D29" s="6" t="s">
        <v>6</v>
      </c>
      <c r="E29" s="6" t="s">
        <v>6</v>
      </c>
      <c r="F29" s="6" t="s">
        <v>6</v>
      </c>
    </row>
    <row r="30" spans="1:6" x14ac:dyDescent="0.35">
      <c r="A30" s="9" t="s">
        <v>125</v>
      </c>
      <c r="B30" s="9" t="s">
        <v>4</v>
      </c>
      <c r="C30" s="10">
        <v>1934</v>
      </c>
      <c r="D30" s="6" t="s">
        <v>6</v>
      </c>
      <c r="E30" s="6" t="s">
        <v>6</v>
      </c>
      <c r="F30" s="6" t="s">
        <v>6</v>
      </c>
    </row>
    <row r="31" spans="1:6" x14ac:dyDescent="0.35">
      <c r="A31" s="9" t="s">
        <v>125</v>
      </c>
      <c r="B31" s="9" t="s">
        <v>4</v>
      </c>
      <c r="C31" s="10">
        <v>1935</v>
      </c>
      <c r="D31" s="6" t="s">
        <v>6</v>
      </c>
      <c r="E31" s="6" t="s">
        <v>6</v>
      </c>
      <c r="F31" s="6" t="s">
        <v>6</v>
      </c>
    </row>
    <row r="32" spans="1:6" x14ac:dyDescent="0.35">
      <c r="A32" s="9" t="s">
        <v>125</v>
      </c>
      <c r="B32" s="9" t="s">
        <v>4</v>
      </c>
      <c r="C32" s="10">
        <v>1936</v>
      </c>
      <c r="D32" s="6" t="s">
        <v>6</v>
      </c>
      <c r="E32" s="6" t="s">
        <v>6</v>
      </c>
      <c r="F32" s="6" t="s">
        <v>6</v>
      </c>
    </row>
    <row r="33" spans="1:6" x14ac:dyDescent="0.35">
      <c r="A33" s="11" t="s">
        <v>125</v>
      </c>
      <c r="B33" s="11" t="s">
        <v>6</v>
      </c>
      <c r="C33" s="12">
        <v>1937</v>
      </c>
      <c r="D33" s="6" t="s">
        <v>6</v>
      </c>
      <c r="E33" s="6" t="s">
        <v>6</v>
      </c>
      <c r="F33" s="6" t="s">
        <v>6</v>
      </c>
    </row>
    <row r="34" spans="1:6" x14ac:dyDescent="0.35">
      <c r="A34" s="11" t="s">
        <v>125</v>
      </c>
      <c r="B34" s="11" t="s">
        <v>6</v>
      </c>
      <c r="C34" s="12">
        <v>1938</v>
      </c>
      <c r="D34" s="6" t="s">
        <v>6</v>
      </c>
      <c r="E34" s="6" t="s">
        <v>6</v>
      </c>
      <c r="F34" s="6" t="s">
        <v>6</v>
      </c>
    </row>
    <row r="35" spans="1:6" x14ac:dyDescent="0.35">
      <c r="A35" s="11" t="s">
        <v>125</v>
      </c>
      <c r="B35" s="11" t="s">
        <v>6</v>
      </c>
      <c r="C35" s="12">
        <v>1939</v>
      </c>
      <c r="D35" s="6" t="s">
        <v>6</v>
      </c>
      <c r="E35" s="6" t="s">
        <v>6</v>
      </c>
      <c r="F35" s="6" t="s">
        <v>6</v>
      </c>
    </row>
    <row r="36" spans="1:6" x14ac:dyDescent="0.35">
      <c r="A36" s="11" t="s">
        <v>125</v>
      </c>
      <c r="B36" s="11" t="s">
        <v>6</v>
      </c>
      <c r="C36" s="12">
        <v>1940</v>
      </c>
      <c r="D36" s="6" t="s">
        <v>6</v>
      </c>
      <c r="E36" s="6" t="s">
        <v>6</v>
      </c>
      <c r="F36" s="6" t="s">
        <v>6</v>
      </c>
    </row>
    <row r="37" spans="1:6" x14ac:dyDescent="0.35">
      <c r="A37" s="11" t="s">
        <v>125</v>
      </c>
      <c r="B37" s="11" t="s">
        <v>6</v>
      </c>
      <c r="C37" s="12">
        <v>1941</v>
      </c>
      <c r="D37" s="6" t="s">
        <v>6</v>
      </c>
      <c r="E37" s="6" t="s">
        <v>6</v>
      </c>
      <c r="F37" s="6" t="s">
        <v>6</v>
      </c>
    </row>
    <row r="38" spans="1:6" x14ac:dyDescent="0.35">
      <c r="A38" s="11" t="s">
        <v>125</v>
      </c>
      <c r="B38" s="11" t="s">
        <v>6</v>
      </c>
      <c r="C38" s="12">
        <v>1942</v>
      </c>
      <c r="D38" s="6" t="s">
        <v>6</v>
      </c>
      <c r="E38" s="6" t="s">
        <v>6</v>
      </c>
      <c r="F38" s="6" t="s">
        <v>6</v>
      </c>
    </row>
    <row r="39" spans="1:6" x14ac:dyDescent="0.35">
      <c r="A39" s="11" t="s">
        <v>125</v>
      </c>
      <c r="B39" s="11" t="s">
        <v>6</v>
      </c>
      <c r="C39" s="12">
        <v>1943</v>
      </c>
      <c r="D39" s="6" t="s">
        <v>6</v>
      </c>
      <c r="E39" s="6" t="s">
        <v>6</v>
      </c>
      <c r="F39" s="6" t="s">
        <v>6</v>
      </c>
    </row>
    <row r="40" spans="1:6" x14ac:dyDescent="0.35">
      <c r="A40" s="11" t="s">
        <v>125</v>
      </c>
      <c r="B40" s="11" t="s">
        <v>6</v>
      </c>
      <c r="C40" s="12">
        <v>1944</v>
      </c>
      <c r="D40" s="6" t="s">
        <v>6</v>
      </c>
      <c r="E40" s="6" t="s">
        <v>6</v>
      </c>
      <c r="F40" s="6" t="s">
        <v>6</v>
      </c>
    </row>
    <row r="41" spans="1:6" x14ac:dyDescent="0.35">
      <c r="A41" s="11" t="s">
        <v>125</v>
      </c>
      <c r="B41" s="11" t="s">
        <v>6</v>
      </c>
      <c r="C41" s="12">
        <v>1945</v>
      </c>
      <c r="D41" s="6" t="s">
        <v>6</v>
      </c>
      <c r="E41" s="6" t="s">
        <v>6</v>
      </c>
      <c r="F41" s="6" t="s">
        <v>6</v>
      </c>
    </row>
    <row r="42" spans="1:6" x14ac:dyDescent="0.35">
      <c r="A42" s="11" t="s">
        <v>125</v>
      </c>
      <c r="B42" s="11" t="s">
        <v>6</v>
      </c>
      <c r="C42" s="12">
        <v>1946</v>
      </c>
      <c r="D42" s="6" t="s">
        <v>6</v>
      </c>
      <c r="E42" s="6" t="s">
        <v>6</v>
      </c>
      <c r="F42" s="6" t="s">
        <v>6</v>
      </c>
    </row>
    <row r="43" spans="1:6" x14ac:dyDescent="0.35">
      <c r="A43" s="11" t="s">
        <v>125</v>
      </c>
      <c r="B43" s="11" t="s">
        <v>6</v>
      </c>
      <c r="C43" s="12">
        <v>1947</v>
      </c>
      <c r="D43" s="6" t="s">
        <v>6</v>
      </c>
      <c r="E43" s="6" t="s">
        <v>6</v>
      </c>
      <c r="F43" s="6" t="s">
        <v>6</v>
      </c>
    </row>
    <row r="44" spans="1:6" x14ac:dyDescent="0.35">
      <c r="A44" s="11" t="s">
        <v>125</v>
      </c>
      <c r="B44" s="11" t="s">
        <v>6</v>
      </c>
      <c r="C44" s="12">
        <v>1948</v>
      </c>
      <c r="D44" s="6" t="s">
        <v>6</v>
      </c>
      <c r="E44" s="6" t="s">
        <v>6</v>
      </c>
      <c r="F44" s="6" t="s">
        <v>6</v>
      </c>
    </row>
    <row r="45" spans="1:6" x14ac:dyDescent="0.35">
      <c r="A45" s="11" t="s">
        <v>125</v>
      </c>
      <c r="B45" s="11" t="s">
        <v>6</v>
      </c>
      <c r="C45" s="12">
        <v>1949</v>
      </c>
      <c r="D45" s="6" t="s">
        <v>6</v>
      </c>
      <c r="E45" s="6" t="s">
        <v>6</v>
      </c>
      <c r="F45" s="6" t="s">
        <v>6</v>
      </c>
    </row>
    <row r="46" spans="1:6" x14ac:dyDescent="0.35">
      <c r="A46" s="11" t="s">
        <v>125</v>
      </c>
      <c r="B46" s="11" t="s">
        <v>126</v>
      </c>
      <c r="C46" s="6">
        <v>1950</v>
      </c>
      <c r="D46" s="6" t="s">
        <v>6</v>
      </c>
      <c r="E46" s="11">
        <v>13103</v>
      </c>
      <c r="F46" s="6" t="s">
        <v>6</v>
      </c>
    </row>
    <row r="47" spans="1:6" x14ac:dyDescent="0.35">
      <c r="A47" s="11" t="s">
        <v>125</v>
      </c>
      <c r="B47" s="11" t="s">
        <v>126</v>
      </c>
      <c r="C47" s="6">
        <v>1951</v>
      </c>
      <c r="D47" s="6" t="s">
        <v>6</v>
      </c>
      <c r="E47" s="11">
        <v>13181</v>
      </c>
      <c r="F47" s="6" t="s">
        <v>6</v>
      </c>
    </row>
    <row r="48" spans="1:6" x14ac:dyDescent="0.35">
      <c r="A48" s="11" t="s">
        <v>125</v>
      </c>
      <c r="B48" s="11" t="s">
        <v>126</v>
      </c>
      <c r="C48" s="12" t="s">
        <v>127</v>
      </c>
      <c r="D48" s="6" t="s">
        <v>6</v>
      </c>
      <c r="E48" s="11">
        <v>12698</v>
      </c>
      <c r="F48" s="6" t="s">
        <v>6</v>
      </c>
    </row>
    <row r="49" spans="1:6" x14ac:dyDescent="0.35">
      <c r="A49" s="11" t="s">
        <v>125</v>
      </c>
      <c r="B49" s="11" t="s">
        <v>126</v>
      </c>
      <c r="C49" s="12" t="s">
        <v>128</v>
      </c>
      <c r="D49" s="6" t="s">
        <v>6</v>
      </c>
      <c r="E49" s="11">
        <v>12295</v>
      </c>
      <c r="F49" s="6" t="s">
        <v>6</v>
      </c>
    </row>
    <row r="50" spans="1:6" x14ac:dyDescent="0.35">
      <c r="A50" s="11" t="s">
        <v>125</v>
      </c>
      <c r="B50" s="11" t="s">
        <v>126</v>
      </c>
      <c r="C50" s="12" t="s">
        <v>129</v>
      </c>
      <c r="D50" s="6" t="s">
        <v>6</v>
      </c>
      <c r="E50" s="11">
        <v>12728</v>
      </c>
      <c r="F50" s="6" t="s">
        <v>6</v>
      </c>
    </row>
    <row r="51" spans="1:6" x14ac:dyDescent="0.35">
      <c r="A51" s="11" t="s">
        <v>125</v>
      </c>
      <c r="B51" s="11" t="s">
        <v>126</v>
      </c>
      <c r="C51" s="12" t="s">
        <v>130</v>
      </c>
      <c r="D51" s="6" t="s">
        <v>6</v>
      </c>
      <c r="E51" s="11">
        <v>13089</v>
      </c>
      <c r="F51" s="6" t="s">
        <v>6</v>
      </c>
    </row>
    <row r="52" spans="1:6" x14ac:dyDescent="0.35">
      <c r="A52" s="11" t="s">
        <v>125</v>
      </c>
      <c r="B52" s="11" t="s">
        <v>126</v>
      </c>
      <c r="C52" s="12" t="s">
        <v>131</v>
      </c>
      <c r="D52" s="6" t="s">
        <v>6</v>
      </c>
      <c r="E52" s="11">
        <v>13307</v>
      </c>
      <c r="F52" s="6" t="s">
        <v>6</v>
      </c>
    </row>
    <row r="53" spans="1:6" x14ac:dyDescent="0.35">
      <c r="A53" s="11" t="s">
        <v>125</v>
      </c>
      <c r="B53" s="11" t="s">
        <v>126</v>
      </c>
      <c r="C53" s="12" t="s">
        <v>132</v>
      </c>
      <c r="D53" s="6" t="s">
        <v>6</v>
      </c>
      <c r="E53" s="11">
        <v>13380</v>
      </c>
      <c r="F53" s="6" t="s">
        <v>6</v>
      </c>
    </row>
    <row r="54" spans="1:6" x14ac:dyDescent="0.35">
      <c r="A54" s="11" t="s">
        <v>125</v>
      </c>
      <c r="B54" s="11" t="s">
        <v>126</v>
      </c>
      <c r="C54" s="12" t="s">
        <v>133</v>
      </c>
      <c r="D54" s="6" t="s">
        <v>6</v>
      </c>
      <c r="E54" s="11">
        <v>13428</v>
      </c>
      <c r="F54" s="6" t="s">
        <v>6</v>
      </c>
    </row>
    <row r="55" spans="1:6" x14ac:dyDescent="0.35">
      <c r="A55" s="11" t="s">
        <v>125</v>
      </c>
      <c r="B55" s="11" t="s">
        <v>126</v>
      </c>
      <c r="C55" s="12" t="s">
        <v>134</v>
      </c>
      <c r="D55" s="6" t="s">
        <v>6</v>
      </c>
      <c r="E55" s="11">
        <v>14183</v>
      </c>
      <c r="F55" s="6" t="s">
        <v>6</v>
      </c>
    </row>
    <row r="56" spans="1:6" x14ac:dyDescent="0.35">
      <c r="A56" s="11" t="s">
        <v>125</v>
      </c>
      <c r="B56" s="11" t="s">
        <v>126</v>
      </c>
      <c r="C56" s="12" t="s">
        <v>135</v>
      </c>
      <c r="D56" s="6" t="s">
        <v>6</v>
      </c>
      <c r="E56" s="11">
        <v>14509</v>
      </c>
      <c r="F56" s="6" t="s">
        <v>6</v>
      </c>
    </row>
    <row r="57" spans="1:6" x14ac:dyDescent="0.35">
      <c r="A57" s="11" t="s">
        <v>125</v>
      </c>
      <c r="B57" s="11" t="s">
        <v>126</v>
      </c>
      <c r="C57" s="12" t="s">
        <v>136</v>
      </c>
      <c r="D57" s="6" t="s">
        <v>6</v>
      </c>
      <c r="E57" s="11">
        <v>14701</v>
      </c>
      <c r="F57" s="6" t="s">
        <v>6</v>
      </c>
    </row>
    <row r="58" spans="1:6" x14ac:dyDescent="0.35">
      <c r="A58" s="11" t="s">
        <v>125</v>
      </c>
      <c r="B58" s="11" t="s">
        <v>126</v>
      </c>
      <c r="C58" s="12" t="s">
        <v>137</v>
      </c>
      <c r="D58" s="6" t="s">
        <v>6</v>
      </c>
      <c r="E58" s="11">
        <v>14657</v>
      </c>
      <c r="F58" s="6" t="s">
        <v>6</v>
      </c>
    </row>
    <row r="59" spans="1:6" x14ac:dyDescent="0.35">
      <c r="A59" s="11" t="s">
        <v>125</v>
      </c>
      <c r="B59" s="11" t="s">
        <v>126</v>
      </c>
      <c r="C59" s="12" t="s">
        <v>138</v>
      </c>
      <c r="D59" s="6" t="s">
        <v>6</v>
      </c>
      <c r="E59" s="11">
        <v>14817</v>
      </c>
      <c r="F59" s="6" t="s">
        <v>6</v>
      </c>
    </row>
    <row r="60" spans="1:6" x14ac:dyDescent="0.35">
      <c r="A60" s="11" t="s">
        <v>125</v>
      </c>
      <c r="B60" s="11" t="s">
        <v>126</v>
      </c>
      <c r="C60" s="12" t="s">
        <v>139</v>
      </c>
      <c r="D60" s="6" t="s">
        <v>6</v>
      </c>
      <c r="E60" s="11">
        <v>15028</v>
      </c>
      <c r="F60" s="6" t="s">
        <v>6</v>
      </c>
    </row>
    <row r="61" spans="1:6" x14ac:dyDescent="0.35">
      <c r="A61" s="11" t="s">
        <v>125</v>
      </c>
      <c r="B61" s="11" t="s">
        <v>126</v>
      </c>
      <c r="C61" s="12" t="s">
        <v>140</v>
      </c>
      <c r="D61" s="6" t="s">
        <v>6</v>
      </c>
      <c r="E61" s="11">
        <v>14365</v>
      </c>
      <c r="F61" s="6" t="s">
        <v>6</v>
      </c>
    </row>
    <row r="62" spans="1:6" x14ac:dyDescent="0.35">
      <c r="A62" s="11" t="s">
        <v>125</v>
      </c>
      <c r="B62" s="11" t="s">
        <v>126</v>
      </c>
      <c r="C62" s="12" t="s">
        <v>141</v>
      </c>
      <c r="D62" s="6" t="s">
        <v>6</v>
      </c>
      <c r="E62" s="11">
        <v>13773</v>
      </c>
      <c r="F62" s="6" t="s">
        <v>6</v>
      </c>
    </row>
    <row r="63" spans="1:6" x14ac:dyDescent="0.35">
      <c r="A63" s="11" t="s">
        <v>125</v>
      </c>
      <c r="B63" s="11" t="s">
        <v>126</v>
      </c>
      <c r="C63" s="12" t="s">
        <v>142</v>
      </c>
      <c r="D63" s="6" t="s">
        <v>6</v>
      </c>
      <c r="E63" s="11">
        <v>13018</v>
      </c>
      <c r="F63" s="6" t="s">
        <v>6</v>
      </c>
    </row>
    <row r="64" spans="1:6" x14ac:dyDescent="0.35">
      <c r="A64" s="11" t="s">
        <v>125</v>
      </c>
      <c r="B64" s="11" t="s">
        <v>126</v>
      </c>
      <c r="C64" s="12" t="s">
        <v>143</v>
      </c>
      <c r="D64" s="6" t="s">
        <v>6</v>
      </c>
      <c r="E64" s="11">
        <v>12186</v>
      </c>
      <c r="F64" s="6" t="s">
        <v>6</v>
      </c>
    </row>
    <row r="65" spans="1:6" x14ac:dyDescent="0.35">
      <c r="A65" s="11" t="s">
        <v>125</v>
      </c>
      <c r="B65" s="11" t="s">
        <v>126</v>
      </c>
      <c r="C65" s="12" t="s">
        <v>144</v>
      </c>
      <c r="D65" s="6" t="s">
        <v>6</v>
      </c>
      <c r="E65" s="11">
        <v>11296</v>
      </c>
      <c r="F65" s="6" t="s">
        <v>6</v>
      </c>
    </row>
    <row r="66" spans="1:6" x14ac:dyDescent="0.35">
      <c r="A66" s="11" t="s">
        <v>125</v>
      </c>
      <c r="B66" s="11" t="s">
        <v>126</v>
      </c>
      <c r="C66" s="12" t="s">
        <v>145</v>
      </c>
      <c r="D66" s="6" t="s">
        <v>6</v>
      </c>
      <c r="E66" s="11">
        <v>10250</v>
      </c>
      <c r="F66" s="6" t="s">
        <v>6</v>
      </c>
    </row>
    <row r="67" spans="1:6" x14ac:dyDescent="0.35">
      <c r="A67" s="11" t="s">
        <v>125</v>
      </c>
      <c r="B67" s="11" t="s">
        <v>126</v>
      </c>
      <c r="C67" s="12" t="s">
        <v>146</v>
      </c>
      <c r="D67" s="6" t="s">
        <v>6</v>
      </c>
      <c r="E67" s="11">
        <v>9751</v>
      </c>
      <c r="F67" s="6" t="s">
        <v>6</v>
      </c>
    </row>
    <row r="68" spans="1:6" x14ac:dyDescent="0.35">
      <c r="A68" s="11" t="s">
        <v>125</v>
      </c>
      <c r="B68" s="11" t="s">
        <v>126</v>
      </c>
      <c r="C68" s="12" t="s">
        <v>147</v>
      </c>
      <c r="D68" s="6" t="s">
        <v>6</v>
      </c>
      <c r="E68" s="11">
        <v>8558</v>
      </c>
      <c r="F68" s="6" t="s">
        <v>6</v>
      </c>
    </row>
    <row r="69" spans="1:6" x14ac:dyDescent="0.35">
      <c r="A69" s="11" t="s">
        <v>125</v>
      </c>
      <c r="B69" s="11" t="s">
        <v>126</v>
      </c>
      <c r="C69" s="12" t="s">
        <v>148</v>
      </c>
      <c r="D69" s="6" t="s">
        <v>6</v>
      </c>
      <c r="E69" s="11">
        <v>7699</v>
      </c>
      <c r="F69" s="6" t="s">
        <v>6</v>
      </c>
    </row>
    <row r="70" spans="1:6" x14ac:dyDescent="0.35">
      <c r="A70" s="11" t="s">
        <v>125</v>
      </c>
      <c r="B70" s="11" t="s">
        <v>126</v>
      </c>
      <c r="C70" s="12" t="s">
        <v>149</v>
      </c>
      <c r="D70" s="6" t="s">
        <v>6</v>
      </c>
      <c r="E70" s="11">
        <v>7554</v>
      </c>
      <c r="F70" s="6" t="s">
        <v>6</v>
      </c>
    </row>
    <row r="71" spans="1:6" x14ac:dyDescent="0.35">
      <c r="A71" s="11" t="s">
        <v>125</v>
      </c>
      <c r="B71" s="11" t="s">
        <v>126</v>
      </c>
      <c r="C71" s="12" t="s">
        <v>150</v>
      </c>
      <c r="D71" s="6" t="s">
        <v>6</v>
      </c>
      <c r="E71" s="11">
        <v>7186</v>
      </c>
      <c r="F71" s="6" t="s">
        <v>6</v>
      </c>
    </row>
    <row r="72" spans="1:6" x14ac:dyDescent="0.35">
      <c r="A72" s="11" t="s">
        <v>125</v>
      </c>
      <c r="B72" s="11" t="s">
        <v>126</v>
      </c>
      <c r="C72" s="12" t="s">
        <v>151</v>
      </c>
      <c r="D72" s="6" t="s">
        <v>6</v>
      </c>
      <c r="E72" s="11">
        <v>7488</v>
      </c>
      <c r="F72" s="6" t="s">
        <v>6</v>
      </c>
    </row>
    <row r="73" spans="1:6" x14ac:dyDescent="0.35">
      <c r="A73" s="11" t="s">
        <v>125</v>
      </c>
      <c r="B73" s="11" t="s">
        <v>126</v>
      </c>
      <c r="C73" s="12" t="s">
        <v>152</v>
      </c>
      <c r="D73" s="6" t="s">
        <v>6</v>
      </c>
      <c r="E73" s="11">
        <v>7141</v>
      </c>
      <c r="F73" s="6" t="s">
        <v>6</v>
      </c>
    </row>
    <row r="74" spans="1:6" x14ac:dyDescent="0.35">
      <c r="A74" s="11" t="s">
        <v>125</v>
      </c>
      <c r="B74" s="11" t="s">
        <v>126</v>
      </c>
      <c r="C74" s="12" t="s">
        <v>153</v>
      </c>
      <c r="D74" s="6" t="s">
        <v>6</v>
      </c>
      <c r="E74" s="11">
        <v>7243</v>
      </c>
      <c r="F74" s="6" t="s">
        <v>6</v>
      </c>
    </row>
    <row r="75" spans="1:6" x14ac:dyDescent="0.35">
      <c r="A75" s="11" t="s">
        <v>125</v>
      </c>
      <c r="B75" s="11" t="s">
        <v>126</v>
      </c>
      <c r="C75" s="12" t="s">
        <v>154</v>
      </c>
      <c r="D75" s="6" t="s">
        <v>6</v>
      </c>
      <c r="E75" s="11">
        <v>7371</v>
      </c>
      <c r="F75" s="6" t="s">
        <v>6</v>
      </c>
    </row>
    <row r="76" spans="1:6" x14ac:dyDescent="0.35">
      <c r="A76" s="11" t="s">
        <v>125</v>
      </c>
      <c r="B76" s="11" t="s">
        <v>126</v>
      </c>
      <c r="C76" s="12" t="s">
        <v>155</v>
      </c>
      <c r="D76" s="6" t="s">
        <v>6</v>
      </c>
      <c r="E76" s="11">
        <v>7967</v>
      </c>
      <c r="F76" s="6" t="s">
        <v>6</v>
      </c>
    </row>
    <row r="77" spans="1:6" x14ac:dyDescent="0.35">
      <c r="A77" s="11" t="s">
        <v>125</v>
      </c>
      <c r="B77" s="11" t="s">
        <v>126</v>
      </c>
      <c r="C77" s="12" t="s">
        <v>156</v>
      </c>
      <c r="D77" s="6" t="s">
        <v>6</v>
      </c>
      <c r="E77" s="11">
        <v>7781</v>
      </c>
      <c r="F77" s="6" t="s">
        <v>6</v>
      </c>
    </row>
    <row r="78" spans="1:6" x14ac:dyDescent="0.35">
      <c r="A78" s="11" t="s">
        <v>125</v>
      </c>
      <c r="B78" s="11" t="s">
        <v>126</v>
      </c>
      <c r="C78" s="12" t="s">
        <v>157</v>
      </c>
      <c r="D78" s="6" t="s">
        <v>6</v>
      </c>
      <c r="E78" s="11">
        <v>7867</v>
      </c>
      <c r="F78" s="6" t="s">
        <v>6</v>
      </c>
    </row>
    <row r="79" spans="1:6" x14ac:dyDescent="0.35">
      <c r="A79" s="11" t="s">
        <v>125</v>
      </c>
      <c r="B79" s="11" t="s">
        <v>126</v>
      </c>
      <c r="C79" s="12" t="s">
        <v>158</v>
      </c>
      <c r="D79" s="6" t="s">
        <v>6</v>
      </c>
      <c r="E79" s="11">
        <v>7792</v>
      </c>
      <c r="F79" s="6" t="s">
        <v>6</v>
      </c>
    </row>
    <row r="80" spans="1:6" x14ac:dyDescent="0.35">
      <c r="A80" s="11" t="s">
        <v>125</v>
      </c>
      <c r="B80" s="11" t="s">
        <v>126</v>
      </c>
      <c r="C80" s="12" t="s">
        <v>159</v>
      </c>
      <c r="D80" s="6" t="s">
        <v>6</v>
      </c>
      <c r="E80" s="11">
        <v>7909</v>
      </c>
      <c r="F80" s="6" t="s">
        <v>6</v>
      </c>
    </row>
    <row r="81" spans="1:6" x14ac:dyDescent="0.35">
      <c r="A81" s="11" t="s">
        <v>125</v>
      </c>
      <c r="B81" s="11" t="s">
        <v>126</v>
      </c>
      <c r="C81" s="12" t="s">
        <v>160</v>
      </c>
      <c r="D81" s="6" t="s">
        <v>6</v>
      </c>
      <c r="E81" s="11">
        <v>8249</v>
      </c>
      <c r="F81" s="6" t="s">
        <v>6</v>
      </c>
    </row>
    <row r="82" spans="1:6" x14ac:dyDescent="0.35">
      <c r="A82" s="11" t="s">
        <v>125</v>
      </c>
      <c r="B82" s="11" t="s">
        <v>126</v>
      </c>
      <c r="C82" s="12" t="s">
        <v>161</v>
      </c>
      <c r="D82" s="6" t="s">
        <v>6</v>
      </c>
      <c r="E82" s="11">
        <v>8792</v>
      </c>
      <c r="F82" s="6" t="s">
        <v>6</v>
      </c>
    </row>
    <row r="83" spans="1:6" x14ac:dyDescent="0.35">
      <c r="A83" s="11" t="s">
        <v>125</v>
      </c>
      <c r="B83" s="11" t="s">
        <v>126</v>
      </c>
      <c r="C83" s="12" t="s">
        <v>162</v>
      </c>
      <c r="D83" s="6" t="s">
        <v>6</v>
      </c>
      <c r="E83" s="11">
        <v>9186</v>
      </c>
      <c r="F83" s="6" t="s">
        <v>6</v>
      </c>
    </row>
    <row r="84" spans="1:6" x14ac:dyDescent="0.35">
      <c r="A84" s="11" t="s">
        <v>125</v>
      </c>
      <c r="B84" s="11" t="s">
        <v>126</v>
      </c>
      <c r="C84" s="12" t="s">
        <v>163</v>
      </c>
      <c r="D84" s="6" t="s">
        <v>6</v>
      </c>
      <c r="E84" s="11">
        <v>9483</v>
      </c>
      <c r="F84" s="6" t="s">
        <v>6</v>
      </c>
    </row>
    <row r="85" spans="1:6" x14ac:dyDescent="0.35">
      <c r="A85" s="11" t="s">
        <v>125</v>
      </c>
      <c r="B85" s="11" t="s">
        <v>126</v>
      </c>
      <c r="C85" s="12" t="s">
        <v>164</v>
      </c>
      <c r="D85" s="6" t="s">
        <v>6</v>
      </c>
      <c r="E85" s="11">
        <v>9544</v>
      </c>
      <c r="F85" s="6" t="s">
        <v>6</v>
      </c>
    </row>
    <row r="86" spans="1:6" x14ac:dyDescent="0.35">
      <c r="A86" s="11" t="s">
        <v>125</v>
      </c>
      <c r="B86" s="11" t="s">
        <v>126</v>
      </c>
      <c r="C86" s="12" t="s">
        <v>165</v>
      </c>
      <c r="D86" s="6" t="s">
        <v>6</v>
      </c>
      <c r="E86" s="11">
        <v>10024</v>
      </c>
      <c r="F86" s="6" t="s">
        <v>6</v>
      </c>
    </row>
    <row r="87" spans="1:6" x14ac:dyDescent="0.35">
      <c r="A87" s="11" t="s">
        <v>125</v>
      </c>
      <c r="B87" s="11" t="s">
        <v>126</v>
      </c>
      <c r="C87" s="12" t="s">
        <v>166</v>
      </c>
      <c r="D87" s="6" t="s">
        <v>6</v>
      </c>
      <c r="E87" s="11">
        <v>9620</v>
      </c>
      <c r="F87" s="6" t="s">
        <v>6</v>
      </c>
    </row>
    <row r="88" spans="1:6" x14ac:dyDescent="0.35">
      <c r="A88" s="11" t="s">
        <v>125</v>
      </c>
      <c r="B88" s="11" t="s">
        <v>126</v>
      </c>
      <c r="C88" s="12" t="s">
        <v>167</v>
      </c>
      <c r="D88" s="6" t="s">
        <v>6</v>
      </c>
      <c r="E88" s="11">
        <v>9564</v>
      </c>
      <c r="F88" s="6" t="s">
        <v>6</v>
      </c>
    </row>
    <row r="89" spans="1:6" x14ac:dyDescent="0.35">
      <c r="A89" s="11" t="s">
        <v>125</v>
      </c>
      <c r="B89" s="11" t="s">
        <v>126</v>
      </c>
      <c r="C89" s="12" t="s">
        <v>168</v>
      </c>
      <c r="D89" s="6" t="s">
        <v>6</v>
      </c>
      <c r="E89" s="11">
        <v>9826</v>
      </c>
      <c r="F89" s="6" t="s">
        <v>6</v>
      </c>
    </row>
    <row r="90" spans="1:6" x14ac:dyDescent="0.35">
      <c r="A90" s="11" t="s">
        <v>125</v>
      </c>
      <c r="B90" s="11" t="s">
        <v>126</v>
      </c>
      <c r="C90" s="12" t="s">
        <v>169</v>
      </c>
      <c r="D90" s="6" t="s">
        <v>6</v>
      </c>
      <c r="E90" s="11">
        <v>9744</v>
      </c>
      <c r="F90" s="6" t="s">
        <v>6</v>
      </c>
    </row>
    <row r="91" spans="1:6" x14ac:dyDescent="0.35">
      <c r="A91" s="11" t="s">
        <v>125</v>
      </c>
      <c r="B91" s="11" t="s">
        <v>126</v>
      </c>
      <c r="C91" s="12" t="s">
        <v>170</v>
      </c>
      <c r="D91" s="6" t="s">
        <v>6</v>
      </c>
      <c r="E91" s="11">
        <v>10095</v>
      </c>
      <c r="F91" s="6" t="s">
        <v>6</v>
      </c>
    </row>
    <row r="92" spans="1:6" x14ac:dyDescent="0.35">
      <c r="A92" s="11" t="s">
        <v>125</v>
      </c>
      <c r="B92" s="11" t="s">
        <v>126</v>
      </c>
      <c r="C92" s="12" t="s">
        <v>171</v>
      </c>
      <c r="D92" s="6" t="s">
        <v>6</v>
      </c>
      <c r="E92" s="11">
        <v>11063</v>
      </c>
      <c r="F92" s="6" t="s">
        <v>6</v>
      </c>
    </row>
    <row r="93" spans="1:6" x14ac:dyDescent="0.35">
      <c r="A93" s="11" t="s">
        <v>125</v>
      </c>
      <c r="B93" s="11" t="s">
        <v>126</v>
      </c>
      <c r="C93" s="12" t="s">
        <v>172</v>
      </c>
      <c r="D93" s="6" t="s">
        <v>6</v>
      </c>
      <c r="E93" s="11">
        <v>11465</v>
      </c>
      <c r="F93" s="6" t="s">
        <v>6</v>
      </c>
    </row>
    <row r="94" spans="1:6" x14ac:dyDescent="0.35">
      <c r="A94" s="11" t="s">
        <v>125</v>
      </c>
      <c r="B94" s="11" t="s">
        <v>126</v>
      </c>
      <c r="C94" s="12" t="s">
        <v>173</v>
      </c>
      <c r="D94" s="6" t="s">
        <v>6</v>
      </c>
      <c r="E94" s="11">
        <v>11702</v>
      </c>
      <c r="F94" s="6" t="s">
        <v>6</v>
      </c>
    </row>
    <row r="95" spans="1:6" x14ac:dyDescent="0.35">
      <c r="A95" s="11" t="s">
        <v>125</v>
      </c>
      <c r="B95" s="11" t="s">
        <v>126</v>
      </c>
      <c r="C95" s="12" t="s">
        <v>174</v>
      </c>
      <c r="D95" s="6" t="s">
        <v>6</v>
      </c>
      <c r="E95" s="11">
        <v>11481</v>
      </c>
      <c r="F95" s="6" t="s">
        <v>6</v>
      </c>
    </row>
    <row r="96" spans="1:6" x14ac:dyDescent="0.35">
      <c r="A96" s="11" t="s">
        <v>125</v>
      </c>
      <c r="B96" s="11" t="s">
        <v>126</v>
      </c>
      <c r="C96" s="12" t="s">
        <v>175</v>
      </c>
      <c r="D96" s="6" t="s">
        <v>6</v>
      </c>
      <c r="E96" s="11">
        <v>11546</v>
      </c>
      <c r="F96" s="6" t="s">
        <v>6</v>
      </c>
    </row>
    <row r="97" spans="1:6" x14ac:dyDescent="0.35">
      <c r="A97" s="11" t="s">
        <v>125</v>
      </c>
      <c r="B97" s="11" t="s">
        <v>126</v>
      </c>
      <c r="C97" s="12" t="s">
        <v>106</v>
      </c>
      <c r="D97" s="6" t="s">
        <v>6</v>
      </c>
      <c r="E97" s="11">
        <v>11064</v>
      </c>
      <c r="F97" s="6" t="s">
        <v>6</v>
      </c>
    </row>
    <row r="98" spans="1:6" x14ac:dyDescent="0.35">
      <c r="A98" s="11" t="s">
        <v>125</v>
      </c>
      <c r="B98" s="11" t="s">
        <v>126</v>
      </c>
      <c r="C98" s="12" t="s">
        <v>107</v>
      </c>
      <c r="D98" s="6" t="s">
        <v>6</v>
      </c>
      <c r="E98" s="11">
        <v>11438</v>
      </c>
      <c r="F98" s="6" t="s">
        <v>6</v>
      </c>
    </row>
    <row r="99" spans="1:6" x14ac:dyDescent="0.35">
      <c r="A99" s="11" t="s">
        <v>125</v>
      </c>
      <c r="B99" s="11" t="s">
        <v>126</v>
      </c>
      <c r="C99" s="12" t="s">
        <v>108</v>
      </c>
      <c r="D99" s="6" t="s">
        <v>6</v>
      </c>
      <c r="E99" s="11">
        <v>11148</v>
      </c>
      <c r="F99" s="6" t="s">
        <v>6</v>
      </c>
    </row>
    <row r="100" spans="1:6" x14ac:dyDescent="0.35">
      <c r="A100" s="11" t="s">
        <v>125</v>
      </c>
      <c r="B100" s="11" t="s">
        <v>126</v>
      </c>
      <c r="C100" s="12" t="s">
        <v>109</v>
      </c>
      <c r="D100" s="6" t="s">
        <v>6</v>
      </c>
      <c r="E100" s="11">
        <v>12032</v>
      </c>
      <c r="F100" s="6" t="s">
        <v>6</v>
      </c>
    </row>
    <row r="101" spans="1:6" x14ac:dyDescent="0.35">
      <c r="A101" s="11" t="s">
        <v>125</v>
      </c>
      <c r="B101" s="11" t="s">
        <v>126</v>
      </c>
      <c r="C101" s="12" t="s">
        <v>110</v>
      </c>
      <c r="D101" s="6" t="s">
        <v>6</v>
      </c>
      <c r="E101" s="11">
        <v>10447</v>
      </c>
      <c r="F101" s="6" t="s">
        <v>6</v>
      </c>
    </row>
    <row r="102" spans="1:6" x14ac:dyDescent="0.35">
      <c r="A102" s="11" t="s">
        <v>125</v>
      </c>
      <c r="B102" s="11" t="s">
        <v>126</v>
      </c>
      <c r="C102" s="12" t="s">
        <v>111</v>
      </c>
      <c r="D102" s="6" t="s">
        <v>6</v>
      </c>
      <c r="E102" s="11">
        <v>10538</v>
      </c>
      <c r="F102" s="6" t="s">
        <v>6</v>
      </c>
    </row>
    <row r="103" spans="1:6" x14ac:dyDescent="0.35">
      <c r="A103" s="11" t="s">
        <v>125</v>
      </c>
      <c r="B103" s="11" t="s">
        <v>126</v>
      </c>
      <c r="C103" s="12" t="s">
        <v>112</v>
      </c>
      <c r="D103" s="6" t="s">
        <v>6</v>
      </c>
      <c r="E103" s="11">
        <v>10829</v>
      </c>
      <c r="F103" s="6" t="s">
        <v>6</v>
      </c>
    </row>
    <row r="104" spans="1:6" x14ac:dyDescent="0.35">
      <c r="A104" s="11" t="s">
        <v>125</v>
      </c>
      <c r="B104" s="11" t="s">
        <v>126</v>
      </c>
      <c r="C104" s="12" t="s">
        <v>113</v>
      </c>
      <c r="D104" s="6" t="s">
        <v>6</v>
      </c>
      <c r="E104" s="11">
        <v>10820</v>
      </c>
      <c r="F104" s="6" t="s">
        <v>6</v>
      </c>
    </row>
    <row r="105" spans="1:6" x14ac:dyDescent="0.35">
      <c r="A105" s="11" t="s">
        <v>125</v>
      </c>
      <c r="B105" s="11" t="s">
        <v>126</v>
      </c>
      <c r="C105" s="12" t="s">
        <v>114</v>
      </c>
      <c r="D105" s="6" t="s">
        <v>6</v>
      </c>
      <c r="E105" s="11">
        <v>11026</v>
      </c>
      <c r="F105" s="6" t="s">
        <v>6</v>
      </c>
    </row>
    <row r="106" spans="1:6" x14ac:dyDescent="0.35">
      <c r="A106" s="11" t="s">
        <v>125</v>
      </c>
      <c r="B106" s="11" t="s">
        <v>126</v>
      </c>
      <c r="C106" s="12" t="s">
        <v>115</v>
      </c>
      <c r="D106" s="6" t="s">
        <v>6</v>
      </c>
      <c r="E106" s="11">
        <v>11573</v>
      </c>
      <c r="F106" s="6" t="s">
        <v>6</v>
      </c>
    </row>
    <row r="107" spans="1:6" x14ac:dyDescent="0.35">
      <c r="A107" s="11" t="s">
        <v>125</v>
      </c>
      <c r="B107" s="11" t="s">
        <v>126</v>
      </c>
      <c r="C107" s="12" t="s">
        <v>116</v>
      </c>
      <c r="D107" s="6" t="s">
        <v>6</v>
      </c>
      <c r="E107" s="11">
        <v>11254</v>
      </c>
      <c r="F107" s="6" t="s">
        <v>6</v>
      </c>
    </row>
    <row r="108" spans="1:6" x14ac:dyDescent="0.35">
      <c r="A108" s="11" t="s">
        <v>125</v>
      </c>
      <c r="B108" s="11" t="s">
        <v>126</v>
      </c>
      <c r="C108" s="12" t="s">
        <v>117</v>
      </c>
      <c r="D108" s="6" t="s">
        <v>6</v>
      </c>
      <c r="E108" s="11">
        <v>11648</v>
      </c>
      <c r="F108" s="6" t="s">
        <v>6</v>
      </c>
    </row>
    <row r="109" spans="1:6" x14ac:dyDescent="0.35">
      <c r="A109" s="11" t="s">
        <v>125</v>
      </c>
      <c r="B109" s="11" t="s">
        <v>126</v>
      </c>
      <c r="C109" s="12" t="s">
        <v>118</v>
      </c>
      <c r="D109" s="6" t="s">
        <v>6</v>
      </c>
      <c r="E109" s="11">
        <v>12119</v>
      </c>
      <c r="F109" s="6" t="s">
        <v>6</v>
      </c>
    </row>
    <row r="110" spans="1:6" x14ac:dyDescent="0.35">
      <c r="A110" s="11" t="s">
        <v>125</v>
      </c>
      <c r="B110" s="11" t="s">
        <v>126</v>
      </c>
      <c r="C110" s="12" t="s">
        <v>119</v>
      </c>
      <c r="D110" s="6" t="s">
        <v>6</v>
      </c>
      <c r="E110" s="11">
        <v>12977</v>
      </c>
      <c r="F110" s="6" t="s">
        <v>6</v>
      </c>
    </row>
    <row r="111" spans="1:6" x14ac:dyDescent="0.35">
      <c r="A111" s="11" t="s">
        <v>125</v>
      </c>
      <c r="B111" s="11" t="s">
        <v>126</v>
      </c>
      <c r="C111" s="12" t="s">
        <v>120</v>
      </c>
      <c r="D111" s="6" t="s">
        <v>6</v>
      </c>
      <c r="E111" s="11">
        <v>13368</v>
      </c>
      <c r="F111" s="6" t="s">
        <v>6</v>
      </c>
    </row>
    <row r="112" spans="1:6" x14ac:dyDescent="0.35">
      <c r="A112" s="11" t="s">
        <v>125</v>
      </c>
      <c r="B112" s="11" t="s">
        <v>126</v>
      </c>
      <c r="C112" s="12" t="s">
        <v>121</v>
      </c>
      <c r="D112" s="6" t="s">
        <v>6</v>
      </c>
      <c r="E112" s="11">
        <v>14371</v>
      </c>
      <c r="F112" s="6" t="s">
        <v>6</v>
      </c>
    </row>
    <row r="113" spans="1:6" x14ac:dyDescent="0.35">
      <c r="A113" s="11" t="s">
        <v>125</v>
      </c>
      <c r="B113" s="11" t="s">
        <v>126</v>
      </c>
      <c r="C113" s="12" t="s">
        <v>122</v>
      </c>
      <c r="D113" s="6" t="s">
        <v>6</v>
      </c>
      <c r="E113" s="11">
        <v>14415</v>
      </c>
      <c r="F113" s="6" t="s">
        <v>6</v>
      </c>
    </row>
    <row r="114" spans="1:6" x14ac:dyDescent="0.35">
      <c r="A114" s="11" t="s">
        <v>125</v>
      </c>
      <c r="B114" s="11" t="s">
        <v>126</v>
      </c>
      <c r="C114" s="12" t="s">
        <v>123</v>
      </c>
      <c r="D114" s="6" t="s">
        <v>6</v>
      </c>
      <c r="E114" s="11">
        <v>14099</v>
      </c>
      <c r="F114" s="6" t="s">
        <v>6</v>
      </c>
    </row>
    <row r="115" spans="1:6" x14ac:dyDescent="0.35">
      <c r="A115" s="11" t="s">
        <v>125</v>
      </c>
      <c r="B115" s="11" t="s">
        <v>126</v>
      </c>
      <c r="C115" s="12">
        <v>2019</v>
      </c>
      <c r="D115" s="6" t="s">
        <v>6</v>
      </c>
      <c r="E115" s="6">
        <v>14088</v>
      </c>
      <c r="F115" s="6" t="s">
        <v>6</v>
      </c>
    </row>
    <row r="116" spans="1:6" x14ac:dyDescent="0.35">
      <c r="A116" s="11" t="s">
        <v>125</v>
      </c>
      <c r="B116" s="11" t="s">
        <v>126</v>
      </c>
      <c r="C116" s="12">
        <v>2020</v>
      </c>
      <c r="D116" s="6" t="s">
        <v>6</v>
      </c>
      <c r="E116" s="6">
        <v>13663</v>
      </c>
      <c r="F116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297D-8178-4954-8E2D-CA60E080E4FB}">
  <dimension ref="A1:F170"/>
  <sheetViews>
    <sheetView zoomScale="55" zoomScaleNormal="55" workbookViewId="0">
      <selection sqref="A1:F170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5" t="s">
        <v>0</v>
      </c>
      <c r="B1" s="15" t="s">
        <v>1</v>
      </c>
      <c r="C1" s="15" t="s">
        <v>2</v>
      </c>
      <c r="D1" s="15" t="s">
        <v>9</v>
      </c>
      <c r="E1" s="15" t="s">
        <v>7</v>
      </c>
      <c r="F1" s="15" t="s">
        <v>8</v>
      </c>
    </row>
    <row r="2" spans="1:6" x14ac:dyDescent="0.35">
      <c r="A2" s="16" t="s">
        <v>176</v>
      </c>
      <c r="B2" s="16" t="s">
        <v>177</v>
      </c>
      <c r="C2" s="16" t="s">
        <v>178</v>
      </c>
      <c r="D2" s="16">
        <v>45598</v>
      </c>
      <c r="E2" s="16">
        <v>625</v>
      </c>
      <c r="F2" s="16" t="s">
        <v>6</v>
      </c>
    </row>
    <row r="3" spans="1:6" x14ac:dyDescent="0.35">
      <c r="A3" s="16" t="s">
        <v>176</v>
      </c>
      <c r="B3" s="16" t="s">
        <v>177</v>
      </c>
      <c r="C3" s="16" t="s">
        <v>179</v>
      </c>
      <c r="D3" s="16">
        <v>44161</v>
      </c>
      <c r="E3" s="16">
        <v>585</v>
      </c>
      <c r="F3" s="16" t="s">
        <v>6</v>
      </c>
    </row>
    <row r="4" spans="1:6" x14ac:dyDescent="0.35">
      <c r="A4" s="16" t="s">
        <v>176</v>
      </c>
      <c r="B4" s="16" t="s">
        <v>177</v>
      </c>
      <c r="C4" s="16" t="s">
        <v>180</v>
      </c>
      <c r="D4" s="16">
        <v>49108</v>
      </c>
      <c r="E4" s="16">
        <v>754</v>
      </c>
      <c r="F4" s="16" t="s">
        <v>6</v>
      </c>
    </row>
    <row r="5" spans="1:6" x14ac:dyDescent="0.35">
      <c r="A5" s="16" t="s">
        <v>176</v>
      </c>
      <c r="B5" s="16" t="s">
        <v>177</v>
      </c>
      <c r="C5" s="16" t="s">
        <v>181</v>
      </c>
      <c r="D5" s="16">
        <v>47442</v>
      </c>
      <c r="E5" s="16">
        <v>682</v>
      </c>
      <c r="F5" s="16" t="s">
        <v>6</v>
      </c>
    </row>
    <row r="6" spans="1:6" x14ac:dyDescent="0.35">
      <c r="A6" s="16" t="s">
        <v>176</v>
      </c>
      <c r="B6" s="16" t="s">
        <v>177</v>
      </c>
      <c r="C6" s="16" t="s">
        <v>182</v>
      </c>
      <c r="D6" s="16">
        <v>49541</v>
      </c>
      <c r="E6" s="16">
        <v>724</v>
      </c>
      <c r="F6" s="16" t="s">
        <v>6</v>
      </c>
    </row>
    <row r="7" spans="1:6" x14ac:dyDescent="0.35">
      <c r="A7" s="16" t="s">
        <v>176</v>
      </c>
      <c r="B7" s="16" t="s">
        <v>177</v>
      </c>
      <c r="C7" s="16" t="s">
        <v>183</v>
      </c>
      <c r="D7" s="16">
        <v>48981</v>
      </c>
      <c r="E7" s="16">
        <v>736</v>
      </c>
      <c r="F7" s="16" t="s">
        <v>6</v>
      </c>
    </row>
    <row r="8" spans="1:6" x14ac:dyDescent="0.35">
      <c r="A8" s="16" t="s">
        <v>176</v>
      </c>
      <c r="B8" s="16" t="s">
        <v>177</v>
      </c>
      <c r="C8" s="16" t="s">
        <v>184</v>
      </c>
      <c r="D8" s="16">
        <v>50255</v>
      </c>
      <c r="E8" s="16">
        <v>785</v>
      </c>
      <c r="F8" s="16" t="s">
        <v>6</v>
      </c>
    </row>
    <row r="9" spans="1:6" x14ac:dyDescent="0.35">
      <c r="A9" s="16" t="s">
        <v>176</v>
      </c>
      <c r="B9" s="16" t="s">
        <v>177</v>
      </c>
      <c r="C9" s="16" t="s">
        <v>185</v>
      </c>
      <c r="D9" s="16">
        <v>51818</v>
      </c>
      <c r="E9" s="16">
        <v>766</v>
      </c>
      <c r="F9" s="16" t="s">
        <v>6</v>
      </c>
    </row>
    <row r="10" spans="1:6" x14ac:dyDescent="0.35">
      <c r="A10" s="16" t="s">
        <v>176</v>
      </c>
      <c r="B10" s="16" t="s">
        <v>177</v>
      </c>
      <c r="C10" s="16" t="s">
        <v>186</v>
      </c>
      <c r="D10" s="16">
        <v>52835</v>
      </c>
      <c r="E10" s="16">
        <v>784</v>
      </c>
      <c r="F10" s="16" t="s">
        <v>6</v>
      </c>
    </row>
    <row r="11" spans="1:6" x14ac:dyDescent="0.35">
      <c r="A11" s="16" t="s">
        <v>176</v>
      </c>
      <c r="B11" s="16" t="s">
        <v>177</v>
      </c>
      <c r="C11" s="16" t="s">
        <v>187</v>
      </c>
      <c r="D11" s="16">
        <v>54189</v>
      </c>
      <c r="E11" s="16">
        <v>779</v>
      </c>
      <c r="F11" s="16" t="s">
        <v>6</v>
      </c>
    </row>
    <row r="12" spans="1:6" x14ac:dyDescent="0.35">
      <c r="A12" s="16" t="s">
        <v>176</v>
      </c>
      <c r="B12" s="16" t="s">
        <v>177</v>
      </c>
      <c r="C12" s="16" t="s">
        <v>188</v>
      </c>
      <c r="D12" s="16">
        <v>53265</v>
      </c>
      <c r="E12" s="16">
        <v>754</v>
      </c>
      <c r="F12" s="16" t="s">
        <v>6</v>
      </c>
    </row>
    <row r="13" spans="1:6" x14ac:dyDescent="0.35">
      <c r="A13" s="16" t="s">
        <v>176</v>
      </c>
      <c r="B13" s="16" t="s">
        <v>177</v>
      </c>
      <c r="C13" s="16" t="s">
        <v>189</v>
      </c>
      <c r="D13" s="16">
        <v>52233</v>
      </c>
      <c r="E13" s="16">
        <v>742</v>
      </c>
      <c r="F13" s="16" t="s">
        <v>6</v>
      </c>
    </row>
    <row r="14" spans="1:6" x14ac:dyDescent="0.35">
      <c r="A14" s="16" t="s">
        <v>176</v>
      </c>
      <c r="B14" s="16" t="s">
        <v>177</v>
      </c>
      <c r="C14" s="16" t="s">
        <v>190</v>
      </c>
      <c r="D14" s="16">
        <v>51539</v>
      </c>
      <c r="E14" s="16">
        <v>724</v>
      </c>
      <c r="F14" s="16" t="s">
        <v>6</v>
      </c>
    </row>
    <row r="15" spans="1:6" x14ac:dyDescent="0.35">
      <c r="A15" s="16" t="s">
        <v>176</v>
      </c>
      <c r="B15" s="16" t="s">
        <v>177</v>
      </c>
      <c r="C15" s="16" t="s">
        <v>191</v>
      </c>
      <c r="D15" s="16">
        <v>52249</v>
      </c>
      <c r="E15" s="16">
        <v>827</v>
      </c>
      <c r="F15" s="16" t="s">
        <v>6</v>
      </c>
    </row>
    <row r="16" spans="1:6" x14ac:dyDescent="0.35">
      <c r="A16" s="16" t="s">
        <v>176</v>
      </c>
      <c r="B16" s="16" t="s">
        <v>177</v>
      </c>
      <c r="C16" s="16" t="s">
        <v>192</v>
      </c>
      <c r="D16" s="16">
        <v>51349</v>
      </c>
      <c r="E16" s="16">
        <v>754</v>
      </c>
      <c r="F16" s="16" t="s">
        <v>6</v>
      </c>
    </row>
    <row r="17" spans="1:6" x14ac:dyDescent="0.35">
      <c r="A17" s="16" t="s">
        <v>176</v>
      </c>
      <c r="B17" s="16" t="s">
        <v>177</v>
      </c>
      <c r="C17" s="16" t="s">
        <v>193</v>
      </c>
      <c r="D17" s="16">
        <v>53736</v>
      </c>
      <c r="E17" s="16">
        <v>840</v>
      </c>
      <c r="F17" s="16" t="s">
        <v>6</v>
      </c>
    </row>
    <row r="18" spans="1:6" x14ac:dyDescent="0.35">
      <c r="A18" s="16" t="s">
        <v>176</v>
      </c>
      <c r="B18" s="16" t="s">
        <v>177</v>
      </c>
      <c r="C18" s="16" t="s">
        <v>194</v>
      </c>
      <c r="D18" s="16">
        <v>55727</v>
      </c>
      <c r="E18" s="16">
        <v>793</v>
      </c>
      <c r="F18" s="16" t="s">
        <v>6</v>
      </c>
    </row>
    <row r="19" spans="1:6" x14ac:dyDescent="0.35">
      <c r="A19" s="16" t="s">
        <v>176</v>
      </c>
      <c r="B19" s="16" t="s">
        <v>177</v>
      </c>
      <c r="C19" s="16" t="s">
        <v>195</v>
      </c>
      <c r="D19" s="16">
        <v>53246</v>
      </c>
      <c r="E19" s="16">
        <v>748</v>
      </c>
      <c r="F19" s="16" t="s">
        <v>6</v>
      </c>
    </row>
    <row r="20" spans="1:6" x14ac:dyDescent="0.35">
      <c r="A20" s="16" t="s">
        <v>176</v>
      </c>
      <c r="B20" s="16" t="s">
        <v>177</v>
      </c>
      <c r="C20" s="16" t="s">
        <v>196</v>
      </c>
      <c r="D20" s="16">
        <v>55036</v>
      </c>
      <c r="E20" s="16">
        <v>743</v>
      </c>
      <c r="F20" s="16" t="s">
        <v>6</v>
      </c>
    </row>
    <row r="21" spans="1:6" x14ac:dyDescent="0.35">
      <c r="A21" s="16" t="s">
        <v>176</v>
      </c>
      <c r="B21" s="16" t="s">
        <v>177</v>
      </c>
      <c r="C21" s="16" t="s">
        <v>197</v>
      </c>
      <c r="D21" s="16">
        <v>52595</v>
      </c>
      <c r="E21" s="16">
        <v>723</v>
      </c>
      <c r="F21" s="16" t="s">
        <v>6</v>
      </c>
    </row>
    <row r="22" spans="1:6" x14ac:dyDescent="0.35">
      <c r="A22" s="16" t="s">
        <v>176</v>
      </c>
      <c r="B22" s="16" t="s">
        <v>177</v>
      </c>
      <c r="C22" s="16" t="s">
        <v>198</v>
      </c>
      <c r="D22" s="16">
        <v>54914</v>
      </c>
      <c r="E22" s="16">
        <v>770</v>
      </c>
      <c r="F22" s="16" t="s">
        <v>6</v>
      </c>
    </row>
    <row r="23" spans="1:6" x14ac:dyDescent="0.35">
      <c r="A23" s="16" t="s">
        <v>176</v>
      </c>
      <c r="B23" s="16" t="s">
        <v>177</v>
      </c>
      <c r="C23" s="16" t="s">
        <v>199</v>
      </c>
      <c r="D23" s="16">
        <v>54908</v>
      </c>
      <c r="E23" s="16">
        <v>736</v>
      </c>
      <c r="F23" s="16" t="s">
        <v>6</v>
      </c>
    </row>
    <row r="24" spans="1:6" x14ac:dyDescent="0.35">
      <c r="A24" s="16" t="s">
        <v>176</v>
      </c>
      <c r="B24" s="16" t="s">
        <v>177</v>
      </c>
      <c r="C24" s="16" t="s">
        <v>200</v>
      </c>
      <c r="D24" s="16">
        <v>55724</v>
      </c>
      <c r="E24" s="16">
        <v>772</v>
      </c>
      <c r="F24" s="16" t="s">
        <v>6</v>
      </c>
    </row>
    <row r="25" spans="1:6" x14ac:dyDescent="0.35">
      <c r="A25" s="16" t="s">
        <v>176</v>
      </c>
      <c r="B25" s="16" t="s">
        <v>177</v>
      </c>
      <c r="C25" s="16" t="s">
        <v>201</v>
      </c>
      <c r="D25" s="16">
        <v>56925</v>
      </c>
      <c r="E25" s="16">
        <v>829</v>
      </c>
      <c r="F25" s="16" t="s">
        <v>6</v>
      </c>
    </row>
    <row r="26" spans="1:6" x14ac:dyDescent="0.35">
      <c r="A26" s="16" t="s">
        <v>176</v>
      </c>
      <c r="B26" s="16" t="s">
        <v>177</v>
      </c>
      <c r="C26" s="16" t="s">
        <v>202</v>
      </c>
      <c r="D26" s="16">
        <v>57757</v>
      </c>
      <c r="E26" s="16">
        <v>761</v>
      </c>
      <c r="F26" s="16" t="s">
        <v>6</v>
      </c>
    </row>
    <row r="27" spans="1:6" x14ac:dyDescent="0.35">
      <c r="A27" s="16" t="s">
        <v>176</v>
      </c>
      <c r="B27" s="16" t="s">
        <v>177</v>
      </c>
      <c r="C27" s="16" t="s">
        <v>203</v>
      </c>
      <c r="D27" s="16">
        <v>60144</v>
      </c>
      <c r="E27" s="16">
        <v>804</v>
      </c>
      <c r="F27" s="16" t="s">
        <v>6</v>
      </c>
    </row>
    <row r="28" spans="1:6" x14ac:dyDescent="0.35">
      <c r="A28" s="16" t="s">
        <v>176</v>
      </c>
      <c r="B28" s="16" t="s">
        <v>177</v>
      </c>
      <c r="C28" s="16" t="s">
        <v>204</v>
      </c>
      <c r="D28" s="16">
        <v>62318</v>
      </c>
      <c r="E28" s="16">
        <v>814</v>
      </c>
      <c r="F28" s="16" t="s">
        <v>6</v>
      </c>
    </row>
    <row r="29" spans="1:6" x14ac:dyDescent="0.35">
      <c r="A29" s="16" t="s">
        <v>176</v>
      </c>
      <c r="B29" s="16" t="s">
        <v>177</v>
      </c>
      <c r="C29" s="16" t="s">
        <v>205</v>
      </c>
      <c r="D29" s="16">
        <v>62161</v>
      </c>
      <c r="E29" s="16">
        <v>787</v>
      </c>
      <c r="F29" s="16" t="s">
        <v>6</v>
      </c>
    </row>
    <row r="30" spans="1:6" x14ac:dyDescent="0.35">
      <c r="A30" s="16" t="s">
        <v>176</v>
      </c>
      <c r="B30" s="16" t="s">
        <v>177</v>
      </c>
      <c r="C30" s="16" t="s">
        <v>206</v>
      </c>
      <c r="D30" s="16">
        <v>61536</v>
      </c>
      <c r="E30" s="16">
        <v>783</v>
      </c>
      <c r="F30" s="16" t="s">
        <v>6</v>
      </c>
    </row>
    <row r="31" spans="1:6" x14ac:dyDescent="0.35">
      <c r="A31" s="16" t="s">
        <v>176</v>
      </c>
      <c r="B31" s="16" t="s">
        <v>177</v>
      </c>
      <c r="C31" s="16" t="s">
        <v>207</v>
      </c>
      <c r="D31" s="16">
        <v>62659</v>
      </c>
      <c r="E31" s="16">
        <v>837</v>
      </c>
      <c r="F31" s="16" t="s">
        <v>6</v>
      </c>
    </row>
    <row r="32" spans="1:6" x14ac:dyDescent="0.35">
      <c r="A32" s="16" t="s">
        <v>176</v>
      </c>
      <c r="B32" s="16" t="s">
        <v>177</v>
      </c>
      <c r="C32" s="16" t="s">
        <v>208</v>
      </c>
      <c r="D32" s="16">
        <v>62748</v>
      </c>
      <c r="E32" s="16">
        <v>876</v>
      </c>
      <c r="F32" s="16" t="s">
        <v>6</v>
      </c>
    </row>
    <row r="33" spans="1:6" x14ac:dyDescent="0.35">
      <c r="A33" s="16" t="s">
        <v>176</v>
      </c>
      <c r="B33" s="16" t="s">
        <v>177</v>
      </c>
      <c r="C33" s="16" t="s">
        <v>209</v>
      </c>
      <c r="D33" s="16">
        <v>64436</v>
      </c>
      <c r="E33" s="16">
        <v>831</v>
      </c>
      <c r="F33" s="16" t="s">
        <v>6</v>
      </c>
    </row>
    <row r="34" spans="1:6" x14ac:dyDescent="0.35">
      <c r="A34" s="16" t="s">
        <v>176</v>
      </c>
      <c r="B34" s="16" t="s">
        <v>177</v>
      </c>
      <c r="C34" s="16" t="s">
        <v>210</v>
      </c>
      <c r="D34" s="16">
        <v>65292</v>
      </c>
      <c r="E34" s="16">
        <v>834</v>
      </c>
      <c r="F34" s="16" t="s">
        <v>6</v>
      </c>
    </row>
    <row r="35" spans="1:6" x14ac:dyDescent="0.35">
      <c r="A35" s="16" t="s">
        <v>176</v>
      </c>
      <c r="B35" s="16" t="s">
        <v>177</v>
      </c>
      <c r="C35" s="16" t="s">
        <v>211</v>
      </c>
      <c r="D35" s="16">
        <v>64495</v>
      </c>
      <c r="E35" s="16">
        <v>937</v>
      </c>
      <c r="F35" s="16" t="s">
        <v>6</v>
      </c>
    </row>
    <row r="36" spans="1:6" x14ac:dyDescent="0.35">
      <c r="A36" s="16" t="s">
        <v>176</v>
      </c>
      <c r="B36" s="16" t="s">
        <v>177</v>
      </c>
      <c r="C36" s="16" t="s">
        <v>212</v>
      </c>
      <c r="D36" s="16">
        <v>68349</v>
      </c>
      <c r="E36" s="16">
        <v>948</v>
      </c>
      <c r="F36" s="16" t="s">
        <v>6</v>
      </c>
    </row>
    <row r="37" spans="1:6" x14ac:dyDescent="0.35">
      <c r="A37" s="16" t="s">
        <v>176</v>
      </c>
      <c r="B37" s="16" t="s">
        <v>177</v>
      </c>
      <c r="C37" s="16" t="s">
        <v>213</v>
      </c>
      <c r="D37" s="16">
        <v>67715</v>
      </c>
      <c r="E37" s="16">
        <v>880</v>
      </c>
      <c r="F37" s="16" t="s">
        <v>6</v>
      </c>
    </row>
    <row r="38" spans="1:6" x14ac:dyDescent="0.35">
      <c r="A38" s="16" t="s">
        <v>176</v>
      </c>
      <c r="B38" s="16" t="s">
        <v>177</v>
      </c>
      <c r="C38" s="16" t="s">
        <v>214</v>
      </c>
      <c r="D38" s="16">
        <v>68107</v>
      </c>
      <c r="E38" s="16">
        <v>951</v>
      </c>
      <c r="F38" s="16" t="s">
        <v>6</v>
      </c>
    </row>
    <row r="39" spans="1:6" x14ac:dyDescent="0.35">
      <c r="A39" s="16" t="s">
        <v>176</v>
      </c>
      <c r="B39" s="16" t="s">
        <v>177</v>
      </c>
      <c r="C39" s="16" t="s">
        <v>215</v>
      </c>
      <c r="D39" s="16">
        <v>67659</v>
      </c>
      <c r="E39" s="16">
        <v>864</v>
      </c>
      <c r="F39" s="16" t="s">
        <v>6</v>
      </c>
    </row>
    <row r="40" spans="1:6" x14ac:dyDescent="0.35">
      <c r="A40" s="16" t="s">
        <v>176</v>
      </c>
      <c r="B40" s="16" t="s">
        <v>177</v>
      </c>
      <c r="C40" s="16" t="s">
        <v>216</v>
      </c>
      <c r="D40" s="16">
        <v>67277</v>
      </c>
      <c r="E40" s="16">
        <v>955</v>
      </c>
      <c r="F40" s="16" t="s">
        <v>6</v>
      </c>
    </row>
    <row r="41" spans="1:6" x14ac:dyDescent="0.35">
      <c r="A41" s="16" t="s">
        <v>176</v>
      </c>
      <c r="B41" s="16" t="s">
        <v>177</v>
      </c>
      <c r="C41" s="16" t="s">
        <v>217</v>
      </c>
      <c r="D41" s="16">
        <v>67394</v>
      </c>
      <c r="E41" s="16">
        <v>906</v>
      </c>
      <c r="F41" s="16" t="s">
        <v>6</v>
      </c>
    </row>
    <row r="42" spans="1:6" x14ac:dyDescent="0.35">
      <c r="A42" s="16" t="s">
        <v>176</v>
      </c>
      <c r="B42" s="16" t="s">
        <v>177</v>
      </c>
      <c r="C42" s="16" t="s">
        <v>218</v>
      </c>
      <c r="D42" s="16">
        <v>66214</v>
      </c>
      <c r="E42" s="16">
        <v>932</v>
      </c>
      <c r="F42" s="16" t="s">
        <v>6</v>
      </c>
    </row>
    <row r="43" spans="1:6" x14ac:dyDescent="0.35">
      <c r="A43" s="16" t="s">
        <v>176</v>
      </c>
      <c r="B43" s="16" t="s">
        <v>177</v>
      </c>
      <c r="C43" s="16" t="s">
        <v>219</v>
      </c>
      <c r="D43" s="16">
        <v>67690</v>
      </c>
      <c r="E43" s="16">
        <v>969</v>
      </c>
      <c r="F43" s="16" t="s">
        <v>6</v>
      </c>
    </row>
    <row r="44" spans="1:6" x14ac:dyDescent="0.35">
      <c r="A44" s="16" t="s">
        <v>176</v>
      </c>
      <c r="B44" s="16" t="s">
        <v>177</v>
      </c>
      <c r="C44" s="16" t="s">
        <v>220</v>
      </c>
      <c r="D44" s="16">
        <v>65243</v>
      </c>
      <c r="E44" s="16">
        <v>934</v>
      </c>
      <c r="F44" s="16" t="s">
        <v>6</v>
      </c>
    </row>
    <row r="45" spans="1:6" x14ac:dyDescent="0.35">
      <c r="A45" s="16" t="s">
        <v>176</v>
      </c>
      <c r="B45" s="16" t="s">
        <v>177</v>
      </c>
      <c r="C45" s="16" t="s">
        <v>221</v>
      </c>
      <c r="D45" s="16">
        <v>68278</v>
      </c>
      <c r="E45" s="16">
        <v>980</v>
      </c>
      <c r="F45" s="16" t="s">
        <v>6</v>
      </c>
    </row>
    <row r="46" spans="1:6" x14ac:dyDescent="0.35">
      <c r="A46" s="16" t="s">
        <v>176</v>
      </c>
      <c r="B46" s="16" t="s">
        <v>177</v>
      </c>
      <c r="C46" s="16" t="s">
        <v>222</v>
      </c>
      <c r="D46" s="16">
        <v>68047</v>
      </c>
      <c r="E46" s="16">
        <v>948</v>
      </c>
      <c r="F46" s="16" t="s">
        <v>6</v>
      </c>
    </row>
    <row r="47" spans="1:6" x14ac:dyDescent="0.35">
      <c r="A47" s="16" t="s">
        <v>176</v>
      </c>
      <c r="B47" s="16" t="s">
        <v>177</v>
      </c>
      <c r="C47" s="16" t="s">
        <v>223</v>
      </c>
      <c r="D47" s="16">
        <v>68614</v>
      </c>
      <c r="E47" s="16">
        <v>976</v>
      </c>
      <c r="F47" s="16" t="s">
        <v>6</v>
      </c>
    </row>
    <row r="48" spans="1:6" x14ac:dyDescent="0.35">
      <c r="A48" s="16" t="s">
        <v>176</v>
      </c>
      <c r="B48" s="16" t="s">
        <v>177</v>
      </c>
      <c r="C48" s="16" t="s">
        <v>224</v>
      </c>
      <c r="D48" s="16">
        <v>70082</v>
      </c>
      <c r="E48" s="16">
        <v>940</v>
      </c>
      <c r="F48" s="16" t="s">
        <v>6</v>
      </c>
    </row>
    <row r="49" spans="1:6" x14ac:dyDescent="0.35">
      <c r="A49" s="16" t="s">
        <v>176</v>
      </c>
      <c r="B49" s="16" t="s">
        <v>177</v>
      </c>
      <c r="C49" s="16" t="s">
        <v>225</v>
      </c>
      <c r="D49" s="16">
        <v>69466</v>
      </c>
      <c r="E49" s="16">
        <v>946</v>
      </c>
      <c r="F49" s="16" t="s">
        <v>6</v>
      </c>
    </row>
    <row r="50" spans="1:6" x14ac:dyDescent="0.35">
      <c r="A50" s="16" t="s">
        <v>176</v>
      </c>
      <c r="B50" s="16" t="s">
        <v>177</v>
      </c>
      <c r="C50" s="16" t="s">
        <v>226</v>
      </c>
      <c r="D50" s="16">
        <v>71511</v>
      </c>
      <c r="E50" s="16">
        <v>975</v>
      </c>
      <c r="F50" s="16" t="s">
        <v>6</v>
      </c>
    </row>
    <row r="51" spans="1:6" x14ac:dyDescent="0.35">
      <c r="A51" s="16" t="s">
        <v>176</v>
      </c>
      <c r="B51" s="16" t="s">
        <v>177</v>
      </c>
      <c r="C51" s="16" t="s">
        <v>227</v>
      </c>
      <c r="D51" s="16">
        <v>71253</v>
      </c>
      <c r="E51" s="16">
        <v>920</v>
      </c>
      <c r="F51" s="16" t="s">
        <v>6</v>
      </c>
    </row>
    <row r="52" spans="1:6" x14ac:dyDescent="0.35">
      <c r="A52" s="16" t="s">
        <v>176</v>
      </c>
      <c r="B52" s="16" t="s">
        <v>177</v>
      </c>
      <c r="C52" s="16" t="s">
        <v>228</v>
      </c>
      <c r="D52" s="16">
        <v>71841</v>
      </c>
      <c r="E52" s="16">
        <v>1003</v>
      </c>
      <c r="F52" s="16" t="s">
        <v>6</v>
      </c>
    </row>
    <row r="53" spans="1:6" x14ac:dyDescent="0.35">
      <c r="A53" s="16" t="s">
        <v>176</v>
      </c>
      <c r="B53" s="16" t="s">
        <v>177</v>
      </c>
      <c r="C53" s="16" t="s">
        <v>229</v>
      </c>
      <c r="D53" s="16">
        <v>72990</v>
      </c>
      <c r="E53" s="16">
        <v>1006</v>
      </c>
      <c r="F53" s="16" t="s">
        <v>6</v>
      </c>
    </row>
    <row r="54" spans="1:6" x14ac:dyDescent="0.35">
      <c r="A54" s="16" t="s">
        <v>176</v>
      </c>
      <c r="B54" s="16" t="s">
        <v>177</v>
      </c>
      <c r="C54" s="16" t="s">
        <v>230</v>
      </c>
      <c r="D54" s="16">
        <v>72710</v>
      </c>
      <c r="E54" s="16">
        <v>933</v>
      </c>
      <c r="F54" s="16" t="s">
        <v>6</v>
      </c>
    </row>
    <row r="55" spans="1:6" x14ac:dyDescent="0.35">
      <c r="A55" s="16" t="s">
        <v>176</v>
      </c>
      <c r="B55" s="16" t="s">
        <v>177</v>
      </c>
      <c r="C55" s="16" t="s">
        <v>231</v>
      </c>
      <c r="D55" s="16">
        <v>72070</v>
      </c>
      <c r="E55" s="16">
        <v>991</v>
      </c>
      <c r="F55" s="16" t="s">
        <v>6</v>
      </c>
    </row>
    <row r="56" spans="1:6" x14ac:dyDescent="0.35">
      <c r="A56" s="16" t="s">
        <v>176</v>
      </c>
      <c r="B56" s="16" t="s">
        <v>177</v>
      </c>
      <c r="C56" s="16" t="s">
        <v>232</v>
      </c>
      <c r="D56" s="16">
        <v>73350</v>
      </c>
      <c r="E56" s="16">
        <v>1042</v>
      </c>
      <c r="F56" s="16" t="s">
        <v>6</v>
      </c>
    </row>
    <row r="57" spans="1:6" x14ac:dyDescent="0.35">
      <c r="A57" s="16" t="s">
        <v>176</v>
      </c>
      <c r="B57" s="16" t="s">
        <v>177</v>
      </c>
      <c r="C57" s="16" t="s">
        <v>233</v>
      </c>
      <c r="D57" s="16">
        <v>72767</v>
      </c>
      <c r="E57" s="16">
        <v>1030</v>
      </c>
      <c r="F57" s="16" t="s">
        <v>6</v>
      </c>
    </row>
    <row r="58" spans="1:6" x14ac:dyDescent="0.35">
      <c r="A58" s="16" t="s">
        <v>176</v>
      </c>
      <c r="B58" s="16" t="s">
        <v>177</v>
      </c>
      <c r="C58" s="16" t="s">
        <v>234</v>
      </c>
      <c r="D58" s="16">
        <v>73747</v>
      </c>
      <c r="E58" s="16">
        <v>1073</v>
      </c>
      <c r="F58" s="16" t="s">
        <v>6</v>
      </c>
    </row>
    <row r="59" spans="1:6" x14ac:dyDescent="0.35">
      <c r="A59" s="16" t="s">
        <v>176</v>
      </c>
      <c r="B59" s="16" t="s">
        <v>177</v>
      </c>
      <c r="C59" s="16" t="s">
        <v>235</v>
      </c>
      <c r="D59" s="16">
        <v>73921</v>
      </c>
      <c r="E59" s="16">
        <v>1101</v>
      </c>
      <c r="F59" s="16" t="s">
        <v>6</v>
      </c>
    </row>
    <row r="60" spans="1:6" x14ac:dyDescent="0.35">
      <c r="A60" s="16" t="s">
        <v>176</v>
      </c>
      <c r="B60" s="16" t="s">
        <v>177</v>
      </c>
      <c r="C60" s="16" t="s">
        <v>236</v>
      </c>
      <c r="D60" s="16">
        <v>75931</v>
      </c>
      <c r="E60" s="16">
        <v>1060</v>
      </c>
      <c r="F60" s="16" t="s">
        <v>6</v>
      </c>
    </row>
    <row r="61" spans="1:6" x14ac:dyDescent="0.35">
      <c r="A61" s="16" t="s">
        <v>176</v>
      </c>
      <c r="B61" s="16" t="s">
        <v>177</v>
      </c>
      <c r="C61" s="16" t="s">
        <v>237</v>
      </c>
      <c r="D61" s="16">
        <v>75776</v>
      </c>
      <c r="E61" s="16">
        <v>1152</v>
      </c>
      <c r="F61" s="16" t="s">
        <v>6</v>
      </c>
    </row>
    <row r="62" spans="1:6" x14ac:dyDescent="0.35">
      <c r="A62" s="16" t="s">
        <v>176</v>
      </c>
      <c r="B62" s="16" t="s">
        <v>177</v>
      </c>
      <c r="C62" s="16" t="s">
        <v>238</v>
      </c>
      <c r="D62" s="16">
        <v>74810</v>
      </c>
      <c r="E62" s="16">
        <v>1128</v>
      </c>
      <c r="F62" s="16" t="s">
        <v>6</v>
      </c>
    </row>
    <row r="63" spans="1:6" x14ac:dyDescent="0.35">
      <c r="A63" s="16" t="s">
        <v>176</v>
      </c>
      <c r="B63" s="16" t="s">
        <v>177</v>
      </c>
      <c r="C63" s="16" t="s">
        <v>239</v>
      </c>
      <c r="D63" s="16">
        <v>73371</v>
      </c>
      <c r="E63" s="16">
        <v>1131</v>
      </c>
      <c r="F63" s="16" t="s">
        <v>6</v>
      </c>
    </row>
    <row r="64" spans="1:6" x14ac:dyDescent="0.35">
      <c r="A64" s="16" t="s">
        <v>176</v>
      </c>
      <c r="B64" s="16" t="s">
        <v>177</v>
      </c>
      <c r="C64" s="16" t="s">
        <v>240</v>
      </c>
      <c r="D64" s="16">
        <v>74073</v>
      </c>
      <c r="E64" s="16">
        <v>1161</v>
      </c>
      <c r="F64" s="16" t="s">
        <v>6</v>
      </c>
    </row>
    <row r="65" spans="1:6" x14ac:dyDescent="0.35">
      <c r="A65" s="16" t="s">
        <v>176</v>
      </c>
      <c r="B65" s="16" t="s">
        <v>177</v>
      </c>
      <c r="C65" s="16" t="s">
        <v>241</v>
      </c>
      <c r="D65" s="16">
        <v>71826</v>
      </c>
      <c r="E65" s="16">
        <v>1177</v>
      </c>
      <c r="F65" s="16" t="s">
        <v>6</v>
      </c>
    </row>
    <row r="66" spans="1:6" x14ac:dyDescent="0.35">
      <c r="A66" s="16" t="s">
        <v>176</v>
      </c>
      <c r="B66" s="16" t="s">
        <v>177</v>
      </c>
      <c r="C66" s="16" t="s">
        <v>242</v>
      </c>
      <c r="D66" s="16">
        <v>72736</v>
      </c>
      <c r="E66" s="16">
        <v>1133</v>
      </c>
      <c r="F66" s="16" t="s">
        <v>6</v>
      </c>
    </row>
    <row r="67" spans="1:6" x14ac:dyDescent="0.35">
      <c r="A67" s="16" t="s">
        <v>176</v>
      </c>
      <c r="B67" s="16" t="s">
        <v>177</v>
      </c>
      <c r="C67" s="16" t="s">
        <v>243</v>
      </c>
      <c r="D67" s="16">
        <v>69731</v>
      </c>
      <c r="E67" s="16">
        <v>1094</v>
      </c>
      <c r="F67" s="16" t="s">
        <v>6</v>
      </c>
    </row>
    <row r="68" spans="1:6" x14ac:dyDescent="0.35">
      <c r="A68" s="16" t="s">
        <v>176</v>
      </c>
      <c r="B68" s="16" t="s">
        <v>177</v>
      </c>
      <c r="C68" s="16" t="s">
        <v>244</v>
      </c>
      <c r="D68" s="16">
        <v>71131</v>
      </c>
      <c r="E68" s="16">
        <v>1099</v>
      </c>
      <c r="F68" s="16" t="s">
        <v>6</v>
      </c>
    </row>
    <row r="69" spans="1:6" x14ac:dyDescent="0.35">
      <c r="A69" s="16" t="s">
        <v>176</v>
      </c>
      <c r="B69" s="16" t="s">
        <v>177</v>
      </c>
      <c r="C69" s="16" t="s">
        <v>245</v>
      </c>
      <c r="D69" s="16">
        <v>69849</v>
      </c>
      <c r="E69" s="16">
        <v>1109</v>
      </c>
      <c r="F69" s="16" t="s">
        <v>6</v>
      </c>
    </row>
    <row r="70" spans="1:6" x14ac:dyDescent="0.35">
      <c r="A70" s="16" t="s">
        <v>176</v>
      </c>
      <c r="B70" s="16" t="s">
        <v>177</v>
      </c>
      <c r="C70" s="16" t="s">
        <v>246</v>
      </c>
      <c r="D70" s="16">
        <v>72093</v>
      </c>
      <c r="E70" s="16">
        <v>1131</v>
      </c>
      <c r="F70" s="16" t="s">
        <v>6</v>
      </c>
    </row>
    <row r="71" spans="1:6" x14ac:dyDescent="0.35">
      <c r="A71" s="16" t="s">
        <v>176</v>
      </c>
      <c r="B71" s="16" t="s">
        <v>177</v>
      </c>
      <c r="C71" s="16" t="s">
        <v>24</v>
      </c>
      <c r="D71" s="16">
        <v>68303</v>
      </c>
      <c r="E71" s="16">
        <v>1045</v>
      </c>
      <c r="F71" s="16" t="s">
        <v>6</v>
      </c>
    </row>
    <row r="72" spans="1:6" x14ac:dyDescent="0.35">
      <c r="A72" s="16" t="s">
        <v>176</v>
      </c>
      <c r="B72" s="16" t="s">
        <v>177</v>
      </c>
      <c r="C72" s="16" t="s">
        <v>25</v>
      </c>
      <c r="D72" s="16">
        <v>77666</v>
      </c>
      <c r="E72" s="16">
        <v>1261</v>
      </c>
      <c r="F72" s="16" t="s">
        <v>6</v>
      </c>
    </row>
    <row r="73" spans="1:6" x14ac:dyDescent="0.35">
      <c r="A73" s="16" t="s">
        <v>176</v>
      </c>
      <c r="B73" s="16" t="s">
        <v>177</v>
      </c>
      <c r="C73" s="16" t="s">
        <v>26</v>
      </c>
      <c r="D73" s="16">
        <v>78154</v>
      </c>
      <c r="E73" s="16">
        <v>1309</v>
      </c>
      <c r="F73" s="16" t="s">
        <v>6</v>
      </c>
    </row>
    <row r="74" spans="1:6" x14ac:dyDescent="0.35">
      <c r="A74" s="16" t="s">
        <v>176</v>
      </c>
      <c r="B74" s="16" t="s">
        <v>177</v>
      </c>
      <c r="C74" s="16" t="s">
        <v>27</v>
      </c>
      <c r="D74" s="16">
        <v>73392</v>
      </c>
      <c r="E74" s="16">
        <v>1135</v>
      </c>
      <c r="F74" s="16" t="s">
        <v>6</v>
      </c>
    </row>
    <row r="75" spans="1:6" x14ac:dyDescent="0.35">
      <c r="A75" s="16" t="s">
        <v>176</v>
      </c>
      <c r="B75" s="16" t="s">
        <v>177</v>
      </c>
      <c r="C75" s="16" t="s">
        <v>28</v>
      </c>
      <c r="D75" s="16">
        <v>74229</v>
      </c>
      <c r="E75" s="16">
        <v>1196</v>
      </c>
      <c r="F75" s="16" t="s">
        <v>6</v>
      </c>
    </row>
    <row r="76" spans="1:6" x14ac:dyDescent="0.35">
      <c r="A76" s="16" t="s">
        <v>176</v>
      </c>
      <c r="B76" s="16" t="s">
        <v>177</v>
      </c>
      <c r="C76" s="16" t="s">
        <v>29</v>
      </c>
      <c r="D76" s="16">
        <v>73239</v>
      </c>
      <c r="E76" s="16">
        <v>1176</v>
      </c>
      <c r="F76" s="16" t="s">
        <v>6</v>
      </c>
    </row>
    <row r="77" spans="1:6" x14ac:dyDescent="0.35">
      <c r="A77" s="16" t="s">
        <v>176</v>
      </c>
      <c r="B77" s="16" t="s">
        <v>177</v>
      </c>
      <c r="C77" s="16" t="s">
        <v>30</v>
      </c>
      <c r="D77" s="16">
        <v>71502</v>
      </c>
      <c r="E77" s="16">
        <v>1051</v>
      </c>
      <c r="F77" s="16" t="s">
        <v>6</v>
      </c>
    </row>
    <row r="78" spans="1:6" x14ac:dyDescent="0.35">
      <c r="A78" s="16" t="s">
        <v>176</v>
      </c>
      <c r="B78" s="16" t="s">
        <v>177</v>
      </c>
      <c r="C78" s="16" t="s">
        <v>31</v>
      </c>
      <c r="D78" s="16">
        <v>70043</v>
      </c>
      <c r="E78" s="16">
        <v>1146</v>
      </c>
      <c r="F78" s="16" t="s">
        <v>6</v>
      </c>
    </row>
    <row r="79" spans="1:6" x14ac:dyDescent="0.35">
      <c r="A79" s="16" t="s">
        <v>176</v>
      </c>
      <c r="B79" s="16" t="s">
        <v>177</v>
      </c>
      <c r="C79" s="16" t="s">
        <v>32</v>
      </c>
      <c r="D79" s="16">
        <v>67394</v>
      </c>
      <c r="E79" s="16">
        <v>1099</v>
      </c>
      <c r="F79" s="16" t="s">
        <v>6</v>
      </c>
    </row>
    <row r="80" spans="1:6" x14ac:dyDescent="0.35">
      <c r="A80" s="16" t="s">
        <v>176</v>
      </c>
      <c r="B80" s="16" t="s">
        <v>177</v>
      </c>
      <c r="C80" s="16" t="s">
        <v>33</v>
      </c>
      <c r="D80" s="16">
        <v>67980</v>
      </c>
      <c r="E80" s="16">
        <v>1071</v>
      </c>
      <c r="F80" s="16" t="s">
        <v>6</v>
      </c>
    </row>
    <row r="81" spans="1:6" x14ac:dyDescent="0.35">
      <c r="A81" s="16" t="s">
        <v>176</v>
      </c>
      <c r="B81" s="16" t="s">
        <v>177</v>
      </c>
      <c r="C81" s="16" t="s">
        <v>34</v>
      </c>
      <c r="D81" s="16">
        <v>64703</v>
      </c>
      <c r="E81" s="16">
        <v>1093</v>
      </c>
      <c r="F81" s="16" t="s">
        <v>6</v>
      </c>
    </row>
    <row r="82" spans="1:6" x14ac:dyDescent="0.35">
      <c r="A82" s="16" t="s">
        <v>176</v>
      </c>
      <c r="B82" s="16" t="s">
        <v>177</v>
      </c>
      <c r="C82" s="16" t="s">
        <v>35</v>
      </c>
      <c r="D82" s="16">
        <v>65701</v>
      </c>
      <c r="E82" s="16">
        <v>1083</v>
      </c>
      <c r="F82" s="16" t="s">
        <v>6</v>
      </c>
    </row>
    <row r="83" spans="1:6" x14ac:dyDescent="0.35">
      <c r="A83" s="16" t="s">
        <v>176</v>
      </c>
      <c r="B83" s="16" t="s">
        <v>177</v>
      </c>
      <c r="C83" s="16" t="s">
        <v>36</v>
      </c>
      <c r="D83" s="16">
        <v>63854</v>
      </c>
      <c r="E83" s="16">
        <v>975</v>
      </c>
      <c r="F83" s="16" t="s">
        <v>6</v>
      </c>
    </row>
    <row r="84" spans="1:6" x14ac:dyDescent="0.35">
      <c r="A84" s="16" t="s">
        <v>176</v>
      </c>
      <c r="B84" s="16" t="s">
        <v>177</v>
      </c>
      <c r="C84" s="16" t="s">
        <v>37</v>
      </c>
      <c r="D84" s="16">
        <v>64095</v>
      </c>
      <c r="E84" s="16">
        <v>1022</v>
      </c>
      <c r="F84" s="16" t="s">
        <v>6</v>
      </c>
    </row>
    <row r="85" spans="1:6" x14ac:dyDescent="0.35">
      <c r="A85" s="16" t="s">
        <v>176</v>
      </c>
      <c r="B85" s="16" t="s">
        <v>177</v>
      </c>
      <c r="C85" s="16" t="s">
        <v>38</v>
      </c>
      <c r="D85" s="16">
        <v>62523</v>
      </c>
      <c r="E85" s="16">
        <v>951</v>
      </c>
      <c r="F85" s="16" t="s">
        <v>6</v>
      </c>
    </row>
    <row r="86" spans="1:6" x14ac:dyDescent="0.35">
      <c r="A86" s="16" t="s">
        <v>176</v>
      </c>
      <c r="B86" s="16" t="s">
        <v>177</v>
      </c>
      <c r="C86" s="16" t="s">
        <v>39</v>
      </c>
      <c r="D86" s="16">
        <v>64734</v>
      </c>
      <c r="E86" s="16">
        <v>1027</v>
      </c>
      <c r="F86" s="16" t="s">
        <v>6</v>
      </c>
    </row>
    <row r="87" spans="1:6" x14ac:dyDescent="0.35">
      <c r="A87" s="16" t="s">
        <v>176</v>
      </c>
      <c r="B87" s="16" t="s">
        <v>177</v>
      </c>
      <c r="C87" s="16" t="s">
        <v>40</v>
      </c>
      <c r="D87" s="16">
        <v>64746</v>
      </c>
      <c r="E87" s="16">
        <v>1058</v>
      </c>
      <c r="F87" s="16" t="s">
        <v>6</v>
      </c>
    </row>
    <row r="88" spans="1:6" x14ac:dyDescent="0.35">
      <c r="A88" s="16" t="s">
        <v>176</v>
      </c>
      <c r="B88" s="16" t="s">
        <v>177</v>
      </c>
      <c r="C88" s="16" t="s">
        <v>41</v>
      </c>
      <c r="D88" s="16">
        <v>66180</v>
      </c>
      <c r="E88" s="16">
        <v>976</v>
      </c>
      <c r="F88" s="16" t="s">
        <v>6</v>
      </c>
    </row>
    <row r="89" spans="1:6" x14ac:dyDescent="0.35">
      <c r="A89" s="16" t="s">
        <v>176</v>
      </c>
      <c r="B89" s="16" t="s">
        <v>177</v>
      </c>
      <c r="C89" s="16" t="s">
        <v>42</v>
      </c>
      <c r="D89" s="16">
        <v>67070</v>
      </c>
      <c r="E89" s="16">
        <v>1045</v>
      </c>
      <c r="F89" s="16" t="s">
        <v>6</v>
      </c>
    </row>
    <row r="90" spans="1:6" x14ac:dyDescent="0.35">
      <c r="A90" s="16" t="s">
        <v>176</v>
      </c>
      <c r="B90" s="16" t="s">
        <v>177</v>
      </c>
      <c r="C90" s="16" t="s">
        <v>43</v>
      </c>
      <c r="D90" s="16">
        <v>68225</v>
      </c>
      <c r="E90" s="16">
        <v>981</v>
      </c>
      <c r="F90" s="16" t="s">
        <v>6</v>
      </c>
    </row>
    <row r="91" spans="1:6" x14ac:dyDescent="0.35">
      <c r="A91" s="16" t="s">
        <v>176</v>
      </c>
      <c r="B91" s="16" t="s">
        <v>177</v>
      </c>
      <c r="C91" s="16" t="s">
        <v>44</v>
      </c>
      <c r="D91" s="16">
        <v>67704</v>
      </c>
      <c r="E91" s="16">
        <v>1002</v>
      </c>
      <c r="F91" s="16" t="s">
        <v>6</v>
      </c>
    </row>
    <row r="92" spans="1:6" x14ac:dyDescent="0.35">
      <c r="A92" s="16" t="s">
        <v>176</v>
      </c>
      <c r="B92" s="16" t="s">
        <v>177</v>
      </c>
      <c r="C92" s="16" t="s">
        <v>45</v>
      </c>
      <c r="D92" s="16">
        <v>69725</v>
      </c>
      <c r="E92" s="16">
        <v>1090</v>
      </c>
      <c r="F92" s="16" t="s">
        <v>6</v>
      </c>
    </row>
    <row r="93" spans="1:6" x14ac:dyDescent="0.35">
      <c r="A93" s="16" t="s">
        <v>176</v>
      </c>
      <c r="B93" s="16" t="s">
        <v>177</v>
      </c>
      <c r="C93" s="16" t="s">
        <v>46</v>
      </c>
      <c r="D93" s="16">
        <v>70903</v>
      </c>
      <c r="E93" s="16">
        <v>1025</v>
      </c>
      <c r="F93" s="16" t="s">
        <v>6</v>
      </c>
    </row>
    <row r="94" spans="1:6" x14ac:dyDescent="0.35">
      <c r="A94" s="16" t="s">
        <v>176</v>
      </c>
      <c r="B94" s="16" t="s">
        <v>177</v>
      </c>
      <c r="C94" s="16" t="s">
        <v>47</v>
      </c>
      <c r="D94" s="16">
        <v>78913</v>
      </c>
      <c r="E94" s="16">
        <v>1147</v>
      </c>
      <c r="F94" s="16" t="s">
        <v>6</v>
      </c>
    </row>
    <row r="95" spans="1:6" x14ac:dyDescent="0.35">
      <c r="A95" s="16" t="s">
        <v>176</v>
      </c>
      <c r="B95" s="16" t="s">
        <v>177</v>
      </c>
      <c r="C95" s="16" t="s">
        <v>48</v>
      </c>
      <c r="D95" s="16">
        <v>83514</v>
      </c>
      <c r="E95" s="16">
        <v>1300</v>
      </c>
      <c r="F95" s="16" t="s">
        <v>6</v>
      </c>
    </row>
    <row r="96" spans="1:6" x14ac:dyDescent="0.35">
      <c r="A96" s="16" t="s">
        <v>176</v>
      </c>
      <c r="B96" s="16" t="s">
        <v>177</v>
      </c>
      <c r="C96" s="16" t="s">
        <v>49</v>
      </c>
      <c r="D96" s="16">
        <v>89776</v>
      </c>
      <c r="E96" s="16">
        <v>1314</v>
      </c>
      <c r="F96" s="16" t="s">
        <v>6</v>
      </c>
    </row>
    <row r="97" spans="1:6" x14ac:dyDescent="0.35">
      <c r="A97" s="16" t="s">
        <v>176</v>
      </c>
      <c r="B97" s="16" t="s">
        <v>177</v>
      </c>
      <c r="C97" s="16" t="s">
        <v>50</v>
      </c>
      <c r="D97" s="16">
        <v>94021</v>
      </c>
      <c r="E97" s="16">
        <v>1439</v>
      </c>
      <c r="F97" s="16" t="s">
        <v>6</v>
      </c>
    </row>
    <row r="98" spans="1:6" x14ac:dyDescent="0.35">
      <c r="A98" s="16" t="s">
        <v>176</v>
      </c>
      <c r="B98" s="16" t="s">
        <v>177</v>
      </c>
      <c r="C98" s="16" t="s">
        <v>51</v>
      </c>
      <c r="D98" s="16">
        <v>95099</v>
      </c>
      <c r="E98" s="16">
        <v>1397</v>
      </c>
      <c r="F98" s="16" t="s">
        <v>6</v>
      </c>
    </row>
    <row r="99" spans="1:6" x14ac:dyDescent="0.35">
      <c r="A99" s="16" t="s">
        <v>176</v>
      </c>
      <c r="B99" s="16" t="s">
        <v>177</v>
      </c>
      <c r="C99" s="16" t="s">
        <v>52</v>
      </c>
      <c r="D99" s="16">
        <v>90579</v>
      </c>
      <c r="E99" s="16">
        <v>1353</v>
      </c>
      <c r="F99" s="16" t="s">
        <v>6</v>
      </c>
    </row>
    <row r="100" spans="1:6" x14ac:dyDescent="0.35">
      <c r="A100" s="16" t="s">
        <v>176</v>
      </c>
      <c r="B100" s="16" t="s">
        <v>177</v>
      </c>
      <c r="C100" s="16" t="s">
        <v>53</v>
      </c>
      <c r="D100" s="16">
        <v>83954</v>
      </c>
      <c r="E100" s="16">
        <v>1251</v>
      </c>
      <c r="F100" s="16" t="s">
        <v>6</v>
      </c>
    </row>
    <row r="101" spans="1:6" x14ac:dyDescent="0.35">
      <c r="A101" s="16" t="s">
        <v>176</v>
      </c>
      <c r="B101" s="16" t="s">
        <v>177</v>
      </c>
      <c r="C101" s="16" t="s">
        <v>54</v>
      </c>
      <c r="D101" s="16">
        <v>79049</v>
      </c>
      <c r="E101" s="16">
        <v>1099</v>
      </c>
      <c r="F101" s="16" t="s">
        <v>6</v>
      </c>
    </row>
    <row r="102" spans="1:6" x14ac:dyDescent="0.35">
      <c r="A102" s="16" t="s">
        <v>176</v>
      </c>
      <c r="B102" s="16" t="s">
        <v>177</v>
      </c>
      <c r="C102" s="16" t="s">
        <v>55</v>
      </c>
      <c r="D102" s="16">
        <v>78885</v>
      </c>
      <c r="E102" s="16">
        <v>1068</v>
      </c>
      <c r="F102" s="16" t="s">
        <v>6</v>
      </c>
    </row>
    <row r="103" spans="1:6" x14ac:dyDescent="0.35">
      <c r="A103" s="16" t="s">
        <v>176</v>
      </c>
      <c r="B103" s="16" t="s">
        <v>177</v>
      </c>
      <c r="C103" s="16" t="s">
        <v>56</v>
      </c>
      <c r="D103" s="16">
        <v>75940</v>
      </c>
      <c r="E103" s="16">
        <v>1008</v>
      </c>
      <c r="F103" s="16" t="s">
        <v>6</v>
      </c>
    </row>
    <row r="104" spans="1:6" x14ac:dyDescent="0.35">
      <c r="A104" s="16" t="s">
        <v>176</v>
      </c>
      <c r="B104" s="16" t="s">
        <v>177</v>
      </c>
      <c r="C104" s="16" t="s">
        <v>57</v>
      </c>
      <c r="D104" s="16">
        <v>76196</v>
      </c>
      <c r="E104" s="16">
        <v>1046</v>
      </c>
      <c r="F104" s="16" t="s">
        <v>6</v>
      </c>
    </row>
    <row r="105" spans="1:6" x14ac:dyDescent="0.35">
      <c r="A105" s="16" t="s">
        <v>176</v>
      </c>
      <c r="B105" s="16" t="s">
        <v>177</v>
      </c>
      <c r="C105" s="16" t="s">
        <v>58</v>
      </c>
      <c r="D105" s="16">
        <v>77627</v>
      </c>
      <c r="E105" s="16">
        <v>1061</v>
      </c>
      <c r="F105" s="16" t="s">
        <v>6</v>
      </c>
    </row>
    <row r="106" spans="1:6" x14ac:dyDescent="0.35">
      <c r="A106" s="16" t="s">
        <v>176</v>
      </c>
      <c r="B106" s="16" t="s">
        <v>177</v>
      </c>
      <c r="C106" s="16" t="s">
        <v>59</v>
      </c>
      <c r="D106" s="16">
        <v>75837</v>
      </c>
      <c r="E106" s="16">
        <v>1006</v>
      </c>
      <c r="F106" s="16" t="s">
        <v>6</v>
      </c>
    </row>
    <row r="107" spans="1:6" x14ac:dyDescent="0.35">
      <c r="A107" s="16" t="s">
        <v>176</v>
      </c>
      <c r="B107" s="16" t="s">
        <v>177</v>
      </c>
      <c r="C107" s="16" t="s">
        <v>60</v>
      </c>
      <c r="D107" s="16">
        <v>76158</v>
      </c>
      <c r="E107" s="16">
        <v>1031</v>
      </c>
      <c r="F107" s="16" t="s">
        <v>6</v>
      </c>
    </row>
    <row r="108" spans="1:6" x14ac:dyDescent="0.35">
      <c r="A108" s="16" t="s">
        <v>176</v>
      </c>
      <c r="B108" s="16" t="s">
        <v>177</v>
      </c>
      <c r="C108" s="16" t="s">
        <v>61</v>
      </c>
      <c r="D108" s="16">
        <v>76172</v>
      </c>
      <c r="E108" s="16">
        <v>953</v>
      </c>
      <c r="F108" s="16" t="s">
        <v>6</v>
      </c>
    </row>
    <row r="109" spans="1:6" x14ac:dyDescent="0.35">
      <c r="A109" s="16" t="s">
        <v>176</v>
      </c>
      <c r="B109" s="16" t="s">
        <v>177</v>
      </c>
      <c r="C109" s="16" t="s">
        <v>62</v>
      </c>
      <c r="D109" s="16">
        <v>74499</v>
      </c>
      <c r="E109" s="16">
        <v>945</v>
      </c>
      <c r="F109" s="16" t="s">
        <v>6</v>
      </c>
    </row>
    <row r="110" spans="1:6" x14ac:dyDescent="0.35">
      <c r="A110" s="16" t="s">
        <v>176</v>
      </c>
      <c r="B110" s="16" t="s">
        <v>177</v>
      </c>
      <c r="C110" s="16" t="s">
        <v>63</v>
      </c>
      <c r="D110" s="16">
        <v>73921</v>
      </c>
      <c r="E110" s="16">
        <v>958</v>
      </c>
      <c r="F110" s="16" t="s">
        <v>6</v>
      </c>
    </row>
    <row r="111" spans="1:6" x14ac:dyDescent="0.35">
      <c r="A111" s="16" t="s">
        <v>176</v>
      </c>
      <c r="B111" s="16" t="s">
        <v>177</v>
      </c>
      <c r="C111" s="16" t="s">
        <v>64</v>
      </c>
      <c r="D111" s="16">
        <v>73134</v>
      </c>
      <c r="E111" s="16">
        <v>922</v>
      </c>
      <c r="F111" s="16" t="s">
        <v>6</v>
      </c>
    </row>
    <row r="112" spans="1:6" x14ac:dyDescent="0.35">
      <c r="A112" s="16" t="s">
        <v>176</v>
      </c>
      <c r="B112" s="16" t="s">
        <v>177</v>
      </c>
      <c r="C112" s="16" t="s">
        <v>65</v>
      </c>
      <c r="D112" s="16">
        <v>75209</v>
      </c>
      <c r="E112" s="16">
        <v>901</v>
      </c>
      <c r="F112" s="16" t="s">
        <v>6</v>
      </c>
    </row>
    <row r="113" spans="1:6" x14ac:dyDescent="0.35">
      <c r="A113" s="16" t="s">
        <v>176</v>
      </c>
      <c r="B113" s="16" t="s">
        <v>177</v>
      </c>
      <c r="C113" s="16" t="s">
        <v>66</v>
      </c>
      <c r="D113" s="16">
        <v>75518</v>
      </c>
      <c r="E113" s="16">
        <v>931</v>
      </c>
      <c r="F113" s="16" t="s">
        <v>6</v>
      </c>
    </row>
    <row r="114" spans="1:6" x14ac:dyDescent="0.35">
      <c r="A114" s="16" t="s">
        <v>176</v>
      </c>
      <c r="B114" s="16" t="s">
        <v>177</v>
      </c>
      <c r="C114" s="16" t="s">
        <v>67</v>
      </c>
      <c r="D114" s="16">
        <v>76838</v>
      </c>
      <c r="E114" s="16">
        <v>937</v>
      </c>
      <c r="F114" s="16" t="s">
        <v>6</v>
      </c>
    </row>
    <row r="115" spans="1:6" x14ac:dyDescent="0.35">
      <c r="A115" s="16" t="s">
        <v>176</v>
      </c>
      <c r="B115" s="16" t="s">
        <v>177</v>
      </c>
      <c r="C115" s="16" t="s">
        <v>68</v>
      </c>
      <c r="D115" s="16">
        <v>81525</v>
      </c>
      <c r="E115" s="16">
        <v>909</v>
      </c>
      <c r="F115" s="16" t="s">
        <v>6</v>
      </c>
    </row>
    <row r="116" spans="1:6" x14ac:dyDescent="0.35">
      <c r="A116" s="16" t="s">
        <v>176</v>
      </c>
      <c r="B116" s="16" t="s">
        <v>177</v>
      </c>
      <c r="C116" s="16" t="s">
        <v>69</v>
      </c>
      <c r="D116" s="16">
        <v>82235</v>
      </c>
      <c r="E116" s="16">
        <v>997</v>
      </c>
      <c r="F116" s="16" t="s">
        <v>6</v>
      </c>
    </row>
    <row r="117" spans="1:6" x14ac:dyDescent="0.35">
      <c r="A117" s="16" t="s">
        <v>176</v>
      </c>
      <c r="B117" s="16" t="s">
        <v>177</v>
      </c>
      <c r="C117" s="16" t="s">
        <v>70</v>
      </c>
      <c r="D117" s="16">
        <v>84761</v>
      </c>
      <c r="E117" s="16">
        <v>970</v>
      </c>
      <c r="F117" s="16" t="s">
        <v>6</v>
      </c>
    </row>
    <row r="118" spans="1:6" x14ac:dyDescent="0.35">
      <c r="A118" s="16" t="s">
        <v>176</v>
      </c>
      <c r="B118" s="16" t="s">
        <v>177</v>
      </c>
      <c r="C118" s="16" t="s">
        <v>71</v>
      </c>
      <c r="D118" s="16">
        <v>87289</v>
      </c>
      <c r="E118" s="16">
        <v>947</v>
      </c>
      <c r="F118" s="16" t="s">
        <v>6</v>
      </c>
    </row>
    <row r="119" spans="1:6" x14ac:dyDescent="0.35">
      <c r="A119" s="16" t="s">
        <v>176</v>
      </c>
      <c r="B119" s="16" t="s">
        <v>177</v>
      </c>
      <c r="C119" s="16" t="s">
        <v>72</v>
      </c>
      <c r="D119" s="16">
        <v>80366</v>
      </c>
      <c r="E119" s="16">
        <v>864</v>
      </c>
      <c r="F119" s="16" t="s">
        <v>6</v>
      </c>
    </row>
    <row r="120" spans="1:6" x14ac:dyDescent="0.35">
      <c r="A120" s="16" t="s">
        <v>176</v>
      </c>
      <c r="B120" s="16" t="s">
        <v>177</v>
      </c>
      <c r="C120" s="16" t="s">
        <v>73</v>
      </c>
      <c r="D120" s="16">
        <v>73537</v>
      </c>
      <c r="E120" s="16">
        <v>812</v>
      </c>
      <c r="F120" s="16" t="s">
        <v>6</v>
      </c>
    </row>
    <row r="121" spans="1:6" x14ac:dyDescent="0.35">
      <c r="A121" s="16" t="s">
        <v>176</v>
      </c>
      <c r="B121" s="16" t="s">
        <v>177</v>
      </c>
      <c r="C121" s="16" t="s">
        <v>74</v>
      </c>
      <c r="D121" s="16">
        <v>70414</v>
      </c>
      <c r="E121" s="16">
        <v>740</v>
      </c>
      <c r="F121" s="16" t="s">
        <v>6</v>
      </c>
    </row>
    <row r="122" spans="1:6" x14ac:dyDescent="0.35">
      <c r="A122" s="16" t="s">
        <v>176</v>
      </c>
      <c r="B122" s="16" t="s">
        <v>177</v>
      </c>
      <c r="C122" s="16" t="s">
        <v>75</v>
      </c>
      <c r="D122" s="16">
        <v>70053</v>
      </c>
      <c r="E122" s="16">
        <v>666</v>
      </c>
      <c r="F122" s="16" t="s">
        <v>6</v>
      </c>
    </row>
    <row r="123" spans="1:6" x14ac:dyDescent="0.35">
      <c r="A123" s="16" t="s">
        <v>176</v>
      </c>
      <c r="B123" s="16" t="s">
        <v>177</v>
      </c>
      <c r="C123" s="16" t="s">
        <v>76</v>
      </c>
      <c r="D123" s="16">
        <v>74408</v>
      </c>
      <c r="E123" s="16">
        <v>764</v>
      </c>
      <c r="F123" s="16" t="s">
        <v>6</v>
      </c>
    </row>
    <row r="124" spans="1:6" x14ac:dyDescent="0.35">
      <c r="A124" s="16" t="s">
        <v>176</v>
      </c>
      <c r="B124" s="16" t="s">
        <v>177</v>
      </c>
      <c r="C124" s="16" t="s">
        <v>77</v>
      </c>
      <c r="D124" s="16">
        <v>74669</v>
      </c>
      <c r="E124" s="16">
        <v>684</v>
      </c>
      <c r="F124" s="16" t="s">
        <v>6</v>
      </c>
    </row>
    <row r="125" spans="1:6" x14ac:dyDescent="0.35">
      <c r="A125" s="16" t="s">
        <v>176</v>
      </c>
      <c r="B125" s="16" t="s">
        <v>177</v>
      </c>
      <c r="C125" s="16" t="s">
        <v>78</v>
      </c>
      <c r="D125" s="16">
        <v>70998</v>
      </c>
      <c r="E125" s="16">
        <v>702</v>
      </c>
      <c r="F125" s="16" t="s">
        <v>6</v>
      </c>
    </row>
    <row r="126" spans="1:6" x14ac:dyDescent="0.35">
      <c r="A126" s="16" t="s">
        <v>176</v>
      </c>
      <c r="B126" s="16" t="s">
        <v>177</v>
      </c>
      <c r="C126" s="16" t="s">
        <v>79</v>
      </c>
      <c r="D126" s="16">
        <v>70350</v>
      </c>
      <c r="E126" s="16">
        <v>700</v>
      </c>
      <c r="F126" s="16" t="s">
        <v>6</v>
      </c>
    </row>
    <row r="127" spans="1:6" x14ac:dyDescent="0.35">
      <c r="A127" s="16" t="s">
        <v>176</v>
      </c>
      <c r="B127" s="16" t="s">
        <v>177</v>
      </c>
      <c r="C127" s="16" t="s">
        <v>80</v>
      </c>
      <c r="D127" s="16">
        <v>71127</v>
      </c>
      <c r="E127" s="16">
        <v>691</v>
      </c>
      <c r="F127" s="16" t="s">
        <v>6</v>
      </c>
    </row>
    <row r="128" spans="1:6" x14ac:dyDescent="0.35">
      <c r="A128" s="16" t="s">
        <v>176</v>
      </c>
      <c r="B128" s="16" t="s">
        <v>177</v>
      </c>
      <c r="C128" s="16" t="s">
        <v>81</v>
      </c>
      <c r="D128" s="16">
        <v>64434</v>
      </c>
      <c r="E128" s="16">
        <v>623</v>
      </c>
      <c r="F128" s="16" t="s">
        <v>6</v>
      </c>
    </row>
    <row r="129" spans="1:6" x14ac:dyDescent="0.35">
      <c r="A129" s="16" t="s">
        <v>176</v>
      </c>
      <c r="B129" s="16" t="s">
        <v>177</v>
      </c>
      <c r="C129" s="16" t="s">
        <v>82</v>
      </c>
      <c r="D129" s="16">
        <v>61036</v>
      </c>
      <c r="E129" s="16">
        <v>593</v>
      </c>
      <c r="F129" s="16" t="s">
        <v>6</v>
      </c>
    </row>
    <row r="130" spans="1:6" x14ac:dyDescent="0.35">
      <c r="A130" s="16" t="s">
        <v>176</v>
      </c>
      <c r="B130" s="16" t="s">
        <v>177</v>
      </c>
      <c r="C130" s="16" t="s">
        <v>83</v>
      </c>
      <c r="D130" s="16">
        <v>61129</v>
      </c>
      <c r="E130" s="16">
        <v>622</v>
      </c>
      <c r="F130" s="16" t="s">
        <v>6</v>
      </c>
    </row>
    <row r="131" spans="1:6" x14ac:dyDescent="0.35">
      <c r="A131" s="16" t="s">
        <v>176</v>
      </c>
      <c r="B131" s="16" t="s">
        <v>177</v>
      </c>
      <c r="C131" s="16" t="s">
        <v>84</v>
      </c>
      <c r="D131" s="16">
        <v>58509</v>
      </c>
      <c r="E131" s="16">
        <v>626</v>
      </c>
      <c r="F131" s="16" t="s">
        <v>6</v>
      </c>
    </row>
    <row r="132" spans="1:6" x14ac:dyDescent="0.35">
      <c r="A132" s="16" t="s">
        <v>176</v>
      </c>
      <c r="B132" s="16" t="s">
        <v>177</v>
      </c>
      <c r="C132" s="16" t="s">
        <v>85</v>
      </c>
      <c r="D132" s="16">
        <v>56364</v>
      </c>
      <c r="E132" s="16">
        <v>582</v>
      </c>
      <c r="F132" s="16" t="s">
        <v>6</v>
      </c>
    </row>
    <row r="133" spans="1:6" x14ac:dyDescent="0.35">
      <c r="A133" s="16" t="s">
        <v>176</v>
      </c>
      <c r="B133" s="16" t="s">
        <v>177</v>
      </c>
      <c r="C133" s="16" t="s">
        <v>86</v>
      </c>
      <c r="D133" s="16">
        <v>52311</v>
      </c>
      <c r="E133" s="16">
        <v>519</v>
      </c>
      <c r="F133" s="16" t="s">
        <v>6</v>
      </c>
    </row>
    <row r="134" spans="1:6" x14ac:dyDescent="0.35">
      <c r="A134" s="16" t="s">
        <v>176</v>
      </c>
      <c r="B134" s="16" t="s">
        <v>177</v>
      </c>
      <c r="C134" s="16" t="s">
        <v>87</v>
      </c>
      <c r="D134" s="16">
        <v>51845</v>
      </c>
      <c r="E134" s="16">
        <v>532</v>
      </c>
      <c r="F134" s="16" t="s">
        <v>6</v>
      </c>
    </row>
    <row r="135" spans="1:6" x14ac:dyDescent="0.35">
      <c r="A135" s="16" t="s">
        <v>176</v>
      </c>
      <c r="B135" s="16" t="s">
        <v>177</v>
      </c>
      <c r="C135" s="16" t="s">
        <v>88</v>
      </c>
      <c r="D135" s="16">
        <v>50026</v>
      </c>
      <c r="E135" s="16">
        <v>518</v>
      </c>
      <c r="F135" s="16" t="s">
        <v>6</v>
      </c>
    </row>
    <row r="136" spans="1:6" x14ac:dyDescent="0.35">
      <c r="A136" s="16" t="s">
        <v>176</v>
      </c>
      <c r="B136" s="16" t="s">
        <v>177</v>
      </c>
      <c r="C136" s="16" t="s">
        <v>89</v>
      </c>
      <c r="D136" s="16">
        <v>50875</v>
      </c>
      <c r="E136" s="16">
        <v>567</v>
      </c>
      <c r="F136" s="16" t="s">
        <v>6</v>
      </c>
    </row>
    <row r="137" spans="1:6" x14ac:dyDescent="0.35">
      <c r="A137" s="16" t="s">
        <v>176</v>
      </c>
      <c r="B137" s="16" t="s">
        <v>177</v>
      </c>
      <c r="C137" s="16" t="s">
        <v>90</v>
      </c>
      <c r="D137" s="16">
        <v>52794</v>
      </c>
      <c r="E137" s="16">
        <v>587</v>
      </c>
      <c r="F137" s="16" t="s">
        <v>6</v>
      </c>
    </row>
    <row r="138" spans="1:6" x14ac:dyDescent="0.35">
      <c r="A138" s="16" t="s">
        <v>176</v>
      </c>
      <c r="B138" s="16" t="s">
        <v>177</v>
      </c>
      <c r="C138" s="16" t="s">
        <v>91</v>
      </c>
      <c r="D138" s="16">
        <v>54376</v>
      </c>
      <c r="E138" s="16">
        <v>577</v>
      </c>
      <c r="F138" s="16" t="s">
        <v>6</v>
      </c>
    </row>
    <row r="139" spans="1:6" x14ac:dyDescent="0.35">
      <c r="A139" s="16" t="s">
        <v>176</v>
      </c>
      <c r="B139" s="16" t="s">
        <v>177</v>
      </c>
      <c r="C139" s="16" t="s">
        <v>92</v>
      </c>
      <c r="D139" s="16">
        <v>55251</v>
      </c>
      <c r="E139" s="16">
        <v>617</v>
      </c>
      <c r="F139" s="16" t="s">
        <v>6</v>
      </c>
    </row>
    <row r="140" spans="1:6" x14ac:dyDescent="0.35">
      <c r="A140" s="16" t="s">
        <v>176</v>
      </c>
      <c r="B140" s="16" t="s">
        <v>177</v>
      </c>
      <c r="C140" s="16" t="s">
        <v>93</v>
      </c>
      <c r="D140" s="16">
        <v>57776</v>
      </c>
      <c r="E140" s="16">
        <v>662</v>
      </c>
      <c r="F140" s="16" t="s">
        <v>6</v>
      </c>
    </row>
    <row r="141" spans="1:6" x14ac:dyDescent="0.35">
      <c r="A141" s="16" t="s">
        <v>176</v>
      </c>
      <c r="B141" s="16" t="s">
        <v>177</v>
      </c>
      <c r="C141" s="16" t="s">
        <v>94</v>
      </c>
      <c r="D141" s="16">
        <v>60232</v>
      </c>
      <c r="E141" s="16">
        <v>690</v>
      </c>
      <c r="F141" s="16" t="s">
        <v>6</v>
      </c>
    </row>
    <row r="142" spans="1:6" x14ac:dyDescent="0.35">
      <c r="A142" s="16" t="s">
        <v>176</v>
      </c>
      <c r="B142" s="16" t="s">
        <v>177</v>
      </c>
      <c r="C142" s="16" t="s">
        <v>95</v>
      </c>
      <c r="D142" s="16">
        <v>62252</v>
      </c>
      <c r="E142" s="16">
        <v>712</v>
      </c>
      <c r="F142" s="16" t="s">
        <v>6</v>
      </c>
    </row>
    <row r="143" spans="1:6" x14ac:dyDescent="0.35">
      <c r="A143" s="16" t="s">
        <v>176</v>
      </c>
      <c r="B143" s="16" t="s">
        <v>177</v>
      </c>
      <c r="C143" s="16" t="s">
        <v>96</v>
      </c>
      <c r="D143" s="16">
        <v>62907</v>
      </c>
      <c r="E143" s="16">
        <v>840</v>
      </c>
      <c r="F143" s="16" t="s">
        <v>6</v>
      </c>
    </row>
    <row r="144" spans="1:6" x14ac:dyDescent="0.35">
      <c r="A144" s="16" t="s">
        <v>176</v>
      </c>
      <c r="B144" s="16" t="s">
        <v>177</v>
      </c>
      <c r="C144" s="16" t="s">
        <v>97</v>
      </c>
      <c r="D144" s="16">
        <v>66121</v>
      </c>
      <c r="E144" s="16">
        <v>923</v>
      </c>
      <c r="F144" s="16" t="s">
        <v>6</v>
      </c>
    </row>
    <row r="145" spans="1:6" x14ac:dyDescent="0.35">
      <c r="A145" s="16" t="s">
        <v>176</v>
      </c>
      <c r="B145" s="16" t="s">
        <v>177</v>
      </c>
      <c r="C145" s="16" t="s">
        <v>98</v>
      </c>
      <c r="D145" s="16">
        <v>65544</v>
      </c>
      <c r="E145" s="16">
        <v>1022</v>
      </c>
      <c r="F145" s="16" t="s">
        <v>6</v>
      </c>
    </row>
    <row r="146" spans="1:6" x14ac:dyDescent="0.35">
      <c r="A146" s="16" t="s">
        <v>176</v>
      </c>
      <c r="B146" s="16" t="s">
        <v>177</v>
      </c>
      <c r="C146" s="16" t="s">
        <v>99</v>
      </c>
      <c r="D146" s="16">
        <v>67589</v>
      </c>
      <c r="E146" s="16">
        <v>1137</v>
      </c>
      <c r="F146" s="16" t="s">
        <v>6</v>
      </c>
    </row>
    <row r="147" spans="1:6" x14ac:dyDescent="0.35">
      <c r="A147" s="16" t="s">
        <v>176</v>
      </c>
      <c r="B147" s="16" t="s">
        <v>177</v>
      </c>
      <c r="C147" s="16" t="s">
        <v>100</v>
      </c>
      <c r="D147" s="16">
        <v>67726</v>
      </c>
      <c r="E147" s="16">
        <v>1123</v>
      </c>
      <c r="F147" s="16" t="s">
        <v>6</v>
      </c>
    </row>
    <row r="148" spans="1:6" x14ac:dyDescent="0.35">
      <c r="A148" s="16" t="s">
        <v>176</v>
      </c>
      <c r="B148" s="16" t="s">
        <v>177</v>
      </c>
      <c r="C148" s="16" t="s">
        <v>101</v>
      </c>
      <c r="D148" s="16">
        <v>65430</v>
      </c>
      <c r="E148" s="16">
        <v>1207</v>
      </c>
      <c r="F148" s="16" t="s">
        <v>6</v>
      </c>
    </row>
    <row r="149" spans="1:6" x14ac:dyDescent="0.35">
      <c r="A149" s="16" t="s">
        <v>176</v>
      </c>
      <c r="B149" s="16" t="s">
        <v>177</v>
      </c>
      <c r="C149" s="16" t="s">
        <v>102</v>
      </c>
      <c r="D149" s="16">
        <v>65443</v>
      </c>
      <c r="E149" s="16">
        <v>1222</v>
      </c>
      <c r="F149" s="16" t="s">
        <v>6</v>
      </c>
    </row>
    <row r="150" spans="1:6" x14ac:dyDescent="0.35">
      <c r="A150" s="16" t="s">
        <v>176</v>
      </c>
      <c r="B150" s="16" t="s">
        <v>177</v>
      </c>
      <c r="C150" s="16" t="s">
        <v>103</v>
      </c>
      <c r="D150" s="16">
        <v>63863</v>
      </c>
      <c r="E150" s="16">
        <v>1252</v>
      </c>
      <c r="F150" s="16" t="s">
        <v>6</v>
      </c>
    </row>
    <row r="151" spans="1:6" x14ac:dyDescent="0.35">
      <c r="A151" s="16" t="s">
        <v>176</v>
      </c>
      <c r="B151" s="16" t="s">
        <v>177</v>
      </c>
      <c r="C151" s="16" t="s">
        <v>104</v>
      </c>
      <c r="D151" s="16">
        <v>63943</v>
      </c>
      <c r="E151" s="16">
        <v>1256</v>
      </c>
      <c r="F151" s="16" t="s">
        <v>6</v>
      </c>
    </row>
    <row r="152" spans="1:6" x14ac:dyDescent="0.35">
      <c r="A152" s="16" t="s">
        <v>176</v>
      </c>
      <c r="B152" s="16" t="s">
        <v>177</v>
      </c>
      <c r="C152" s="16" t="s">
        <v>105</v>
      </c>
      <c r="D152" s="16">
        <v>64692</v>
      </c>
      <c r="E152" s="16">
        <v>1286</v>
      </c>
      <c r="F152" s="16" t="s">
        <v>6</v>
      </c>
    </row>
    <row r="153" spans="1:6" x14ac:dyDescent="0.35">
      <c r="A153" s="16" t="s">
        <v>176</v>
      </c>
      <c r="B153" s="16" t="s">
        <v>177</v>
      </c>
      <c r="C153" s="16" t="s">
        <v>106</v>
      </c>
      <c r="D153" s="16">
        <v>62751</v>
      </c>
      <c r="E153" s="16">
        <v>1390</v>
      </c>
      <c r="F153" s="16" t="s">
        <v>6</v>
      </c>
    </row>
    <row r="154" spans="1:6" x14ac:dyDescent="0.35">
      <c r="A154" s="16" t="s">
        <v>176</v>
      </c>
      <c r="B154" s="16" t="s">
        <v>177</v>
      </c>
      <c r="C154" s="16" t="s">
        <v>107</v>
      </c>
      <c r="D154" s="16">
        <v>61457</v>
      </c>
      <c r="E154" s="16">
        <v>1356</v>
      </c>
      <c r="F154" s="16" t="s">
        <v>6</v>
      </c>
    </row>
    <row r="155" spans="1:6" x14ac:dyDescent="0.35">
      <c r="A155" s="16" t="s">
        <v>176</v>
      </c>
      <c r="B155" s="16" t="s">
        <v>177</v>
      </c>
      <c r="C155" s="16" t="s">
        <v>108</v>
      </c>
      <c r="D155" s="16">
        <v>61978</v>
      </c>
      <c r="E155" s="16">
        <v>1368</v>
      </c>
      <c r="F155" s="16" t="s">
        <v>6</v>
      </c>
    </row>
    <row r="156" spans="1:6" x14ac:dyDescent="0.35">
      <c r="A156" s="16" t="s">
        <v>176</v>
      </c>
      <c r="B156" s="16" t="s">
        <v>177</v>
      </c>
      <c r="C156" s="16" t="s">
        <v>109</v>
      </c>
      <c r="D156" s="16">
        <v>61996</v>
      </c>
      <c r="E156" s="16">
        <v>1400</v>
      </c>
      <c r="F156" s="16" t="s">
        <v>6</v>
      </c>
    </row>
    <row r="157" spans="1:6" x14ac:dyDescent="0.35">
      <c r="A157" s="16" t="s">
        <v>176</v>
      </c>
      <c r="B157" s="16" t="s">
        <v>177</v>
      </c>
      <c r="C157" s="16" t="s">
        <v>110</v>
      </c>
      <c r="D157" s="16">
        <v>61653</v>
      </c>
      <c r="E157" s="16">
        <v>1404</v>
      </c>
      <c r="F157" s="16" t="s">
        <v>6</v>
      </c>
    </row>
    <row r="158" spans="1:6" x14ac:dyDescent="0.35">
      <c r="A158" s="16" t="s">
        <v>176</v>
      </c>
      <c r="B158" s="16" t="s">
        <v>177</v>
      </c>
      <c r="C158" s="16" t="s">
        <v>111</v>
      </c>
      <c r="D158" s="16">
        <v>62353</v>
      </c>
      <c r="E158" s="16">
        <v>1415</v>
      </c>
      <c r="F158" s="16" t="s">
        <v>6</v>
      </c>
    </row>
    <row r="159" spans="1:6" x14ac:dyDescent="0.35">
      <c r="A159" s="16" t="s">
        <v>176</v>
      </c>
      <c r="B159" s="16" t="s">
        <v>177</v>
      </c>
      <c r="C159" s="16" t="s">
        <v>112</v>
      </c>
      <c r="D159" s="16">
        <v>61586</v>
      </c>
      <c r="E159" s="16">
        <v>1372</v>
      </c>
      <c r="F159" s="16" t="s">
        <v>6</v>
      </c>
    </row>
    <row r="160" spans="1:6" x14ac:dyDescent="0.35">
      <c r="A160" s="16" t="s">
        <v>176</v>
      </c>
      <c r="B160" s="16" t="s">
        <v>177</v>
      </c>
      <c r="C160" s="16" t="s">
        <v>113</v>
      </c>
      <c r="D160" s="16">
        <v>62411</v>
      </c>
      <c r="E160" s="16">
        <v>1431</v>
      </c>
      <c r="F160" s="16" t="s">
        <v>6</v>
      </c>
    </row>
    <row r="161" spans="1:6" x14ac:dyDescent="0.35">
      <c r="A161" s="16" t="s">
        <v>176</v>
      </c>
      <c r="B161" s="16" t="s">
        <v>177</v>
      </c>
      <c r="C161" s="16" t="s">
        <v>114</v>
      </c>
      <c r="D161" s="16">
        <v>60328</v>
      </c>
      <c r="E161" s="16">
        <v>1345</v>
      </c>
      <c r="F161" s="16" t="s">
        <v>6</v>
      </c>
    </row>
    <row r="162" spans="1:6" x14ac:dyDescent="0.35">
      <c r="A162" s="16" t="s">
        <v>176</v>
      </c>
      <c r="B162" s="16" t="s">
        <v>177</v>
      </c>
      <c r="C162" s="16" t="s">
        <v>115</v>
      </c>
      <c r="D162" s="16">
        <v>60982</v>
      </c>
      <c r="E162" s="16">
        <v>1330</v>
      </c>
      <c r="F162" s="16" t="s">
        <v>6</v>
      </c>
    </row>
    <row r="163" spans="1:6" x14ac:dyDescent="0.35">
      <c r="A163" s="16" t="s">
        <v>176</v>
      </c>
      <c r="B163" s="16" t="s">
        <v>177</v>
      </c>
      <c r="C163" s="16" t="s">
        <v>116</v>
      </c>
      <c r="D163" s="16">
        <v>56715</v>
      </c>
      <c r="E163" s="16">
        <v>1237</v>
      </c>
      <c r="F163" s="16" t="s">
        <v>6</v>
      </c>
    </row>
    <row r="164" spans="1:6" x14ac:dyDescent="0.35">
      <c r="A164" s="16" t="s">
        <v>176</v>
      </c>
      <c r="B164" s="16" t="s">
        <v>177</v>
      </c>
      <c r="C164" s="16" t="s">
        <v>117</v>
      </c>
      <c r="D164" s="16">
        <v>55669</v>
      </c>
      <c r="E164" s="16">
        <v>1219</v>
      </c>
      <c r="F164" s="16" t="s">
        <v>6</v>
      </c>
    </row>
    <row r="165" spans="1:6" x14ac:dyDescent="0.35">
      <c r="A165" s="16" t="s">
        <v>176</v>
      </c>
      <c r="B165" s="16" t="s">
        <v>177</v>
      </c>
      <c r="C165" s="16" t="s">
        <v>118</v>
      </c>
      <c r="D165" s="16">
        <v>53718</v>
      </c>
      <c r="E165" s="16">
        <v>1163</v>
      </c>
      <c r="F165" s="16" t="s">
        <v>6</v>
      </c>
    </row>
    <row r="166" spans="1:6" x14ac:dyDescent="0.35">
      <c r="A166" s="16" t="s">
        <v>176</v>
      </c>
      <c r="B166" s="16" t="s">
        <v>177</v>
      </c>
      <c r="C166" s="16" t="s">
        <v>119</v>
      </c>
      <c r="D166" s="16">
        <v>54949</v>
      </c>
      <c r="E166" s="16">
        <v>1058</v>
      </c>
      <c r="F166" s="16" t="s">
        <v>6</v>
      </c>
    </row>
    <row r="167" spans="1:6" x14ac:dyDescent="0.35">
      <c r="A167" s="16" t="s">
        <v>176</v>
      </c>
      <c r="B167" s="16" t="s">
        <v>177</v>
      </c>
      <c r="C167" s="16" t="s">
        <v>120</v>
      </c>
      <c r="D167" s="16">
        <v>56443</v>
      </c>
      <c r="E167" s="16">
        <v>961</v>
      </c>
      <c r="F167" s="16" t="s">
        <v>6</v>
      </c>
    </row>
    <row r="168" spans="1:6" x14ac:dyDescent="0.35">
      <c r="A168" s="16" t="s">
        <v>176</v>
      </c>
      <c r="B168" s="16" t="s">
        <v>177</v>
      </c>
      <c r="C168" s="16" t="s">
        <v>121</v>
      </c>
      <c r="D168" s="16">
        <v>59739</v>
      </c>
      <c r="E168" s="16">
        <v>1042</v>
      </c>
      <c r="F168" s="16" t="s">
        <v>6</v>
      </c>
    </row>
    <row r="169" spans="1:6" x14ac:dyDescent="0.35">
      <c r="A169" s="16" t="s">
        <v>176</v>
      </c>
      <c r="B169" s="16" t="s">
        <v>177</v>
      </c>
      <c r="C169" s="16" t="s">
        <v>122</v>
      </c>
      <c r="D169" s="16">
        <v>59544</v>
      </c>
      <c r="E169" s="16">
        <v>1037</v>
      </c>
      <c r="F169" s="16" t="s">
        <v>6</v>
      </c>
    </row>
    <row r="170" spans="1:6" x14ac:dyDescent="0.35">
      <c r="A170" s="16" t="s">
        <v>176</v>
      </c>
      <c r="B170" s="16" t="s">
        <v>177</v>
      </c>
      <c r="C170" s="16" t="s">
        <v>123</v>
      </c>
      <c r="D170" s="16">
        <v>59810</v>
      </c>
      <c r="E170" s="16">
        <v>928</v>
      </c>
      <c r="F170" s="16" t="s">
        <v>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38ED-3D60-4C59-A4C4-0CB1906AA1D4}">
  <dimension ref="A1:F104"/>
  <sheetViews>
    <sheetView zoomScale="40" zoomScaleNormal="40" workbookViewId="0">
      <selection sqref="A1:F104"/>
    </sheetView>
  </sheetViews>
  <sheetFormatPr defaultRowHeight="14.5" x14ac:dyDescent="0.35"/>
  <cols>
    <col min="1" max="1" width="20.453125" style="19" customWidth="1"/>
    <col min="2" max="2" width="17.1796875" style="3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7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18" t="s">
        <v>247</v>
      </c>
      <c r="B2" s="2" t="s">
        <v>248</v>
      </c>
      <c r="C2" s="2">
        <v>1975</v>
      </c>
      <c r="D2" s="2">
        <v>597678</v>
      </c>
      <c r="E2" s="2">
        <v>5909</v>
      </c>
      <c r="F2" s="2" t="s">
        <v>6</v>
      </c>
    </row>
    <row r="3" spans="1:6" x14ac:dyDescent="0.35">
      <c r="A3" s="18" t="s">
        <v>247</v>
      </c>
      <c r="B3" s="2" t="s">
        <v>248</v>
      </c>
      <c r="C3" s="2">
        <v>1976</v>
      </c>
      <c r="D3" s="2">
        <v>578642</v>
      </c>
      <c r="E3" s="2">
        <v>5538</v>
      </c>
      <c r="F3" s="2" t="s">
        <v>6</v>
      </c>
    </row>
    <row r="4" spans="1:6" x14ac:dyDescent="0.35">
      <c r="A4" s="18" t="s">
        <v>247</v>
      </c>
      <c r="B4" s="2" t="s">
        <v>248</v>
      </c>
      <c r="C4" s="2">
        <v>1977</v>
      </c>
      <c r="D4" s="2">
        <v>563554</v>
      </c>
      <c r="E4" s="2">
        <v>5449</v>
      </c>
      <c r="F4" s="2" t="s">
        <v>6</v>
      </c>
    </row>
    <row r="5" spans="1:6" x14ac:dyDescent="0.35">
      <c r="A5" s="18" t="s">
        <v>247</v>
      </c>
      <c r="B5" s="2" t="s">
        <v>248</v>
      </c>
      <c r="C5" s="2">
        <v>1978</v>
      </c>
      <c r="D5" s="2">
        <v>589585</v>
      </c>
      <c r="E5" s="2">
        <v>5859</v>
      </c>
      <c r="F5" s="2" t="s">
        <v>6</v>
      </c>
    </row>
    <row r="6" spans="1:6" x14ac:dyDescent="0.35">
      <c r="A6" s="18" t="s">
        <v>247</v>
      </c>
      <c r="B6" s="2" t="s">
        <v>248</v>
      </c>
      <c r="C6" s="2">
        <v>1979</v>
      </c>
      <c r="D6" s="2">
        <v>630703</v>
      </c>
      <c r="E6" s="2">
        <v>6099</v>
      </c>
      <c r="F6" s="2" t="s">
        <v>6</v>
      </c>
    </row>
    <row r="7" spans="1:6" x14ac:dyDescent="0.35">
      <c r="A7" s="18" t="s">
        <v>247</v>
      </c>
      <c r="B7" s="2" t="s">
        <v>248</v>
      </c>
      <c r="C7" s="2">
        <v>1980</v>
      </c>
      <c r="D7" s="2">
        <v>648097</v>
      </c>
      <c r="E7" s="2">
        <v>6308</v>
      </c>
      <c r="F7" s="2" t="s">
        <v>6</v>
      </c>
    </row>
    <row r="8" spans="1:6" x14ac:dyDescent="0.35">
      <c r="A8" s="18" t="s">
        <v>247</v>
      </c>
      <c r="B8" s="2" t="s">
        <v>248</v>
      </c>
      <c r="C8" s="2">
        <v>1981</v>
      </c>
      <c r="D8" s="2" t="s">
        <v>6</v>
      </c>
      <c r="E8" s="2" t="s">
        <v>6</v>
      </c>
      <c r="F8" s="2" t="s">
        <v>6</v>
      </c>
    </row>
    <row r="9" spans="1:6" x14ac:dyDescent="0.35">
      <c r="A9" s="18" t="s">
        <v>247</v>
      </c>
      <c r="B9" s="2" t="s">
        <v>248</v>
      </c>
      <c r="C9" s="2">
        <v>1982</v>
      </c>
      <c r="D9" s="2">
        <v>617234</v>
      </c>
      <c r="E9" s="2">
        <v>6201</v>
      </c>
      <c r="F9" s="2" t="s">
        <v>6</v>
      </c>
    </row>
    <row r="10" spans="1:6" x14ac:dyDescent="0.35">
      <c r="A10" s="18" t="s">
        <v>247</v>
      </c>
      <c r="B10" s="2" t="s">
        <v>248</v>
      </c>
      <c r="C10" s="2">
        <v>1983</v>
      </c>
      <c r="D10" s="2">
        <v>619890</v>
      </c>
      <c r="E10" s="2">
        <v>6293</v>
      </c>
      <c r="F10" s="2" t="s">
        <v>6</v>
      </c>
    </row>
    <row r="11" spans="1:6" x14ac:dyDescent="0.35">
      <c r="A11" s="18" t="s">
        <v>247</v>
      </c>
      <c r="B11" s="2" t="s">
        <v>248</v>
      </c>
      <c r="C11" s="2">
        <v>1984</v>
      </c>
      <c r="D11" s="2">
        <v>627559</v>
      </c>
      <c r="E11" s="2">
        <v>6321</v>
      </c>
      <c r="F11" s="2" t="s">
        <v>6</v>
      </c>
    </row>
    <row r="12" spans="1:6" x14ac:dyDescent="0.35">
      <c r="A12" s="18" t="s">
        <v>247</v>
      </c>
      <c r="B12" s="2" t="s">
        <v>248</v>
      </c>
      <c r="C12" s="2">
        <v>1985</v>
      </c>
      <c r="D12" s="2">
        <v>646339</v>
      </c>
      <c r="E12" s="2">
        <v>6700</v>
      </c>
      <c r="F12" s="2" t="s">
        <v>6</v>
      </c>
    </row>
    <row r="13" spans="1:6" x14ac:dyDescent="0.35">
      <c r="A13" s="18" t="s">
        <v>247</v>
      </c>
      <c r="B13" s="2" t="s">
        <v>248</v>
      </c>
      <c r="C13" s="2">
        <v>1986</v>
      </c>
      <c r="D13" s="2">
        <v>650203</v>
      </c>
      <c r="E13" s="2">
        <v>6969</v>
      </c>
      <c r="F13" s="2" t="s">
        <v>6</v>
      </c>
    </row>
    <row r="14" spans="1:6" x14ac:dyDescent="0.35">
      <c r="A14" s="18" t="s">
        <v>247</v>
      </c>
      <c r="B14" s="2" t="s">
        <v>248</v>
      </c>
      <c r="C14" s="2">
        <v>1987</v>
      </c>
      <c r="D14" s="2">
        <v>670147</v>
      </c>
      <c r="E14" s="2">
        <v>7186</v>
      </c>
      <c r="F14" s="2" t="s">
        <v>6</v>
      </c>
    </row>
    <row r="15" spans="1:6" x14ac:dyDescent="0.35">
      <c r="A15" s="18" t="s">
        <v>247</v>
      </c>
      <c r="B15" s="2" t="s">
        <v>248</v>
      </c>
      <c r="C15" s="2">
        <v>1988</v>
      </c>
      <c r="D15" s="2">
        <v>681531</v>
      </c>
      <c r="E15" s="2">
        <v>7452</v>
      </c>
      <c r="F15" s="2" t="s">
        <v>6</v>
      </c>
    </row>
    <row r="16" spans="1:6" x14ac:dyDescent="0.35">
      <c r="A16" s="18" t="s">
        <v>247</v>
      </c>
      <c r="B16" s="2" t="s">
        <v>248</v>
      </c>
      <c r="C16" s="2">
        <v>1989</v>
      </c>
      <c r="D16" s="2">
        <v>675205</v>
      </c>
      <c r="E16" s="2">
        <v>7579</v>
      </c>
      <c r="F16" s="2" t="s">
        <v>6</v>
      </c>
    </row>
    <row r="17" spans="1:6" x14ac:dyDescent="0.35">
      <c r="A17" s="18" t="s">
        <v>247</v>
      </c>
      <c r="B17" s="2" t="s">
        <v>248</v>
      </c>
      <c r="C17" s="2">
        <v>1990</v>
      </c>
      <c r="D17" s="2">
        <v>692885</v>
      </c>
      <c r="E17" s="2">
        <v>7934</v>
      </c>
      <c r="F17" s="2" t="s">
        <v>6</v>
      </c>
    </row>
    <row r="18" spans="1:6" x14ac:dyDescent="0.35">
      <c r="A18" s="18" t="s">
        <v>247</v>
      </c>
      <c r="B18" s="2" t="s">
        <v>248</v>
      </c>
      <c r="C18" s="2">
        <v>1991</v>
      </c>
      <c r="D18" s="2">
        <v>685477</v>
      </c>
      <c r="E18" s="2">
        <v>8160</v>
      </c>
      <c r="F18" s="2" t="s">
        <v>6</v>
      </c>
    </row>
    <row r="19" spans="1:6" x14ac:dyDescent="0.35">
      <c r="A19" s="18" t="s">
        <v>247</v>
      </c>
      <c r="B19" s="2" t="s">
        <v>248</v>
      </c>
      <c r="C19" s="2">
        <v>1992</v>
      </c>
      <c r="D19" s="2">
        <v>675329</v>
      </c>
      <c r="E19" s="2">
        <v>8314</v>
      </c>
      <c r="F19" s="2" t="s">
        <v>6</v>
      </c>
    </row>
    <row r="20" spans="1:6" x14ac:dyDescent="0.35">
      <c r="A20" s="18" t="s">
        <v>247</v>
      </c>
      <c r="B20" s="2" t="s">
        <v>248</v>
      </c>
      <c r="C20" s="2">
        <v>1993</v>
      </c>
      <c r="D20" s="2">
        <v>659962</v>
      </c>
      <c r="E20" s="2">
        <v>8302</v>
      </c>
      <c r="F20" s="2" t="s">
        <v>6</v>
      </c>
    </row>
    <row r="21" spans="1:6" x14ac:dyDescent="0.35">
      <c r="A21" s="18" t="s">
        <v>247</v>
      </c>
      <c r="B21" s="2" t="s">
        <v>248</v>
      </c>
      <c r="C21" s="2">
        <v>1994</v>
      </c>
      <c r="D21" s="2">
        <v>650675</v>
      </c>
      <c r="E21" s="2">
        <v>8451</v>
      </c>
      <c r="F21" s="2" t="s">
        <v>6</v>
      </c>
    </row>
    <row r="22" spans="1:6" x14ac:dyDescent="0.35">
      <c r="A22" s="18" t="s">
        <v>247</v>
      </c>
      <c r="B22" s="2" t="s">
        <v>249</v>
      </c>
      <c r="C22" s="2">
        <v>1938</v>
      </c>
      <c r="D22" s="2" t="s">
        <v>6</v>
      </c>
      <c r="E22" s="2" t="s">
        <v>6</v>
      </c>
      <c r="F22" s="2" t="s">
        <v>6</v>
      </c>
    </row>
    <row r="23" spans="1:6" x14ac:dyDescent="0.35">
      <c r="A23" s="18" t="s">
        <v>247</v>
      </c>
      <c r="B23" s="2" t="s">
        <v>249</v>
      </c>
      <c r="C23" s="2">
        <v>1939</v>
      </c>
      <c r="D23" s="2" t="s">
        <v>6</v>
      </c>
      <c r="E23" s="2" t="s">
        <v>6</v>
      </c>
      <c r="F23" s="2" t="s">
        <v>6</v>
      </c>
    </row>
    <row r="24" spans="1:6" x14ac:dyDescent="0.35">
      <c r="A24" s="18" t="s">
        <v>247</v>
      </c>
      <c r="B24" s="2" t="s">
        <v>249</v>
      </c>
      <c r="C24" s="2">
        <v>1940</v>
      </c>
      <c r="D24" s="2" t="s">
        <v>6</v>
      </c>
      <c r="E24" s="2" t="s">
        <v>6</v>
      </c>
      <c r="F24" s="2" t="s">
        <v>6</v>
      </c>
    </row>
    <row r="25" spans="1:6" x14ac:dyDescent="0.35">
      <c r="A25" s="18" t="s">
        <v>247</v>
      </c>
      <c r="B25" s="2" t="s">
        <v>249</v>
      </c>
      <c r="C25" s="2">
        <v>1941</v>
      </c>
      <c r="D25" s="2" t="s">
        <v>6</v>
      </c>
      <c r="E25" s="2" t="s">
        <v>6</v>
      </c>
      <c r="F25" s="2" t="s">
        <v>6</v>
      </c>
    </row>
    <row r="26" spans="1:6" x14ac:dyDescent="0.35">
      <c r="A26" s="18" t="s">
        <v>247</v>
      </c>
      <c r="B26" s="2" t="s">
        <v>249</v>
      </c>
      <c r="C26" s="2">
        <v>1942</v>
      </c>
      <c r="D26" s="2" t="s">
        <v>6</v>
      </c>
      <c r="E26" s="2" t="s">
        <v>6</v>
      </c>
      <c r="F26" s="2" t="s">
        <v>6</v>
      </c>
    </row>
    <row r="27" spans="1:6" x14ac:dyDescent="0.35">
      <c r="A27" s="18" t="s">
        <v>247</v>
      </c>
      <c r="B27" s="2" t="s">
        <v>249</v>
      </c>
      <c r="C27" s="2">
        <v>1943</v>
      </c>
      <c r="D27" s="2" t="s">
        <v>6</v>
      </c>
      <c r="E27" s="2" t="s">
        <v>6</v>
      </c>
      <c r="F27" s="2" t="s">
        <v>6</v>
      </c>
    </row>
    <row r="28" spans="1:6" x14ac:dyDescent="0.35">
      <c r="A28" s="18" t="s">
        <v>247</v>
      </c>
      <c r="B28" s="2" t="s">
        <v>249</v>
      </c>
      <c r="C28" s="2">
        <v>1944</v>
      </c>
      <c r="D28" s="2" t="s">
        <v>6</v>
      </c>
      <c r="E28" s="2" t="s">
        <v>6</v>
      </c>
      <c r="F28" s="2" t="s">
        <v>6</v>
      </c>
    </row>
    <row r="29" spans="1:6" x14ac:dyDescent="0.35">
      <c r="A29" s="18" t="s">
        <v>247</v>
      </c>
      <c r="B29" s="2" t="s">
        <v>249</v>
      </c>
      <c r="C29" s="2">
        <v>1945</v>
      </c>
      <c r="D29" s="2" t="s">
        <v>6</v>
      </c>
      <c r="E29" s="2" t="s">
        <v>6</v>
      </c>
      <c r="F29" s="2" t="s">
        <v>6</v>
      </c>
    </row>
    <row r="30" spans="1:6" x14ac:dyDescent="0.35">
      <c r="A30" s="18" t="s">
        <v>247</v>
      </c>
      <c r="B30" s="2" t="s">
        <v>249</v>
      </c>
      <c r="C30" s="2">
        <v>1946</v>
      </c>
      <c r="D30" s="2" t="s">
        <v>6</v>
      </c>
      <c r="E30" s="2" t="s">
        <v>6</v>
      </c>
      <c r="F30" s="2" t="s">
        <v>6</v>
      </c>
    </row>
    <row r="31" spans="1:6" x14ac:dyDescent="0.35">
      <c r="A31" s="18" t="s">
        <v>247</v>
      </c>
      <c r="B31" s="2" t="s">
        <v>249</v>
      </c>
      <c r="C31" s="2">
        <v>1947</v>
      </c>
      <c r="D31" s="2" t="s">
        <v>6</v>
      </c>
      <c r="E31" s="2" t="s">
        <v>6</v>
      </c>
      <c r="F31" s="2" t="s">
        <v>6</v>
      </c>
    </row>
    <row r="32" spans="1:6" x14ac:dyDescent="0.35">
      <c r="A32" s="18" t="s">
        <v>247</v>
      </c>
      <c r="B32" s="2" t="s">
        <v>249</v>
      </c>
      <c r="C32" s="2">
        <v>1948</v>
      </c>
      <c r="D32" s="2" t="s">
        <v>6</v>
      </c>
      <c r="E32" s="2" t="s">
        <v>6</v>
      </c>
      <c r="F32" s="2" t="s">
        <v>6</v>
      </c>
    </row>
    <row r="33" spans="1:6" x14ac:dyDescent="0.35">
      <c r="A33" s="18" t="s">
        <v>247</v>
      </c>
      <c r="B33" s="2" t="s">
        <v>249</v>
      </c>
      <c r="C33" s="2">
        <v>1949</v>
      </c>
      <c r="D33" s="2" t="s">
        <v>6</v>
      </c>
      <c r="E33" s="2" t="s">
        <v>6</v>
      </c>
      <c r="F33" s="2" t="s">
        <v>6</v>
      </c>
    </row>
    <row r="34" spans="1:6" x14ac:dyDescent="0.35">
      <c r="A34" s="18" t="s">
        <v>247</v>
      </c>
      <c r="B34" s="2" t="s">
        <v>249</v>
      </c>
      <c r="C34" s="2">
        <v>1950</v>
      </c>
      <c r="D34" s="2" t="s">
        <v>6</v>
      </c>
      <c r="E34" s="2" t="s">
        <v>6</v>
      </c>
      <c r="F34" s="2" t="s">
        <v>6</v>
      </c>
    </row>
    <row r="35" spans="1:6" x14ac:dyDescent="0.35">
      <c r="A35" s="18" t="s">
        <v>247</v>
      </c>
      <c r="B35" s="2" t="s">
        <v>249</v>
      </c>
      <c r="C35" s="2">
        <v>1951</v>
      </c>
      <c r="D35" s="2" t="s">
        <v>6</v>
      </c>
      <c r="E35" s="2" t="s">
        <v>6</v>
      </c>
      <c r="F35" s="2" t="s">
        <v>6</v>
      </c>
    </row>
    <row r="36" spans="1:6" x14ac:dyDescent="0.35">
      <c r="A36" s="18" t="s">
        <v>247</v>
      </c>
      <c r="B36" s="2" t="s">
        <v>249</v>
      </c>
      <c r="C36" s="2">
        <v>1952</v>
      </c>
      <c r="D36" s="2" t="s">
        <v>6</v>
      </c>
      <c r="E36" s="2" t="s">
        <v>6</v>
      </c>
      <c r="F36" s="2" t="s">
        <v>6</v>
      </c>
    </row>
    <row r="37" spans="1:6" x14ac:dyDescent="0.35">
      <c r="A37" s="18" t="s">
        <v>247</v>
      </c>
      <c r="B37" s="2" t="s">
        <v>249</v>
      </c>
      <c r="C37" s="2">
        <v>1953</v>
      </c>
      <c r="D37" s="2" t="s">
        <v>6</v>
      </c>
      <c r="E37" s="2" t="s">
        <v>6</v>
      </c>
      <c r="F37" s="2" t="s">
        <v>6</v>
      </c>
    </row>
    <row r="38" spans="1:6" x14ac:dyDescent="0.35">
      <c r="A38" s="18" t="s">
        <v>247</v>
      </c>
      <c r="B38" s="2" t="s">
        <v>249</v>
      </c>
      <c r="C38" s="2">
        <v>1954</v>
      </c>
      <c r="D38" s="2" t="s">
        <v>6</v>
      </c>
      <c r="E38" s="2" t="s">
        <v>6</v>
      </c>
      <c r="F38" s="2" t="s">
        <v>6</v>
      </c>
    </row>
    <row r="39" spans="1:6" x14ac:dyDescent="0.35">
      <c r="A39" s="18" t="s">
        <v>247</v>
      </c>
      <c r="B39" s="2" t="s">
        <v>249</v>
      </c>
      <c r="C39" s="2">
        <v>1955</v>
      </c>
      <c r="D39" s="2" t="s">
        <v>6</v>
      </c>
      <c r="E39" s="2" t="s">
        <v>6</v>
      </c>
      <c r="F39" s="2" t="s">
        <v>6</v>
      </c>
    </row>
    <row r="40" spans="1:6" x14ac:dyDescent="0.35">
      <c r="A40" s="18" t="s">
        <v>247</v>
      </c>
      <c r="B40" s="2" t="s">
        <v>249</v>
      </c>
      <c r="C40" s="2">
        <v>1956</v>
      </c>
      <c r="D40" s="2" t="s">
        <v>6</v>
      </c>
      <c r="E40" s="2" t="s">
        <v>6</v>
      </c>
      <c r="F40" s="2" t="s">
        <v>6</v>
      </c>
    </row>
    <row r="41" spans="1:6" x14ac:dyDescent="0.35">
      <c r="A41" s="18" t="s">
        <v>247</v>
      </c>
      <c r="B41" s="2" t="s">
        <v>249</v>
      </c>
      <c r="C41" s="2">
        <v>1957</v>
      </c>
      <c r="D41" s="2" t="s">
        <v>6</v>
      </c>
      <c r="E41" s="2" t="s">
        <v>6</v>
      </c>
      <c r="F41" s="2" t="s">
        <v>6</v>
      </c>
    </row>
    <row r="42" spans="1:6" x14ac:dyDescent="0.35">
      <c r="A42" s="18" t="s">
        <v>247</v>
      </c>
      <c r="B42" s="2" t="s">
        <v>249</v>
      </c>
      <c r="C42" s="2">
        <v>1958</v>
      </c>
      <c r="D42" s="2" t="s">
        <v>6</v>
      </c>
      <c r="E42" s="2" t="s">
        <v>6</v>
      </c>
      <c r="F42" s="2" t="s">
        <v>6</v>
      </c>
    </row>
    <row r="43" spans="1:6" x14ac:dyDescent="0.35">
      <c r="A43" s="18" t="s">
        <v>247</v>
      </c>
      <c r="B43" s="2" t="s">
        <v>249</v>
      </c>
      <c r="C43" s="2">
        <v>1959</v>
      </c>
      <c r="D43" s="2" t="s">
        <v>6</v>
      </c>
      <c r="E43" s="2" t="s">
        <v>6</v>
      </c>
      <c r="F43" s="2" t="s">
        <v>6</v>
      </c>
    </row>
    <row r="44" spans="1:6" x14ac:dyDescent="0.35">
      <c r="A44" s="18" t="s">
        <v>247</v>
      </c>
      <c r="B44" s="2" t="s">
        <v>249</v>
      </c>
      <c r="C44" s="2">
        <v>1960</v>
      </c>
      <c r="D44" s="2" t="s">
        <v>6</v>
      </c>
      <c r="E44" s="2" t="s">
        <v>6</v>
      </c>
      <c r="F44" s="2" t="s">
        <v>6</v>
      </c>
    </row>
    <row r="45" spans="1:6" x14ac:dyDescent="0.35">
      <c r="A45" s="18" t="s">
        <v>247</v>
      </c>
      <c r="B45" s="2" t="s">
        <v>249</v>
      </c>
      <c r="C45" s="2">
        <v>1961</v>
      </c>
      <c r="D45" s="2" t="s">
        <v>6</v>
      </c>
      <c r="E45" s="2" t="s">
        <v>6</v>
      </c>
      <c r="F45" s="2" t="s">
        <v>6</v>
      </c>
    </row>
    <row r="46" spans="1:6" x14ac:dyDescent="0.35">
      <c r="A46" s="18" t="s">
        <v>247</v>
      </c>
      <c r="B46" s="2" t="s">
        <v>249</v>
      </c>
      <c r="C46" s="2">
        <v>1962</v>
      </c>
      <c r="D46" s="2" t="s">
        <v>6</v>
      </c>
      <c r="E46" s="2" t="s">
        <v>6</v>
      </c>
      <c r="F46" s="2" t="s">
        <v>6</v>
      </c>
    </row>
    <row r="47" spans="1:6" x14ac:dyDescent="0.35">
      <c r="A47" s="18" t="s">
        <v>247</v>
      </c>
      <c r="B47" s="2" t="s">
        <v>249</v>
      </c>
      <c r="C47" s="2">
        <v>1963</v>
      </c>
      <c r="D47" s="2" t="s">
        <v>6</v>
      </c>
      <c r="E47" s="2" t="s">
        <v>6</v>
      </c>
      <c r="F47" s="2" t="s">
        <v>6</v>
      </c>
    </row>
    <row r="48" spans="1:6" x14ac:dyDescent="0.35">
      <c r="A48" s="18" t="s">
        <v>247</v>
      </c>
      <c r="B48" s="2" t="s">
        <v>249</v>
      </c>
      <c r="C48" s="2">
        <v>1964</v>
      </c>
      <c r="D48" s="2" t="s">
        <v>6</v>
      </c>
      <c r="E48" s="2" t="s">
        <v>6</v>
      </c>
      <c r="F48" s="2" t="s">
        <v>6</v>
      </c>
    </row>
    <row r="49" spans="1:6" x14ac:dyDescent="0.35">
      <c r="A49" s="18" t="s">
        <v>247</v>
      </c>
      <c r="B49" s="2" t="s">
        <v>249</v>
      </c>
      <c r="C49" s="2">
        <v>1965</v>
      </c>
      <c r="D49" s="2" t="s">
        <v>6</v>
      </c>
      <c r="E49" s="2" t="s">
        <v>6</v>
      </c>
      <c r="F49" s="2" t="s">
        <v>6</v>
      </c>
    </row>
    <row r="50" spans="1:6" x14ac:dyDescent="0.35">
      <c r="A50" s="18" t="s">
        <v>247</v>
      </c>
      <c r="B50" s="2" t="s">
        <v>249</v>
      </c>
      <c r="C50" s="2">
        <v>1966</v>
      </c>
      <c r="D50" s="2" t="s">
        <v>6</v>
      </c>
      <c r="E50" s="2" t="s">
        <v>6</v>
      </c>
      <c r="F50" s="2" t="s">
        <v>6</v>
      </c>
    </row>
    <row r="51" spans="1:6" x14ac:dyDescent="0.35">
      <c r="A51" s="18" t="s">
        <v>247</v>
      </c>
      <c r="B51" s="2" t="s">
        <v>249</v>
      </c>
      <c r="C51" s="2">
        <v>1967</v>
      </c>
      <c r="D51" s="2" t="s">
        <v>6</v>
      </c>
      <c r="E51" s="2" t="s">
        <v>6</v>
      </c>
      <c r="F51" s="2" t="s">
        <v>6</v>
      </c>
    </row>
    <row r="52" spans="1:6" x14ac:dyDescent="0.35">
      <c r="A52" s="18" t="s">
        <v>247</v>
      </c>
      <c r="B52" s="2" t="s">
        <v>249</v>
      </c>
      <c r="C52" s="2">
        <v>1968</v>
      </c>
      <c r="D52" s="2" t="s">
        <v>6</v>
      </c>
      <c r="E52" s="2" t="s">
        <v>6</v>
      </c>
      <c r="F52" s="2" t="s">
        <v>6</v>
      </c>
    </row>
    <row r="53" spans="1:6" x14ac:dyDescent="0.35">
      <c r="A53" s="18" t="s">
        <v>247</v>
      </c>
      <c r="B53" s="2" t="s">
        <v>249</v>
      </c>
      <c r="C53" s="2">
        <v>1969</v>
      </c>
      <c r="D53" s="2" t="s">
        <v>6</v>
      </c>
      <c r="E53" s="2" t="s">
        <v>6</v>
      </c>
      <c r="F53" s="2" t="s">
        <v>6</v>
      </c>
    </row>
    <row r="54" spans="1:6" x14ac:dyDescent="0.35">
      <c r="A54" s="18" t="s">
        <v>247</v>
      </c>
      <c r="B54" s="2" t="s">
        <v>249</v>
      </c>
      <c r="C54" s="2">
        <v>1970</v>
      </c>
      <c r="D54" s="2" t="s">
        <v>6</v>
      </c>
      <c r="E54" s="2" t="s">
        <v>6</v>
      </c>
      <c r="F54" s="2" t="s">
        <v>6</v>
      </c>
    </row>
    <row r="55" spans="1:6" x14ac:dyDescent="0.35">
      <c r="A55" s="18" t="s">
        <v>247</v>
      </c>
      <c r="B55" s="2" t="s">
        <v>249</v>
      </c>
      <c r="C55" s="2">
        <v>1971</v>
      </c>
      <c r="D55" s="2" t="s">
        <v>6</v>
      </c>
      <c r="E55" s="2" t="s">
        <v>6</v>
      </c>
      <c r="F55" s="2" t="s">
        <v>6</v>
      </c>
    </row>
    <row r="56" spans="1:6" x14ac:dyDescent="0.35">
      <c r="A56" s="18" t="s">
        <v>247</v>
      </c>
      <c r="B56" s="2" t="s">
        <v>249</v>
      </c>
      <c r="C56" s="2">
        <v>1972</v>
      </c>
      <c r="D56" s="2" t="s">
        <v>6</v>
      </c>
      <c r="E56" s="2" t="s">
        <v>6</v>
      </c>
      <c r="F56" s="2" t="s">
        <v>6</v>
      </c>
    </row>
    <row r="57" spans="1:6" x14ac:dyDescent="0.35">
      <c r="A57" s="18" t="s">
        <v>247</v>
      </c>
      <c r="B57" s="2" t="s">
        <v>249</v>
      </c>
      <c r="C57" s="2">
        <v>1973</v>
      </c>
      <c r="D57" s="2" t="s">
        <v>6</v>
      </c>
      <c r="E57" s="2" t="s">
        <v>6</v>
      </c>
      <c r="F57" s="2" t="s">
        <v>6</v>
      </c>
    </row>
    <row r="58" spans="1:6" x14ac:dyDescent="0.35">
      <c r="A58" s="18" t="s">
        <v>247</v>
      </c>
      <c r="B58" s="2" t="s">
        <v>249</v>
      </c>
      <c r="C58" s="2">
        <v>1974</v>
      </c>
      <c r="D58" s="2" t="s">
        <v>6</v>
      </c>
      <c r="E58" s="2" t="s">
        <v>6</v>
      </c>
      <c r="F58" s="2" t="s">
        <v>6</v>
      </c>
    </row>
    <row r="59" spans="1:6" x14ac:dyDescent="0.35">
      <c r="A59" s="18" t="s">
        <v>247</v>
      </c>
      <c r="B59" s="2" t="s">
        <v>249</v>
      </c>
      <c r="C59" s="2">
        <v>1975</v>
      </c>
      <c r="D59" s="2" t="s">
        <v>6</v>
      </c>
      <c r="E59" s="2" t="s">
        <v>6</v>
      </c>
      <c r="F59" s="2" t="s">
        <v>6</v>
      </c>
    </row>
    <row r="60" spans="1:6" x14ac:dyDescent="0.35">
      <c r="A60" s="18" t="s">
        <v>247</v>
      </c>
      <c r="B60" s="2" t="s">
        <v>249</v>
      </c>
      <c r="C60" s="2">
        <v>1976</v>
      </c>
      <c r="D60" s="2" t="s">
        <v>6</v>
      </c>
      <c r="E60" s="2" t="s">
        <v>6</v>
      </c>
      <c r="F60" s="2" t="s">
        <v>6</v>
      </c>
    </row>
    <row r="61" spans="1:6" x14ac:dyDescent="0.35">
      <c r="A61" s="18" t="s">
        <v>247</v>
      </c>
      <c r="B61" s="2" t="s">
        <v>249</v>
      </c>
      <c r="C61" s="2">
        <v>1977</v>
      </c>
      <c r="D61" s="2" t="s">
        <v>6</v>
      </c>
      <c r="E61" s="2" t="s">
        <v>6</v>
      </c>
      <c r="F61" s="2" t="s">
        <v>6</v>
      </c>
    </row>
    <row r="62" spans="1:6" x14ac:dyDescent="0.35">
      <c r="A62" s="18" t="s">
        <v>247</v>
      </c>
      <c r="B62" s="2" t="s">
        <v>249</v>
      </c>
      <c r="C62" s="2">
        <v>1978</v>
      </c>
      <c r="D62" s="2" t="s">
        <v>6</v>
      </c>
      <c r="E62" s="2" t="s">
        <v>6</v>
      </c>
      <c r="F62" s="2" t="s">
        <v>6</v>
      </c>
    </row>
    <row r="63" spans="1:6" x14ac:dyDescent="0.35">
      <c r="A63" s="18" t="s">
        <v>247</v>
      </c>
      <c r="B63" s="2" t="s">
        <v>249</v>
      </c>
      <c r="C63" s="2">
        <v>1979</v>
      </c>
      <c r="D63" s="2" t="s">
        <v>6</v>
      </c>
      <c r="E63" s="2" t="s">
        <v>6</v>
      </c>
      <c r="F63" s="2" t="s">
        <v>6</v>
      </c>
    </row>
    <row r="64" spans="1:6" x14ac:dyDescent="0.35">
      <c r="A64" s="18" t="s">
        <v>247</v>
      </c>
      <c r="B64" s="2" t="s">
        <v>249</v>
      </c>
      <c r="C64" s="2">
        <v>1980</v>
      </c>
      <c r="D64" s="2" t="s">
        <v>6</v>
      </c>
      <c r="E64" s="2" t="s">
        <v>6</v>
      </c>
      <c r="F64" s="2" t="s">
        <v>6</v>
      </c>
    </row>
    <row r="65" spans="1:6" x14ac:dyDescent="0.35">
      <c r="A65" s="18" t="s">
        <v>247</v>
      </c>
      <c r="B65" s="2" t="s">
        <v>249</v>
      </c>
      <c r="C65" s="2">
        <v>1981</v>
      </c>
      <c r="D65" s="2" t="s">
        <v>6</v>
      </c>
      <c r="E65" s="2" t="s">
        <v>6</v>
      </c>
      <c r="F65" s="2" t="s">
        <v>6</v>
      </c>
    </row>
    <row r="66" spans="1:6" x14ac:dyDescent="0.35">
      <c r="A66" s="18" t="s">
        <v>247</v>
      </c>
      <c r="B66" s="2" t="s">
        <v>249</v>
      </c>
      <c r="C66" s="2">
        <v>1982</v>
      </c>
      <c r="D66" s="2" t="s">
        <v>6</v>
      </c>
      <c r="E66" s="2" t="s">
        <v>6</v>
      </c>
      <c r="F66" s="2" t="s">
        <v>6</v>
      </c>
    </row>
    <row r="67" spans="1:6" x14ac:dyDescent="0.35">
      <c r="A67" s="18" t="s">
        <v>247</v>
      </c>
      <c r="B67" s="2" t="s">
        <v>249</v>
      </c>
      <c r="C67" s="2">
        <v>1983</v>
      </c>
      <c r="D67" s="2" t="s">
        <v>6</v>
      </c>
      <c r="E67" s="2" t="s">
        <v>6</v>
      </c>
      <c r="F67" s="2" t="s">
        <v>6</v>
      </c>
    </row>
    <row r="68" spans="1:6" x14ac:dyDescent="0.35">
      <c r="A68" s="18" t="s">
        <v>247</v>
      </c>
      <c r="B68" s="2" t="s">
        <v>249</v>
      </c>
      <c r="C68" s="2">
        <v>1984</v>
      </c>
      <c r="D68" s="2" t="s">
        <v>6</v>
      </c>
      <c r="E68" s="2" t="s">
        <v>6</v>
      </c>
      <c r="F68" s="2" t="s">
        <v>6</v>
      </c>
    </row>
    <row r="69" spans="1:6" x14ac:dyDescent="0.35">
      <c r="A69" s="18" t="s">
        <v>247</v>
      </c>
      <c r="B69" s="2" t="s">
        <v>249</v>
      </c>
      <c r="C69" s="2">
        <v>1985</v>
      </c>
      <c r="D69" s="2" t="s">
        <v>6</v>
      </c>
      <c r="E69" s="2" t="s">
        <v>6</v>
      </c>
      <c r="F69" s="2" t="s">
        <v>6</v>
      </c>
    </row>
    <row r="70" spans="1:6" x14ac:dyDescent="0.35">
      <c r="A70" s="18" t="s">
        <v>247</v>
      </c>
      <c r="B70" s="2" t="s">
        <v>249</v>
      </c>
      <c r="C70" s="2">
        <v>1986</v>
      </c>
      <c r="D70" s="2" t="s">
        <v>6</v>
      </c>
      <c r="E70" s="2" t="s">
        <v>6</v>
      </c>
      <c r="F70" s="2" t="s">
        <v>6</v>
      </c>
    </row>
    <row r="71" spans="1:6" x14ac:dyDescent="0.35">
      <c r="A71" s="18" t="s">
        <v>247</v>
      </c>
      <c r="B71" s="2" t="s">
        <v>249</v>
      </c>
      <c r="C71" s="2">
        <v>1987</v>
      </c>
      <c r="D71" s="2" t="s">
        <v>6</v>
      </c>
      <c r="E71" s="2" t="s">
        <v>6</v>
      </c>
      <c r="F71" s="2" t="s">
        <v>6</v>
      </c>
    </row>
    <row r="72" spans="1:6" x14ac:dyDescent="0.35">
      <c r="A72" s="18" t="s">
        <v>247</v>
      </c>
      <c r="B72" s="2" t="s">
        <v>249</v>
      </c>
      <c r="C72" s="2">
        <v>1988</v>
      </c>
      <c r="D72" s="2" t="s">
        <v>6</v>
      </c>
      <c r="E72" s="2" t="s">
        <v>6</v>
      </c>
      <c r="F72" s="2" t="s">
        <v>6</v>
      </c>
    </row>
    <row r="73" spans="1:6" x14ac:dyDescent="0.35">
      <c r="A73" s="18" t="s">
        <v>247</v>
      </c>
      <c r="B73" s="2" t="s">
        <v>249</v>
      </c>
      <c r="C73" s="2">
        <v>1989</v>
      </c>
      <c r="D73" s="2" t="s">
        <v>6</v>
      </c>
      <c r="E73" s="2" t="s">
        <v>6</v>
      </c>
      <c r="F73" s="2" t="s">
        <v>6</v>
      </c>
    </row>
    <row r="74" spans="1:6" x14ac:dyDescent="0.35">
      <c r="A74" s="18" t="s">
        <v>247</v>
      </c>
      <c r="B74" s="2" t="s">
        <v>249</v>
      </c>
      <c r="C74" s="2">
        <v>1990</v>
      </c>
      <c r="D74" s="2" t="s">
        <v>6</v>
      </c>
      <c r="E74" s="2" t="s">
        <v>6</v>
      </c>
      <c r="F74" s="2" t="s">
        <v>6</v>
      </c>
    </row>
    <row r="75" spans="1:6" x14ac:dyDescent="0.35">
      <c r="A75" s="18" t="s">
        <v>247</v>
      </c>
      <c r="B75" s="2" t="s">
        <v>249</v>
      </c>
      <c r="C75" s="2">
        <v>1991</v>
      </c>
      <c r="D75" s="2" t="s">
        <v>6</v>
      </c>
      <c r="E75" s="2" t="s">
        <v>6</v>
      </c>
      <c r="F75" s="2" t="s">
        <v>6</v>
      </c>
    </row>
    <row r="76" spans="1:6" x14ac:dyDescent="0.35">
      <c r="A76" s="18" t="s">
        <v>247</v>
      </c>
      <c r="B76" s="2" t="s">
        <v>249</v>
      </c>
      <c r="C76" s="2">
        <v>1992</v>
      </c>
      <c r="D76" s="2" t="s">
        <v>6</v>
      </c>
      <c r="E76" s="2" t="s">
        <v>6</v>
      </c>
      <c r="F76" s="2" t="s">
        <v>6</v>
      </c>
    </row>
    <row r="77" spans="1:6" x14ac:dyDescent="0.35">
      <c r="A77" s="18" t="s">
        <v>247</v>
      </c>
      <c r="B77" s="2" t="s">
        <v>249</v>
      </c>
      <c r="C77" s="2">
        <v>1993</v>
      </c>
      <c r="D77" s="2" t="s">
        <v>6</v>
      </c>
      <c r="E77" s="2" t="s">
        <v>6</v>
      </c>
      <c r="F77" s="2" t="s">
        <v>6</v>
      </c>
    </row>
    <row r="78" spans="1:6" x14ac:dyDescent="0.35">
      <c r="A78" s="18" t="s">
        <v>247</v>
      </c>
      <c r="B78" s="2" t="s">
        <v>249</v>
      </c>
      <c r="C78" s="2">
        <v>1994</v>
      </c>
      <c r="D78" s="2" t="s">
        <v>6</v>
      </c>
      <c r="E78" s="2" t="s">
        <v>6</v>
      </c>
      <c r="F78" s="2" t="s">
        <v>6</v>
      </c>
    </row>
    <row r="79" spans="1:6" x14ac:dyDescent="0.35">
      <c r="A79" s="18" t="s">
        <v>247</v>
      </c>
      <c r="B79" s="2" t="s">
        <v>249</v>
      </c>
      <c r="C79" s="2">
        <v>1995</v>
      </c>
      <c r="D79" s="2" t="s">
        <v>6</v>
      </c>
      <c r="E79" s="2" t="s">
        <v>6</v>
      </c>
      <c r="F79" s="2" t="s">
        <v>6</v>
      </c>
    </row>
    <row r="80" spans="1:6" x14ac:dyDescent="0.35">
      <c r="A80" s="18" t="s">
        <v>247</v>
      </c>
      <c r="B80" s="2" t="s">
        <v>249</v>
      </c>
      <c r="C80" s="2">
        <v>1996</v>
      </c>
      <c r="D80" s="2" t="s">
        <v>6</v>
      </c>
      <c r="E80" s="2" t="s">
        <v>6</v>
      </c>
      <c r="F80" s="2" t="s">
        <v>6</v>
      </c>
    </row>
    <row r="81" spans="1:6" x14ac:dyDescent="0.35">
      <c r="A81" s="18" t="s">
        <v>247</v>
      </c>
      <c r="B81" s="2" t="s">
        <v>249</v>
      </c>
      <c r="C81" s="2">
        <v>1997</v>
      </c>
      <c r="D81" s="2" t="s">
        <v>6</v>
      </c>
      <c r="E81" s="2" t="s">
        <v>6</v>
      </c>
      <c r="F81" s="2" t="s">
        <v>6</v>
      </c>
    </row>
    <row r="82" spans="1:6" x14ac:dyDescent="0.35">
      <c r="A82" s="18" t="s">
        <v>247</v>
      </c>
      <c r="B82" s="2" t="s">
        <v>249</v>
      </c>
      <c r="C82" s="2">
        <v>1998</v>
      </c>
      <c r="D82" s="2">
        <v>620846</v>
      </c>
      <c r="E82" s="2">
        <v>8776</v>
      </c>
      <c r="F82" s="2" t="s">
        <v>6</v>
      </c>
    </row>
    <row r="83" spans="1:6" x14ac:dyDescent="0.35">
      <c r="A83" s="18" t="s">
        <v>247</v>
      </c>
      <c r="B83" s="2" t="s">
        <v>249</v>
      </c>
      <c r="C83" s="2">
        <v>1999</v>
      </c>
      <c r="D83" s="2">
        <v>607087</v>
      </c>
      <c r="E83" s="2">
        <v>8636</v>
      </c>
      <c r="F83" s="2" t="s">
        <v>6</v>
      </c>
    </row>
    <row r="84" spans="1:6" x14ac:dyDescent="0.35">
      <c r="A84" s="18" t="s">
        <v>247</v>
      </c>
      <c r="B84" s="2" t="s">
        <v>249</v>
      </c>
      <c r="C84" s="2">
        <v>2000</v>
      </c>
      <c r="D84" s="2">
        <v>589788</v>
      </c>
      <c r="E84" s="2">
        <v>8526</v>
      </c>
      <c r="F84" s="2" t="s">
        <v>6</v>
      </c>
    </row>
    <row r="85" spans="1:6" x14ac:dyDescent="0.35">
      <c r="A85" s="18" t="s">
        <v>247</v>
      </c>
      <c r="B85" s="2" t="s">
        <v>249</v>
      </c>
      <c r="C85" s="2">
        <v>2001</v>
      </c>
      <c r="D85" s="2">
        <v>580168</v>
      </c>
      <c r="E85" s="2">
        <v>8484</v>
      </c>
      <c r="F85" s="2" t="s">
        <v>6</v>
      </c>
    </row>
    <row r="86" spans="1:6" x14ac:dyDescent="0.35">
      <c r="A86" s="18" t="s">
        <v>247</v>
      </c>
      <c r="B86" s="2" t="s">
        <v>249</v>
      </c>
      <c r="C86" s="2">
        <v>2002</v>
      </c>
      <c r="D86" s="2">
        <v>581592</v>
      </c>
      <c r="E86" s="2">
        <v>8685</v>
      </c>
      <c r="F86" s="2" t="s">
        <v>6</v>
      </c>
    </row>
    <row r="87" spans="1:6" x14ac:dyDescent="0.35">
      <c r="A87" s="18" t="s">
        <v>247</v>
      </c>
      <c r="B87" s="2" t="s">
        <v>249</v>
      </c>
      <c r="C87" s="2">
        <v>2003</v>
      </c>
      <c r="D87" s="2">
        <v>606656</v>
      </c>
      <c r="E87" s="2">
        <v>9001</v>
      </c>
      <c r="F87" s="2" t="s">
        <v>6</v>
      </c>
    </row>
    <row r="88" spans="1:6" x14ac:dyDescent="0.35">
      <c r="A88" s="18" t="s">
        <v>247</v>
      </c>
      <c r="B88" s="2" t="s">
        <v>249</v>
      </c>
      <c r="C88" s="2">
        <v>2004</v>
      </c>
      <c r="D88" s="2">
        <v>624207</v>
      </c>
      <c r="E88" s="2">
        <v>9368</v>
      </c>
      <c r="F88" s="2" t="s">
        <v>6</v>
      </c>
    </row>
    <row r="89" spans="1:6" x14ac:dyDescent="0.35">
      <c r="A89" s="18" t="s">
        <v>247</v>
      </c>
      <c r="B89" s="2" t="s">
        <v>249</v>
      </c>
      <c r="C89" s="2">
        <v>2005</v>
      </c>
      <c r="D89" s="2">
        <v>630084</v>
      </c>
      <c r="E89" s="2">
        <v>9396</v>
      </c>
      <c r="F89" s="2" t="s">
        <v>6</v>
      </c>
    </row>
    <row r="90" spans="1:6" x14ac:dyDescent="0.35">
      <c r="A90" s="18" t="s">
        <v>247</v>
      </c>
      <c r="B90" s="2" t="s">
        <v>249</v>
      </c>
      <c r="C90" s="2">
        <v>2006</v>
      </c>
      <c r="D90" s="2">
        <v>652778</v>
      </c>
      <c r="E90" s="2">
        <v>9992</v>
      </c>
      <c r="F90" s="2" t="s">
        <v>6</v>
      </c>
    </row>
    <row r="91" spans="1:6" x14ac:dyDescent="0.35">
      <c r="A91" s="18" t="s">
        <v>247</v>
      </c>
      <c r="B91" s="2" t="s">
        <v>249</v>
      </c>
      <c r="C91" s="2">
        <v>2007</v>
      </c>
      <c r="D91" s="2">
        <v>672528</v>
      </c>
      <c r="E91" s="2">
        <v>10334</v>
      </c>
      <c r="F91" s="2" t="s">
        <v>6</v>
      </c>
    </row>
    <row r="92" spans="1:6" x14ac:dyDescent="0.35">
      <c r="A92" s="18" t="s">
        <v>247</v>
      </c>
      <c r="B92" s="2" t="s">
        <v>249</v>
      </c>
      <c r="C92" s="2">
        <v>2008</v>
      </c>
      <c r="D92" s="2">
        <v>690442</v>
      </c>
      <c r="E92" s="2">
        <v>10680</v>
      </c>
      <c r="F92" s="2" t="s">
        <v>6</v>
      </c>
    </row>
    <row r="93" spans="1:6" x14ac:dyDescent="0.35">
      <c r="A93" s="18" t="s">
        <v>247</v>
      </c>
      <c r="B93" s="2" t="s">
        <v>249</v>
      </c>
      <c r="C93" s="2">
        <v>2009</v>
      </c>
      <c r="D93" s="2">
        <v>686870</v>
      </c>
      <c r="E93" s="2">
        <v>11301</v>
      </c>
      <c r="F93" s="2" t="s">
        <v>6</v>
      </c>
    </row>
    <row r="94" spans="1:6" x14ac:dyDescent="0.35">
      <c r="A94" s="18" t="s">
        <v>247</v>
      </c>
      <c r="B94" s="2" t="s">
        <v>249</v>
      </c>
      <c r="C94" s="2">
        <v>2010</v>
      </c>
      <c r="D94" s="2">
        <v>704239</v>
      </c>
      <c r="E94" s="2">
        <v>11053</v>
      </c>
      <c r="F94" s="2" t="s">
        <v>6</v>
      </c>
    </row>
    <row r="95" spans="1:6" x14ac:dyDescent="0.35">
      <c r="A95" s="18" t="s">
        <v>247</v>
      </c>
      <c r="B95" s="2" t="s">
        <v>249</v>
      </c>
      <c r="C95" s="2">
        <v>2011</v>
      </c>
      <c r="D95" s="2">
        <v>704535</v>
      </c>
      <c r="E95" s="2">
        <v>11330</v>
      </c>
      <c r="F95" s="2" t="s">
        <v>6</v>
      </c>
    </row>
    <row r="96" spans="1:6" x14ac:dyDescent="0.35">
      <c r="A96" s="18" t="s">
        <v>247</v>
      </c>
      <c r="B96" s="2" t="s">
        <v>249</v>
      </c>
      <c r="C96" s="2">
        <v>2012</v>
      </c>
      <c r="D96" s="2">
        <v>710133</v>
      </c>
      <c r="E96" s="2">
        <v>11228</v>
      </c>
      <c r="F96" s="2" t="s">
        <v>6</v>
      </c>
    </row>
    <row r="97" spans="1:6" x14ac:dyDescent="0.35">
      <c r="A97" s="18" t="s">
        <v>247</v>
      </c>
      <c r="B97" s="2" t="s">
        <v>249</v>
      </c>
      <c r="C97" s="2">
        <v>2013</v>
      </c>
      <c r="D97" s="2">
        <v>680037</v>
      </c>
      <c r="E97" s="2">
        <v>10593</v>
      </c>
      <c r="F97" s="2" t="s">
        <v>6</v>
      </c>
    </row>
    <row r="98" spans="1:6" x14ac:dyDescent="0.35">
      <c r="A98" s="18" t="s">
        <v>247</v>
      </c>
      <c r="B98" s="2" t="s">
        <v>249</v>
      </c>
      <c r="C98" s="2">
        <v>2014</v>
      </c>
      <c r="D98" s="2">
        <v>676357</v>
      </c>
      <c r="E98" s="2">
        <v>10839</v>
      </c>
      <c r="F98" s="2" t="s">
        <v>6</v>
      </c>
    </row>
    <row r="99" spans="1:6" x14ac:dyDescent="0.35">
      <c r="A99" s="18" t="s">
        <v>247</v>
      </c>
      <c r="B99" s="2" t="s">
        <v>249</v>
      </c>
      <c r="C99" s="2">
        <v>2015</v>
      </c>
      <c r="D99" s="2">
        <v>678678</v>
      </c>
      <c r="E99" s="2">
        <v>10901</v>
      </c>
      <c r="F99" s="2" t="s">
        <v>6</v>
      </c>
    </row>
    <row r="100" spans="1:6" x14ac:dyDescent="0.35">
      <c r="A100" s="18" t="s">
        <v>247</v>
      </c>
      <c r="B100" s="2" t="s">
        <v>249</v>
      </c>
      <c r="C100" s="2">
        <v>2016</v>
      </c>
      <c r="D100" s="2">
        <v>677311</v>
      </c>
      <c r="E100" s="2">
        <v>10786</v>
      </c>
      <c r="F100" s="2" t="s">
        <v>6</v>
      </c>
    </row>
    <row r="101" spans="1:6" x14ac:dyDescent="0.35">
      <c r="A101" s="18" t="s">
        <v>247</v>
      </c>
      <c r="B101" s="2" t="s">
        <v>249</v>
      </c>
      <c r="C101" s="2">
        <v>2017</v>
      </c>
      <c r="D101" s="2">
        <v>660573</v>
      </c>
      <c r="E101" s="2">
        <v>10462</v>
      </c>
      <c r="F101" s="2" t="s">
        <v>6</v>
      </c>
    </row>
    <row r="102" spans="1:6" x14ac:dyDescent="0.35">
      <c r="A102" s="18" t="s">
        <v>247</v>
      </c>
      <c r="B102" s="2" t="s">
        <v>249</v>
      </c>
      <c r="C102" s="2">
        <v>2018</v>
      </c>
      <c r="D102" s="2">
        <v>639619</v>
      </c>
      <c r="E102" s="2">
        <v>9873</v>
      </c>
      <c r="F102" s="2" t="s">
        <v>6</v>
      </c>
    </row>
    <row r="103" spans="1:6" x14ac:dyDescent="0.35">
      <c r="A103" s="18" t="s">
        <v>247</v>
      </c>
      <c r="B103" s="2" t="s">
        <v>249</v>
      </c>
      <c r="C103" s="2">
        <v>2019</v>
      </c>
      <c r="D103" s="2">
        <v>623430</v>
      </c>
      <c r="E103" s="2">
        <v>9513</v>
      </c>
      <c r="F103" s="2" t="s">
        <v>6</v>
      </c>
    </row>
    <row r="104" spans="1:6" x14ac:dyDescent="0.35">
      <c r="A104" s="18" t="s">
        <v>247</v>
      </c>
      <c r="B104" s="2" t="s">
        <v>249</v>
      </c>
      <c r="C104" s="2">
        <v>2020</v>
      </c>
      <c r="D104" s="2">
        <v>598743</v>
      </c>
      <c r="E104" s="2">
        <v>8614</v>
      </c>
      <c r="F104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17CF-B761-4C52-882F-14289A5E5ADA}">
  <dimension ref="A1:F130"/>
  <sheetViews>
    <sheetView topLeftCell="A3" zoomScale="55" zoomScaleNormal="55" workbookViewId="0">
      <selection sqref="A1:F130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7265625" style="3" customWidth="1"/>
    <col min="5" max="5" width="17.54296875" style="3" customWidth="1"/>
    <col min="6" max="6" width="15.90625" style="3" customWidth="1"/>
  </cols>
  <sheetData>
    <row r="1" spans="1:6" ht="26.5" x14ac:dyDescent="0.35">
      <c r="A1" s="15" t="s">
        <v>0</v>
      </c>
      <c r="B1" s="15" t="s">
        <v>1</v>
      </c>
      <c r="C1" s="15" t="s">
        <v>2</v>
      </c>
      <c r="D1" s="15" t="s">
        <v>9</v>
      </c>
      <c r="E1" s="15" t="s">
        <v>7</v>
      </c>
      <c r="F1" s="15" t="s">
        <v>8</v>
      </c>
    </row>
    <row r="2" spans="1:6" x14ac:dyDescent="0.35">
      <c r="A2" s="16" t="s">
        <v>250</v>
      </c>
      <c r="B2" s="16" t="s">
        <v>20</v>
      </c>
      <c r="C2" s="16" t="s">
        <v>191</v>
      </c>
      <c r="D2" s="16">
        <v>595281</v>
      </c>
      <c r="E2" s="16">
        <v>5611</v>
      </c>
      <c r="F2" s="16" t="s">
        <v>6</v>
      </c>
    </row>
    <row r="3" spans="1:6" x14ac:dyDescent="0.35">
      <c r="A3" s="16" t="s">
        <v>250</v>
      </c>
      <c r="B3" s="16" t="s">
        <v>20</v>
      </c>
      <c r="C3" s="16" t="s">
        <v>192</v>
      </c>
      <c r="D3" s="16">
        <v>617746</v>
      </c>
      <c r="E3" s="16">
        <v>5699</v>
      </c>
      <c r="F3" s="16" t="s">
        <v>6</v>
      </c>
    </row>
    <row r="4" spans="1:6" x14ac:dyDescent="0.35">
      <c r="A4" s="16" t="s">
        <v>250</v>
      </c>
      <c r="B4" s="16" t="s">
        <v>20</v>
      </c>
      <c r="C4" s="16" t="s">
        <v>193</v>
      </c>
      <c r="D4" s="16">
        <v>610858</v>
      </c>
      <c r="E4" s="16">
        <v>5434</v>
      </c>
      <c r="F4" s="16" t="s">
        <v>6</v>
      </c>
    </row>
    <row r="5" spans="1:6" x14ac:dyDescent="0.35">
      <c r="A5" s="16" t="s">
        <v>250</v>
      </c>
      <c r="B5" s="16" t="s">
        <v>20</v>
      </c>
      <c r="C5" s="16" t="s">
        <v>194</v>
      </c>
      <c r="D5" s="16">
        <v>608525</v>
      </c>
      <c r="E5" s="16">
        <v>5048</v>
      </c>
      <c r="F5" s="16" t="s">
        <v>6</v>
      </c>
    </row>
    <row r="6" spans="1:6" x14ac:dyDescent="0.35">
      <c r="A6" s="16" t="s">
        <v>250</v>
      </c>
      <c r="B6" s="16" t="s">
        <v>20</v>
      </c>
      <c r="C6" s="16" t="s">
        <v>195</v>
      </c>
      <c r="D6" s="16">
        <v>613155</v>
      </c>
      <c r="E6" s="16">
        <v>5432</v>
      </c>
      <c r="F6" s="16" t="s">
        <v>6</v>
      </c>
    </row>
    <row r="7" spans="1:6" x14ac:dyDescent="0.35">
      <c r="A7" s="16" t="s">
        <v>250</v>
      </c>
      <c r="B7" s="16" t="s">
        <v>20</v>
      </c>
      <c r="C7" s="16" t="s">
        <v>196</v>
      </c>
      <c r="D7" s="16">
        <v>570002</v>
      </c>
      <c r="E7" s="16">
        <v>4656</v>
      </c>
      <c r="F7" s="16" t="s">
        <v>6</v>
      </c>
    </row>
    <row r="8" spans="1:6" x14ac:dyDescent="0.35">
      <c r="A8" s="16" t="s">
        <v>250</v>
      </c>
      <c r="B8" s="16" t="s">
        <v>20</v>
      </c>
      <c r="C8" s="16" t="s">
        <v>197</v>
      </c>
      <c r="D8" s="16">
        <v>591962</v>
      </c>
      <c r="E8" s="16">
        <v>5032</v>
      </c>
      <c r="F8" s="16" t="s">
        <v>6</v>
      </c>
    </row>
    <row r="9" spans="1:6" x14ac:dyDescent="0.35">
      <c r="A9" s="16" t="s">
        <v>250</v>
      </c>
      <c r="B9" s="16" t="s">
        <v>20</v>
      </c>
      <c r="C9" s="16" t="s">
        <v>198</v>
      </c>
      <c r="D9" s="16">
        <v>589078</v>
      </c>
      <c r="E9" s="16">
        <v>4507</v>
      </c>
      <c r="F9" s="16" t="s">
        <v>6</v>
      </c>
    </row>
    <row r="10" spans="1:6" x14ac:dyDescent="0.35">
      <c r="A10" s="16" t="s">
        <v>250</v>
      </c>
      <c r="B10" s="16" t="s">
        <v>20</v>
      </c>
      <c r="C10" s="16" t="s">
        <v>228</v>
      </c>
      <c r="D10" s="16">
        <v>616941</v>
      </c>
      <c r="E10" s="16">
        <v>5427</v>
      </c>
      <c r="F10" s="16" t="s">
        <v>6</v>
      </c>
    </row>
    <row r="11" spans="1:6" x14ac:dyDescent="0.35">
      <c r="A11" s="16" t="s">
        <v>250</v>
      </c>
      <c r="B11" s="16" t="s">
        <v>20</v>
      </c>
      <c r="C11" s="16" t="s">
        <v>229</v>
      </c>
      <c r="D11" s="16">
        <v>654739</v>
      </c>
      <c r="E11" s="16">
        <v>5676</v>
      </c>
      <c r="F11" s="16" t="s">
        <v>6</v>
      </c>
    </row>
    <row r="12" spans="1:6" x14ac:dyDescent="0.35">
      <c r="A12" s="16" t="s">
        <v>250</v>
      </c>
      <c r="B12" s="16" t="s">
        <v>20</v>
      </c>
      <c r="C12" s="16" t="s">
        <v>230</v>
      </c>
      <c r="D12" s="16">
        <v>671604</v>
      </c>
      <c r="E12" s="16">
        <v>5675</v>
      </c>
      <c r="F12" s="16" t="s">
        <v>6</v>
      </c>
    </row>
    <row r="13" spans="1:6" x14ac:dyDescent="0.35">
      <c r="A13" s="16" t="s">
        <v>250</v>
      </c>
      <c r="B13" s="16" t="s">
        <v>20</v>
      </c>
      <c r="C13" s="16" t="s">
        <v>231</v>
      </c>
      <c r="D13" s="16">
        <v>691435</v>
      </c>
      <c r="E13" s="16">
        <v>5970</v>
      </c>
      <c r="F13" s="16" t="s">
        <v>6</v>
      </c>
    </row>
    <row r="14" spans="1:6" x14ac:dyDescent="0.35">
      <c r="A14" s="16" t="s">
        <v>250</v>
      </c>
      <c r="B14" s="16" t="s">
        <v>20</v>
      </c>
      <c r="C14" s="16" t="s">
        <v>232</v>
      </c>
      <c r="D14" s="16">
        <v>655873</v>
      </c>
      <c r="E14" s="16">
        <v>5543</v>
      </c>
      <c r="F14" s="16" t="s">
        <v>6</v>
      </c>
    </row>
    <row r="15" spans="1:6" x14ac:dyDescent="0.35">
      <c r="A15" s="16" t="s">
        <v>250</v>
      </c>
      <c r="B15" s="16" t="s">
        <v>20</v>
      </c>
      <c r="C15" s="16" t="s">
        <v>233</v>
      </c>
      <c r="D15" s="16">
        <v>676522</v>
      </c>
      <c r="E15" s="16">
        <v>5672</v>
      </c>
      <c r="F15" s="16" t="s">
        <v>6</v>
      </c>
    </row>
    <row r="16" spans="1:6" x14ac:dyDescent="0.35">
      <c r="A16" s="16" t="s">
        <v>250</v>
      </c>
      <c r="B16" s="16" t="s">
        <v>20</v>
      </c>
      <c r="C16" s="16" t="s">
        <v>234</v>
      </c>
      <c r="D16" s="16">
        <v>655814</v>
      </c>
      <c r="E16" s="16">
        <v>5441</v>
      </c>
      <c r="F16" s="16" t="s">
        <v>6</v>
      </c>
    </row>
    <row r="17" spans="1:6" x14ac:dyDescent="0.35">
      <c r="A17" s="16" t="s">
        <v>250</v>
      </c>
      <c r="B17" s="16" t="s">
        <v>20</v>
      </c>
      <c r="C17" s="16" t="s">
        <v>235</v>
      </c>
      <c r="D17" s="16">
        <v>650982</v>
      </c>
      <c r="E17" s="16">
        <v>5417</v>
      </c>
      <c r="F17" s="16" t="s">
        <v>6</v>
      </c>
    </row>
    <row r="18" spans="1:6" x14ac:dyDescent="0.35">
      <c r="A18" s="16" t="s">
        <v>250</v>
      </c>
      <c r="B18" s="16" t="s">
        <v>20</v>
      </c>
      <c r="C18" s="16" t="s">
        <v>236</v>
      </c>
      <c r="D18" s="16">
        <v>663289</v>
      </c>
      <c r="E18" s="16">
        <v>5476</v>
      </c>
      <c r="F18" s="16" t="s">
        <v>6</v>
      </c>
    </row>
    <row r="19" spans="1:6" x14ac:dyDescent="0.35">
      <c r="A19" s="16" t="s">
        <v>250</v>
      </c>
      <c r="B19" s="16" t="s">
        <v>20</v>
      </c>
      <c r="C19" s="16" t="s">
        <v>237</v>
      </c>
      <c r="D19" s="16">
        <v>655036</v>
      </c>
      <c r="E19" s="16">
        <v>5734</v>
      </c>
      <c r="F19" s="16" t="s">
        <v>6</v>
      </c>
    </row>
    <row r="20" spans="1:6" x14ac:dyDescent="0.35">
      <c r="A20" s="16" t="s">
        <v>250</v>
      </c>
      <c r="B20" s="16" t="s">
        <v>20</v>
      </c>
      <c r="C20" s="16" t="s">
        <v>238</v>
      </c>
      <c r="D20" s="16">
        <v>652162</v>
      </c>
      <c r="E20" s="16">
        <v>5414</v>
      </c>
      <c r="F20" s="16" t="s">
        <v>6</v>
      </c>
    </row>
    <row r="21" spans="1:6" x14ac:dyDescent="0.35">
      <c r="A21" s="16" t="s">
        <v>250</v>
      </c>
      <c r="B21" s="16" t="s">
        <v>20</v>
      </c>
      <c r="C21" s="16" t="s">
        <v>239</v>
      </c>
      <c r="D21" s="16">
        <v>633505</v>
      </c>
      <c r="E21" s="16">
        <v>5381</v>
      </c>
      <c r="F21" s="16" t="s">
        <v>6</v>
      </c>
    </row>
    <row r="22" spans="1:6" x14ac:dyDescent="0.35">
      <c r="A22" s="16" t="s">
        <v>250</v>
      </c>
      <c r="B22" s="16" t="s">
        <v>20</v>
      </c>
      <c r="C22" s="16" t="s">
        <v>240</v>
      </c>
      <c r="D22" s="16">
        <v>643004</v>
      </c>
      <c r="E22" s="16">
        <v>5695</v>
      </c>
      <c r="F22" s="16" t="s">
        <v>6</v>
      </c>
    </row>
    <row r="23" spans="1:6" x14ac:dyDescent="0.35">
      <c r="A23" s="16" t="s">
        <v>250</v>
      </c>
      <c r="B23" s="16" t="s">
        <v>20</v>
      </c>
      <c r="C23" s="16" t="s">
        <v>241</v>
      </c>
      <c r="D23" s="16">
        <v>623702</v>
      </c>
      <c r="E23" s="16">
        <v>5275</v>
      </c>
      <c r="F23" s="16" t="s">
        <v>6</v>
      </c>
    </row>
    <row r="24" spans="1:6" x14ac:dyDescent="0.35">
      <c r="A24" s="16" t="s">
        <v>250</v>
      </c>
      <c r="B24" s="16" t="s">
        <v>20</v>
      </c>
      <c r="C24" s="16" t="s">
        <v>242</v>
      </c>
      <c r="D24" s="16">
        <v>614474</v>
      </c>
      <c r="E24" s="16">
        <v>5186</v>
      </c>
      <c r="F24" s="16" t="s">
        <v>6</v>
      </c>
    </row>
    <row r="25" spans="1:6" x14ac:dyDescent="0.35">
      <c r="A25" s="16" t="s">
        <v>250</v>
      </c>
      <c r="B25" s="16" t="s">
        <v>20</v>
      </c>
      <c r="C25" s="16" t="s">
        <v>243</v>
      </c>
      <c r="D25" s="16">
        <v>620971</v>
      </c>
      <c r="E25" s="16">
        <v>5175</v>
      </c>
      <c r="F25" s="16" t="s">
        <v>6</v>
      </c>
    </row>
    <row r="26" spans="1:6" x14ac:dyDescent="0.35">
      <c r="A26" s="16" t="s">
        <v>250</v>
      </c>
      <c r="B26" s="16" t="s">
        <v>20</v>
      </c>
      <c r="C26" s="16" t="s">
        <v>244</v>
      </c>
      <c r="D26" s="16">
        <v>605370</v>
      </c>
      <c r="E26" s="16">
        <v>5020</v>
      </c>
      <c r="F26" s="16" t="s">
        <v>6</v>
      </c>
    </row>
    <row r="27" spans="1:6" x14ac:dyDescent="0.35">
      <c r="A27" s="16" t="s">
        <v>250</v>
      </c>
      <c r="B27" s="16" t="s">
        <v>20</v>
      </c>
      <c r="C27" s="16" t="s">
        <v>245</v>
      </c>
      <c r="D27" s="16">
        <v>608469</v>
      </c>
      <c r="E27" s="16">
        <v>5049</v>
      </c>
      <c r="F27" s="16" t="s">
        <v>6</v>
      </c>
    </row>
    <row r="28" spans="1:6" x14ac:dyDescent="0.35">
      <c r="A28" s="16" t="s">
        <v>250</v>
      </c>
      <c r="B28" s="16" t="s">
        <v>20</v>
      </c>
      <c r="C28" s="16" t="s">
        <v>246</v>
      </c>
      <c r="D28" s="16">
        <v>619647</v>
      </c>
      <c r="E28" s="16">
        <v>5134</v>
      </c>
      <c r="F28" s="16" t="s">
        <v>6</v>
      </c>
    </row>
    <row r="29" spans="1:6" x14ac:dyDescent="0.35">
      <c r="A29" s="16" t="s">
        <v>250</v>
      </c>
      <c r="B29" s="16" t="s">
        <v>20</v>
      </c>
      <c r="C29" s="16" t="s">
        <v>24</v>
      </c>
      <c r="D29" s="16">
        <v>592158</v>
      </c>
      <c r="E29" s="16">
        <v>4670</v>
      </c>
      <c r="F29" s="16" t="s">
        <v>6</v>
      </c>
    </row>
    <row r="30" spans="1:6" x14ac:dyDescent="0.35">
      <c r="A30" s="16" t="s">
        <v>250</v>
      </c>
      <c r="B30" s="16" t="s">
        <v>20</v>
      </c>
      <c r="C30" s="16" t="s">
        <v>25</v>
      </c>
      <c r="D30" s="16">
        <v>630635</v>
      </c>
      <c r="E30" s="16">
        <v>4658</v>
      </c>
      <c r="F30" s="16" t="s">
        <v>6</v>
      </c>
    </row>
    <row r="31" spans="1:6" x14ac:dyDescent="0.35">
      <c r="A31" s="16" t="s">
        <v>250</v>
      </c>
      <c r="B31" s="16" t="s">
        <v>20</v>
      </c>
      <c r="C31" s="16" t="s">
        <v>26</v>
      </c>
      <c r="D31" s="16">
        <v>656415</v>
      </c>
      <c r="E31" s="16">
        <v>5017</v>
      </c>
      <c r="F31" s="16" t="s">
        <v>6</v>
      </c>
    </row>
    <row r="32" spans="1:6" x14ac:dyDescent="0.35">
      <c r="A32" s="16" t="s">
        <v>250</v>
      </c>
      <c r="B32" s="16" t="s">
        <v>20</v>
      </c>
      <c r="C32" s="16" t="s">
        <v>27</v>
      </c>
      <c r="D32" s="16">
        <v>663365</v>
      </c>
      <c r="E32" s="16">
        <v>5052</v>
      </c>
      <c r="F32" s="16" t="s">
        <v>6</v>
      </c>
    </row>
    <row r="33" spans="1:6" x14ac:dyDescent="0.35">
      <c r="A33" s="16" t="s">
        <v>250</v>
      </c>
      <c r="B33" s="16" t="s">
        <v>20</v>
      </c>
      <c r="C33" s="16" t="s">
        <v>28</v>
      </c>
      <c r="D33" s="16">
        <v>670229</v>
      </c>
      <c r="E33" s="16">
        <v>5413</v>
      </c>
      <c r="F33" s="16" t="s">
        <v>6</v>
      </c>
    </row>
    <row r="34" spans="1:6" x14ac:dyDescent="0.35">
      <c r="A34" s="16" t="s">
        <v>250</v>
      </c>
      <c r="B34" s="16" t="s">
        <v>20</v>
      </c>
      <c r="C34" s="16" t="s">
        <v>29</v>
      </c>
      <c r="D34" s="16">
        <v>661343</v>
      </c>
      <c r="E34" s="16">
        <v>5460</v>
      </c>
      <c r="F34" s="16" t="s">
        <v>6</v>
      </c>
    </row>
    <row r="35" spans="1:6" x14ac:dyDescent="0.35">
      <c r="A35" s="16" t="s">
        <v>250</v>
      </c>
      <c r="B35" s="16" t="s">
        <v>20</v>
      </c>
      <c r="C35" s="16" t="s">
        <v>30</v>
      </c>
      <c r="D35" s="16">
        <v>652898</v>
      </c>
      <c r="E35" s="16">
        <v>5480</v>
      </c>
      <c r="F35" s="16" t="s">
        <v>6</v>
      </c>
    </row>
    <row r="36" spans="1:6" x14ac:dyDescent="0.35">
      <c r="A36" s="16" t="s">
        <v>250</v>
      </c>
      <c r="B36" s="16" t="s">
        <v>20</v>
      </c>
      <c r="C36" s="16" t="s">
        <v>31</v>
      </c>
      <c r="D36" s="16">
        <v>671414</v>
      </c>
      <c r="E36" s="16">
        <v>5976</v>
      </c>
      <c r="F36" s="16" t="s">
        <v>6</v>
      </c>
    </row>
    <row r="37" spans="1:6" x14ac:dyDescent="0.35">
      <c r="A37" s="16" t="s">
        <v>250</v>
      </c>
      <c r="B37" s="16" t="s">
        <v>20</v>
      </c>
      <c r="C37" s="16" t="s">
        <v>32</v>
      </c>
      <c r="D37" s="16">
        <v>642823</v>
      </c>
      <c r="E37" s="16">
        <v>6393</v>
      </c>
      <c r="F37" s="16" t="s">
        <v>6</v>
      </c>
    </row>
    <row r="38" spans="1:6" x14ac:dyDescent="0.35">
      <c r="A38" s="16" t="s">
        <v>250</v>
      </c>
      <c r="B38" s="16" t="s">
        <v>20</v>
      </c>
      <c r="C38" s="16" t="s">
        <v>33</v>
      </c>
      <c r="D38" s="16">
        <v>674709</v>
      </c>
      <c r="E38" s="16">
        <v>6285</v>
      </c>
      <c r="F38" s="16" t="s">
        <v>6</v>
      </c>
    </row>
    <row r="39" spans="1:6" x14ac:dyDescent="0.35">
      <c r="A39" s="16" t="s">
        <v>250</v>
      </c>
      <c r="B39" s="16" t="s">
        <v>20</v>
      </c>
      <c r="C39" s="16" t="s">
        <v>34</v>
      </c>
      <c r="D39" s="16">
        <v>662380</v>
      </c>
      <c r="E39" s="16">
        <v>6121</v>
      </c>
      <c r="F39" s="16" t="s">
        <v>6</v>
      </c>
    </row>
    <row r="40" spans="1:6" x14ac:dyDescent="0.35">
      <c r="A40" s="16" t="s">
        <v>250</v>
      </c>
      <c r="B40" s="16" t="s">
        <v>20</v>
      </c>
      <c r="C40" s="16" t="s">
        <v>35</v>
      </c>
      <c r="D40" s="16">
        <v>669851</v>
      </c>
      <c r="E40" s="16">
        <v>6296</v>
      </c>
      <c r="F40" s="16" t="s">
        <v>6</v>
      </c>
    </row>
    <row r="41" spans="1:6" x14ac:dyDescent="0.35">
      <c r="A41" s="16" t="s">
        <v>250</v>
      </c>
      <c r="B41" s="16" t="s">
        <v>20</v>
      </c>
      <c r="C41" s="16" t="s">
        <v>36</v>
      </c>
      <c r="D41" s="16">
        <v>658943</v>
      </c>
      <c r="E41" s="16">
        <v>5521</v>
      </c>
      <c r="F41" s="16" t="s">
        <v>6</v>
      </c>
    </row>
    <row r="42" spans="1:6" x14ac:dyDescent="0.35">
      <c r="A42" s="16" t="s">
        <v>250</v>
      </c>
      <c r="B42" s="16" t="s">
        <v>20</v>
      </c>
      <c r="C42" s="16" t="s">
        <v>37</v>
      </c>
      <c r="D42" s="16">
        <v>681349</v>
      </c>
      <c r="E42" s="16">
        <v>5608</v>
      </c>
      <c r="F42" s="16" t="s">
        <v>6</v>
      </c>
    </row>
    <row r="43" spans="1:6" x14ac:dyDescent="0.35">
      <c r="A43" s="16" t="s">
        <v>250</v>
      </c>
      <c r="B43" s="16" t="s">
        <v>20</v>
      </c>
      <c r="C43" s="16" t="s">
        <v>38</v>
      </c>
      <c r="D43" s="16">
        <v>678306</v>
      </c>
      <c r="E43" s="16">
        <v>5846</v>
      </c>
      <c r="F43" s="16" t="s">
        <v>6</v>
      </c>
    </row>
    <row r="44" spans="1:6" x14ac:dyDescent="0.35">
      <c r="A44" s="16" t="s">
        <v>250</v>
      </c>
      <c r="B44" s="16" t="s">
        <v>20</v>
      </c>
      <c r="C44" s="16" t="s">
        <v>39</v>
      </c>
      <c r="D44" s="16">
        <v>647773</v>
      </c>
      <c r="E44" s="16">
        <v>5576</v>
      </c>
      <c r="F44" s="16" t="s">
        <v>6</v>
      </c>
    </row>
    <row r="45" spans="1:6" x14ac:dyDescent="0.35">
      <c r="A45" s="16" t="s">
        <v>250</v>
      </c>
      <c r="B45" s="16" t="s">
        <v>20</v>
      </c>
      <c r="C45" s="16" t="s">
        <v>40</v>
      </c>
      <c r="D45" s="16">
        <v>642795</v>
      </c>
      <c r="E45" s="16">
        <v>5680</v>
      </c>
      <c r="F45" s="16" t="s">
        <v>6</v>
      </c>
    </row>
    <row r="46" spans="1:6" x14ac:dyDescent="0.35">
      <c r="A46" s="16" t="s">
        <v>250</v>
      </c>
      <c r="B46" s="16" t="s">
        <v>20</v>
      </c>
      <c r="C46" s="16" t="s">
        <v>41</v>
      </c>
      <c r="D46" s="16">
        <v>622707</v>
      </c>
      <c r="E46" s="16">
        <v>5339</v>
      </c>
      <c r="F46" s="16" t="s">
        <v>6</v>
      </c>
    </row>
    <row r="47" spans="1:6" x14ac:dyDescent="0.35">
      <c r="A47" s="16" t="s">
        <v>250</v>
      </c>
      <c r="B47" s="16" t="s">
        <v>20</v>
      </c>
      <c r="C47" s="16" t="s">
        <v>42</v>
      </c>
      <c r="D47" s="16">
        <v>573312</v>
      </c>
      <c r="E47" s="16">
        <v>4812</v>
      </c>
      <c r="F47" s="16" t="s">
        <v>6</v>
      </c>
    </row>
    <row r="48" spans="1:6" x14ac:dyDescent="0.35">
      <c r="A48" s="16" t="s">
        <v>250</v>
      </c>
      <c r="B48" s="16" t="s">
        <v>20</v>
      </c>
      <c r="C48" s="16" t="s">
        <v>43</v>
      </c>
      <c r="D48" s="16">
        <v>511573</v>
      </c>
      <c r="E48" s="16">
        <v>4615</v>
      </c>
      <c r="F48" s="16" t="s">
        <v>6</v>
      </c>
    </row>
    <row r="49" spans="1:6" x14ac:dyDescent="0.35">
      <c r="A49" s="16" t="s">
        <v>250</v>
      </c>
      <c r="B49" s="16" t="s">
        <v>20</v>
      </c>
      <c r="C49" s="16" t="s">
        <v>44</v>
      </c>
      <c r="D49" s="16">
        <v>425233</v>
      </c>
      <c r="E49" s="16">
        <v>4229</v>
      </c>
      <c r="F49" s="16" t="s">
        <v>6</v>
      </c>
    </row>
    <row r="50" spans="1:6" x14ac:dyDescent="0.35">
      <c r="A50" s="16" t="s">
        <v>250</v>
      </c>
      <c r="B50" s="16" t="s">
        <v>20</v>
      </c>
      <c r="C50" s="16" t="s">
        <v>45</v>
      </c>
      <c r="D50" s="16">
        <v>633742</v>
      </c>
      <c r="E50" s="16">
        <v>6480</v>
      </c>
      <c r="F50" s="16" t="s">
        <v>6</v>
      </c>
    </row>
    <row r="51" spans="1:6" x14ac:dyDescent="0.35">
      <c r="A51" s="16" t="s">
        <v>250</v>
      </c>
      <c r="B51" s="16" t="s">
        <v>20</v>
      </c>
      <c r="C51" s="16" t="s">
        <v>46</v>
      </c>
      <c r="D51" s="16">
        <v>514243</v>
      </c>
      <c r="E51" s="16">
        <v>4976</v>
      </c>
      <c r="F51" s="16" t="s">
        <v>6</v>
      </c>
    </row>
    <row r="52" spans="1:6" x14ac:dyDescent="0.35">
      <c r="A52" s="16" t="s">
        <v>250</v>
      </c>
      <c r="B52" s="16" t="s">
        <v>20</v>
      </c>
      <c r="C52" s="16" t="s">
        <v>47</v>
      </c>
      <c r="D52" s="16">
        <v>534800</v>
      </c>
      <c r="E52" s="16">
        <v>5193</v>
      </c>
      <c r="F52" s="16" t="s">
        <v>6</v>
      </c>
    </row>
    <row r="53" spans="1:6" x14ac:dyDescent="0.35">
      <c r="A53" s="16" t="s">
        <v>250</v>
      </c>
      <c r="B53" s="16" t="s">
        <v>20</v>
      </c>
      <c r="C53" s="16" t="s">
        <v>48</v>
      </c>
      <c r="D53" s="16">
        <v>610964</v>
      </c>
      <c r="E53" s="16">
        <v>5988</v>
      </c>
      <c r="F53" s="16" t="s">
        <v>6</v>
      </c>
    </row>
    <row r="54" spans="1:6" x14ac:dyDescent="0.35">
      <c r="A54" s="16" t="s">
        <v>250</v>
      </c>
      <c r="B54" s="16" t="s">
        <v>20</v>
      </c>
      <c r="C54" s="16" t="s">
        <v>49</v>
      </c>
      <c r="D54" s="16">
        <v>606135</v>
      </c>
      <c r="E54" s="16">
        <v>5927</v>
      </c>
      <c r="F54" s="16" t="s">
        <v>6</v>
      </c>
    </row>
    <row r="55" spans="1:6" x14ac:dyDescent="0.35">
      <c r="A55" s="16" t="s">
        <v>250</v>
      </c>
      <c r="B55" s="16" t="s">
        <v>20</v>
      </c>
      <c r="C55" s="16" t="s">
        <v>50</v>
      </c>
      <c r="D55" s="16">
        <v>625516</v>
      </c>
      <c r="E55" s="16">
        <v>6093</v>
      </c>
      <c r="F55" s="16" t="s">
        <v>6</v>
      </c>
    </row>
    <row r="56" spans="1:6" x14ac:dyDescent="0.35">
      <c r="A56" s="16" t="s">
        <v>250</v>
      </c>
      <c r="B56" s="16" t="s">
        <v>20</v>
      </c>
      <c r="C56" s="16" t="s">
        <v>51</v>
      </c>
      <c r="D56" s="16">
        <v>584219</v>
      </c>
      <c r="E56" s="16">
        <v>5966</v>
      </c>
      <c r="F56" s="16" t="s">
        <v>6</v>
      </c>
    </row>
    <row r="57" spans="1:6" x14ac:dyDescent="0.35">
      <c r="A57" s="16" t="s">
        <v>250</v>
      </c>
      <c r="B57" s="16" t="s">
        <v>20</v>
      </c>
      <c r="C57" s="16" t="s">
        <v>52</v>
      </c>
      <c r="D57" s="16">
        <v>589563</v>
      </c>
      <c r="E57" s="16">
        <v>5542</v>
      </c>
      <c r="F57" s="16" t="s">
        <v>6</v>
      </c>
    </row>
    <row r="58" spans="1:6" x14ac:dyDescent="0.35">
      <c r="A58" s="16" t="s">
        <v>250</v>
      </c>
      <c r="B58" s="16" t="s">
        <v>20</v>
      </c>
      <c r="C58" s="16" t="s">
        <v>53</v>
      </c>
      <c r="D58" s="16">
        <v>643391</v>
      </c>
      <c r="E58" s="16">
        <v>6236</v>
      </c>
      <c r="F58" s="16" t="s">
        <v>6</v>
      </c>
    </row>
    <row r="59" spans="1:6" x14ac:dyDescent="0.35">
      <c r="A59" s="16" t="s">
        <v>250</v>
      </c>
      <c r="B59" s="16" t="s">
        <v>20</v>
      </c>
      <c r="C59" s="16" t="s">
        <v>54</v>
      </c>
      <c r="D59" s="16">
        <v>602999</v>
      </c>
      <c r="E59" s="16">
        <v>5920</v>
      </c>
      <c r="F59" s="16" t="s">
        <v>6</v>
      </c>
    </row>
    <row r="60" spans="1:6" x14ac:dyDescent="0.35">
      <c r="A60" s="16" t="s">
        <v>250</v>
      </c>
      <c r="B60" s="16" t="s">
        <v>20</v>
      </c>
      <c r="C60" s="16" t="s">
        <v>55</v>
      </c>
      <c r="D60" s="16">
        <v>566487</v>
      </c>
      <c r="E60" s="16">
        <v>5528</v>
      </c>
      <c r="F60" s="16" t="s">
        <v>6</v>
      </c>
    </row>
    <row r="61" spans="1:6" x14ac:dyDescent="0.35">
      <c r="A61" s="16" t="s">
        <v>250</v>
      </c>
      <c r="B61" s="16" t="s">
        <v>20</v>
      </c>
      <c r="C61" s="16" t="s">
        <v>56</v>
      </c>
      <c r="D61" s="16">
        <v>569443</v>
      </c>
      <c r="E61" s="16">
        <v>5277</v>
      </c>
      <c r="F61" s="16" t="s">
        <v>6</v>
      </c>
    </row>
    <row r="62" spans="1:6" x14ac:dyDescent="0.35">
      <c r="A62" s="16" t="s">
        <v>250</v>
      </c>
      <c r="B62" s="16" t="s">
        <v>20</v>
      </c>
      <c r="C62" s="16" t="s">
        <v>57</v>
      </c>
      <c r="D62" s="16">
        <v>596188</v>
      </c>
      <c r="E62" s="16">
        <v>5496</v>
      </c>
      <c r="F62" s="16" t="s">
        <v>6</v>
      </c>
    </row>
    <row r="63" spans="1:6" x14ac:dyDescent="0.35">
      <c r="A63" s="16" t="s">
        <v>250</v>
      </c>
      <c r="B63" s="16" t="s">
        <v>20</v>
      </c>
      <c r="C63" s="16" t="s">
        <v>58</v>
      </c>
      <c r="D63" s="16">
        <v>593221</v>
      </c>
      <c r="E63" s="16">
        <v>5347</v>
      </c>
      <c r="F63" s="16" t="s">
        <v>6</v>
      </c>
    </row>
    <row r="64" spans="1:6" x14ac:dyDescent="0.35">
      <c r="A64" s="16" t="s">
        <v>250</v>
      </c>
      <c r="B64" s="16" t="s">
        <v>20</v>
      </c>
      <c r="C64" s="16" t="s">
        <v>59</v>
      </c>
      <c r="D64" s="16">
        <v>581951</v>
      </c>
      <c r="E64" s="16">
        <v>5320</v>
      </c>
      <c r="F64" s="16" t="s">
        <v>6</v>
      </c>
    </row>
    <row r="65" spans="1:6" x14ac:dyDescent="0.35">
      <c r="A65" s="16" t="s">
        <v>250</v>
      </c>
      <c r="B65" s="16" t="s">
        <v>20</v>
      </c>
      <c r="C65" s="16" t="s">
        <v>60</v>
      </c>
      <c r="D65" s="16">
        <v>602408</v>
      </c>
      <c r="E65" s="16">
        <v>5759</v>
      </c>
      <c r="F65" s="16" t="s">
        <v>6</v>
      </c>
    </row>
    <row r="66" spans="1:6" x14ac:dyDescent="0.35">
      <c r="A66" s="16" t="s">
        <v>250</v>
      </c>
      <c r="B66" s="16" t="s">
        <v>20</v>
      </c>
      <c r="C66" s="16" t="s">
        <v>61</v>
      </c>
      <c r="D66" s="16">
        <v>611200</v>
      </c>
      <c r="E66" s="16">
        <v>5884</v>
      </c>
      <c r="F66" s="16" t="s">
        <v>6</v>
      </c>
    </row>
    <row r="67" spans="1:6" x14ac:dyDescent="0.35">
      <c r="A67" s="16" t="s">
        <v>250</v>
      </c>
      <c r="B67" s="16" t="s">
        <v>20</v>
      </c>
      <c r="C67" s="16" t="s">
        <v>62</v>
      </c>
      <c r="D67" s="16">
        <v>649650</v>
      </c>
      <c r="E67" s="16">
        <v>6140</v>
      </c>
      <c r="F67" s="16" t="s">
        <v>6</v>
      </c>
    </row>
    <row r="68" spans="1:6" x14ac:dyDescent="0.35">
      <c r="A68" s="16" t="s">
        <v>250</v>
      </c>
      <c r="B68" s="16" t="s">
        <v>20</v>
      </c>
      <c r="C68" s="16" t="s">
        <v>63</v>
      </c>
      <c r="D68" s="16">
        <v>656436</v>
      </c>
      <c r="E68" s="16">
        <v>6240</v>
      </c>
      <c r="F68" s="16" t="s">
        <v>6</v>
      </c>
    </row>
    <row r="69" spans="1:6" x14ac:dyDescent="0.35">
      <c r="A69" s="16" t="s">
        <v>250</v>
      </c>
      <c r="B69" s="16" t="s">
        <v>20</v>
      </c>
      <c r="C69" s="16" t="s">
        <v>64</v>
      </c>
      <c r="D69" s="16">
        <v>656934</v>
      </c>
      <c r="E69" s="16">
        <v>6172</v>
      </c>
      <c r="F69" s="16" t="s">
        <v>6</v>
      </c>
    </row>
    <row r="70" spans="1:6" x14ac:dyDescent="0.35">
      <c r="A70" s="16" t="s">
        <v>250</v>
      </c>
      <c r="B70" s="16" t="s">
        <v>20</v>
      </c>
      <c r="C70" s="16" t="s">
        <v>65</v>
      </c>
      <c r="D70" s="16">
        <v>665529</v>
      </c>
      <c r="E70" s="16">
        <v>6491</v>
      </c>
      <c r="F70" s="16" t="s">
        <v>6</v>
      </c>
    </row>
    <row r="71" spans="1:6" x14ac:dyDescent="0.35">
      <c r="A71" s="16" t="s">
        <v>250</v>
      </c>
      <c r="B71" s="16" t="s">
        <v>20</v>
      </c>
      <c r="C71" s="16" t="s">
        <v>66</v>
      </c>
      <c r="D71" s="16">
        <v>656118</v>
      </c>
      <c r="E71" s="16">
        <v>6451</v>
      </c>
      <c r="F71" s="16" t="s">
        <v>6</v>
      </c>
    </row>
    <row r="72" spans="1:6" x14ac:dyDescent="0.35">
      <c r="A72" s="16" t="s">
        <v>250</v>
      </c>
      <c r="B72" s="16" t="s">
        <v>20</v>
      </c>
      <c r="C72" s="16" t="s">
        <v>67</v>
      </c>
      <c r="D72" s="16">
        <v>660493</v>
      </c>
      <c r="E72" s="16">
        <v>6155</v>
      </c>
      <c r="F72" s="16" t="s">
        <v>6</v>
      </c>
    </row>
    <row r="73" spans="1:6" x14ac:dyDescent="0.35">
      <c r="A73" s="16" t="s">
        <v>250</v>
      </c>
      <c r="B73" s="16" t="s">
        <v>20</v>
      </c>
      <c r="C73" s="16" t="s">
        <v>68</v>
      </c>
      <c r="D73" s="16">
        <v>672251</v>
      </c>
      <c r="E73" s="16">
        <v>6388</v>
      </c>
      <c r="F73" s="16" t="s">
        <v>6</v>
      </c>
    </row>
    <row r="74" spans="1:6" x14ac:dyDescent="0.35">
      <c r="A74" s="16" t="s">
        <v>250</v>
      </c>
      <c r="B74" s="16" t="s">
        <v>20</v>
      </c>
      <c r="C74" s="16" t="s">
        <v>69</v>
      </c>
      <c r="D74" s="16">
        <v>696936</v>
      </c>
      <c r="E74" s="16">
        <v>6758</v>
      </c>
      <c r="F74" s="16" t="s">
        <v>6</v>
      </c>
    </row>
    <row r="75" spans="1:6" x14ac:dyDescent="0.35">
      <c r="A75" s="16" t="s">
        <v>250</v>
      </c>
      <c r="B75" s="16" t="s">
        <v>20</v>
      </c>
      <c r="C75" s="16" t="s">
        <v>70</v>
      </c>
      <c r="D75" s="16">
        <v>675293</v>
      </c>
      <c r="E75" s="16">
        <v>6531</v>
      </c>
      <c r="F75" s="16" t="s">
        <v>6</v>
      </c>
    </row>
    <row r="76" spans="1:6" x14ac:dyDescent="0.35">
      <c r="A76" s="16" t="s">
        <v>250</v>
      </c>
      <c r="B76" s="16" t="s">
        <v>20</v>
      </c>
      <c r="C76" s="16" t="s">
        <v>71</v>
      </c>
      <c r="D76" s="16">
        <v>668756</v>
      </c>
      <c r="E76" s="16">
        <v>6177</v>
      </c>
      <c r="F76" s="16" t="s">
        <v>6</v>
      </c>
    </row>
    <row r="77" spans="1:6" x14ac:dyDescent="0.35">
      <c r="A77" s="16" t="s">
        <v>250</v>
      </c>
      <c r="B77" s="16" t="s">
        <v>20</v>
      </c>
      <c r="C77" s="16" t="s">
        <v>72</v>
      </c>
      <c r="D77" s="16">
        <v>678783</v>
      </c>
      <c r="E77" s="16">
        <v>6168</v>
      </c>
      <c r="F77" s="16" t="s">
        <v>6</v>
      </c>
    </row>
    <row r="78" spans="1:6" x14ac:dyDescent="0.35">
      <c r="A78" s="16" t="s">
        <v>250</v>
      </c>
      <c r="B78" s="16" t="s">
        <v>20</v>
      </c>
      <c r="C78" s="16" t="s">
        <v>73</v>
      </c>
      <c r="D78" s="16">
        <v>666239</v>
      </c>
      <c r="E78" s="16">
        <v>5948</v>
      </c>
      <c r="F78" s="16" t="s">
        <v>6</v>
      </c>
    </row>
    <row r="79" spans="1:6" x14ac:dyDescent="0.35">
      <c r="A79" s="16" t="s">
        <v>250</v>
      </c>
      <c r="B79" s="16" t="s">
        <v>20</v>
      </c>
      <c r="C79" s="16" t="s">
        <v>74</v>
      </c>
      <c r="D79" s="16">
        <v>664516</v>
      </c>
      <c r="E79" s="16">
        <v>5824</v>
      </c>
      <c r="F79" s="16" t="s">
        <v>6</v>
      </c>
    </row>
    <row r="80" spans="1:6" x14ac:dyDescent="0.35">
      <c r="A80" s="16" t="s">
        <v>250</v>
      </c>
      <c r="B80" s="16" t="s">
        <v>20</v>
      </c>
      <c r="C80" s="16" t="s">
        <v>75</v>
      </c>
      <c r="D80" s="16">
        <v>660905</v>
      </c>
      <c r="E80" s="16">
        <v>5915</v>
      </c>
      <c r="F80" s="16" t="s">
        <v>6</v>
      </c>
    </row>
    <row r="81" spans="1:6" x14ac:dyDescent="0.35">
      <c r="A81" s="16" t="s">
        <v>250</v>
      </c>
      <c r="B81" s="16" t="s">
        <v>20</v>
      </c>
      <c r="C81" s="16" t="s">
        <v>76</v>
      </c>
      <c r="D81" s="16">
        <v>669871</v>
      </c>
      <c r="E81" s="16">
        <v>5448</v>
      </c>
      <c r="F81" s="16" t="s">
        <v>6</v>
      </c>
    </row>
    <row r="82" spans="1:6" x14ac:dyDescent="0.35">
      <c r="A82" s="16" t="s">
        <v>250</v>
      </c>
      <c r="B82" s="16" t="s">
        <v>20</v>
      </c>
      <c r="C82" s="16" t="s">
        <v>77</v>
      </c>
      <c r="D82" s="16">
        <v>669960</v>
      </c>
      <c r="E82" s="16">
        <v>5577</v>
      </c>
      <c r="F82" s="16" t="s">
        <v>6</v>
      </c>
    </row>
    <row r="83" spans="1:6" x14ac:dyDescent="0.35">
      <c r="A83" s="16" t="s">
        <v>250</v>
      </c>
      <c r="B83" s="16" t="s">
        <v>20</v>
      </c>
      <c r="C83" s="16" t="s">
        <v>78</v>
      </c>
      <c r="D83" s="16">
        <v>669678</v>
      </c>
      <c r="E83" s="16">
        <v>5469</v>
      </c>
      <c r="F83" s="16" t="s">
        <v>6</v>
      </c>
    </row>
    <row r="84" spans="1:6" x14ac:dyDescent="0.35">
      <c r="A84" s="16" t="s">
        <v>250</v>
      </c>
      <c r="B84" s="16" t="s">
        <v>20</v>
      </c>
      <c r="C84" s="16" t="s">
        <v>79</v>
      </c>
      <c r="D84" s="16">
        <v>684668</v>
      </c>
      <c r="E84" s="16">
        <v>5425</v>
      </c>
      <c r="F84" s="16" t="s">
        <v>6</v>
      </c>
    </row>
    <row r="85" spans="1:6" x14ac:dyDescent="0.35">
      <c r="A85" s="16" t="s">
        <v>250</v>
      </c>
      <c r="B85" s="16" t="s">
        <v>20</v>
      </c>
      <c r="C85" s="16" t="s">
        <v>80</v>
      </c>
      <c r="D85" s="16">
        <v>665075</v>
      </c>
      <c r="E85" s="16">
        <v>5839</v>
      </c>
      <c r="F85" s="16" t="s">
        <v>6</v>
      </c>
    </row>
    <row r="86" spans="1:6" x14ac:dyDescent="0.35">
      <c r="A86" s="16" t="s">
        <v>250</v>
      </c>
      <c r="B86" s="16" t="s">
        <v>20</v>
      </c>
      <c r="C86" s="16" t="s">
        <v>81</v>
      </c>
      <c r="D86" s="16">
        <v>672935</v>
      </c>
      <c r="E86" s="16">
        <v>5815</v>
      </c>
      <c r="F86" s="16" t="s">
        <v>6</v>
      </c>
    </row>
    <row r="87" spans="1:6" x14ac:dyDescent="0.35">
      <c r="A87" s="16" t="s">
        <v>250</v>
      </c>
      <c r="B87" s="16" t="s">
        <v>20</v>
      </c>
      <c r="C87" s="16" t="s">
        <v>82</v>
      </c>
      <c r="D87" s="16">
        <v>651674</v>
      </c>
      <c r="E87" s="16">
        <v>5593</v>
      </c>
      <c r="F87" s="16" t="s">
        <v>6</v>
      </c>
    </row>
    <row r="88" spans="1:6" x14ac:dyDescent="0.35">
      <c r="A88" s="16" t="s">
        <v>250</v>
      </c>
      <c r="B88" s="16" t="s">
        <v>20</v>
      </c>
      <c r="C88" s="16" t="s">
        <v>83</v>
      </c>
      <c r="D88" s="16">
        <v>632073</v>
      </c>
      <c r="E88" s="16">
        <v>5256</v>
      </c>
      <c r="F88" s="16" t="s">
        <v>6</v>
      </c>
    </row>
    <row r="89" spans="1:6" x14ac:dyDescent="0.35">
      <c r="A89" s="16" t="s">
        <v>250</v>
      </c>
      <c r="B89" s="16" t="s">
        <v>20</v>
      </c>
      <c r="C89" s="16" t="s">
        <v>84</v>
      </c>
      <c r="D89" s="16">
        <v>597223</v>
      </c>
      <c r="E89" s="16">
        <v>4908</v>
      </c>
      <c r="F89" s="16" t="s">
        <v>6</v>
      </c>
    </row>
    <row r="90" spans="1:6" x14ac:dyDescent="0.35">
      <c r="A90" s="16" t="s">
        <v>250</v>
      </c>
      <c r="B90" s="16" t="s">
        <v>20</v>
      </c>
      <c r="C90" s="16" t="s">
        <v>85</v>
      </c>
      <c r="D90" s="16">
        <v>566763</v>
      </c>
      <c r="E90" s="16">
        <v>4266</v>
      </c>
      <c r="F90" s="16" t="s">
        <v>6</v>
      </c>
    </row>
    <row r="91" spans="1:6" x14ac:dyDescent="0.35">
      <c r="A91" s="16" t="s">
        <v>250</v>
      </c>
      <c r="B91" s="16" t="s">
        <v>20</v>
      </c>
      <c r="C91" s="16" t="s">
        <v>86</v>
      </c>
      <c r="D91" s="16">
        <v>526925</v>
      </c>
      <c r="E91" s="16">
        <v>4786</v>
      </c>
      <c r="F91" s="16" t="s">
        <v>6</v>
      </c>
    </row>
    <row r="92" spans="1:6" x14ac:dyDescent="0.35">
      <c r="A92" s="16" t="s">
        <v>250</v>
      </c>
      <c r="B92" s="16" t="s">
        <v>20</v>
      </c>
      <c r="C92" s="16" t="s">
        <v>87</v>
      </c>
      <c r="D92" s="16">
        <v>508070</v>
      </c>
      <c r="E92" s="16">
        <v>5124</v>
      </c>
      <c r="F92" s="16" t="s">
        <v>6</v>
      </c>
    </row>
    <row r="93" spans="1:6" x14ac:dyDescent="0.35">
      <c r="A93" s="16" t="s">
        <v>250</v>
      </c>
      <c r="B93" s="16" t="s">
        <v>20</v>
      </c>
      <c r="C93" s="16" t="s">
        <v>88</v>
      </c>
      <c r="D93" s="16">
        <v>481570</v>
      </c>
      <c r="E93" s="16">
        <v>3349</v>
      </c>
      <c r="F93" s="16" t="s">
        <v>6</v>
      </c>
    </row>
    <row r="94" spans="1:6" x14ac:dyDescent="0.35">
      <c r="A94" s="16" t="s">
        <v>250</v>
      </c>
      <c r="B94" s="16" t="s">
        <v>20</v>
      </c>
      <c r="C94" s="16" t="s">
        <v>89</v>
      </c>
      <c r="D94" s="16">
        <v>469029</v>
      </c>
      <c r="E94" s="16">
        <v>3463</v>
      </c>
      <c r="F94" s="16" t="s">
        <v>6</v>
      </c>
    </row>
    <row r="95" spans="1:6" x14ac:dyDescent="0.35">
      <c r="A95" s="16" t="s">
        <v>250</v>
      </c>
      <c r="B95" s="16" t="s">
        <v>20</v>
      </c>
      <c r="C95" s="16" t="s">
        <v>90</v>
      </c>
      <c r="D95" s="16">
        <v>452290</v>
      </c>
      <c r="E95" s="16">
        <v>3376</v>
      </c>
      <c r="F95" s="16" t="s">
        <v>6</v>
      </c>
    </row>
    <row r="96" spans="1:6" x14ac:dyDescent="0.35">
      <c r="A96" s="16" t="s">
        <v>250</v>
      </c>
      <c r="B96" s="16" t="s">
        <v>20</v>
      </c>
      <c r="C96" s="16" t="s">
        <v>91</v>
      </c>
      <c r="D96" s="16">
        <v>434003</v>
      </c>
      <c r="E96" s="16">
        <v>3582</v>
      </c>
      <c r="F96" s="16" t="s">
        <v>6</v>
      </c>
    </row>
    <row r="97" spans="1:6" x14ac:dyDescent="0.35">
      <c r="A97" s="16" t="s">
        <v>250</v>
      </c>
      <c r="B97" s="16" t="s">
        <v>20</v>
      </c>
      <c r="C97" s="16" t="s">
        <v>92</v>
      </c>
      <c r="D97" s="16">
        <v>421548</v>
      </c>
      <c r="E97" s="16">
        <v>3624</v>
      </c>
      <c r="F97" s="16" t="s">
        <v>6</v>
      </c>
    </row>
    <row r="98" spans="1:6" x14ac:dyDescent="0.35">
      <c r="A98" s="16" t="s">
        <v>250</v>
      </c>
      <c r="B98" s="16" t="s">
        <v>20</v>
      </c>
      <c r="C98" s="16" t="s">
        <v>93</v>
      </c>
      <c r="D98" s="16">
        <v>413818</v>
      </c>
      <c r="E98" s="16">
        <v>3493</v>
      </c>
      <c r="F98" s="16" t="s">
        <v>6</v>
      </c>
    </row>
    <row r="99" spans="1:6" x14ac:dyDescent="0.35">
      <c r="A99" s="16" t="s">
        <v>250</v>
      </c>
      <c r="B99" s="16" t="s">
        <v>20</v>
      </c>
      <c r="C99" s="16" t="s">
        <v>94</v>
      </c>
      <c r="D99" s="16">
        <v>402903</v>
      </c>
      <c r="E99" s="16">
        <v>3519</v>
      </c>
      <c r="F99" s="16" t="s">
        <v>6</v>
      </c>
    </row>
    <row r="100" spans="1:6" x14ac:dyDescent="0.35">
      <c r="A100" s="16" t="s">
        <v>250</v>
      </c>
      <c r="B100" s="16" t="s">
        <v>20</v>
      </c>
      <c r="C100" s="16" t="s">
        <v>95</v>
      </c>
      <c r="D100" s="16">
        <v>395580</v>
      </c>
      <c r="E100" s="16">
        <v>3580</v>
      </c>
      <c r="F100" s="16" t="s">
        <v>6</v>
      </c>
    </row>
    <row r="101" spans="1:6" x14ac:dyDescent="0.35">
      <c r="A101" s="16" t="s">
        <v>250</v>
      </c>
      <c r="B101" s="16" t="s">
        <v>20</v>
      </c>
      <c r="C101" s="16" t="s">
        <v>96</v>
      </c>
      <c r="D101" s="16">
        <v>390066</v>
      </c>
      <c r="E101" s="16">
        <v>3590</v>
      </c>
      <c r="F101" s="16" t="s">
        <v>6</v>
      </c>
    </row>
    <row r="102" spans="1:6" x14ac:dyDescent="0.35">
      <c r="A102" s="16" t="s">
        <v>250</v>
      </c>
      <c r="B102" s="16" t="s">
        <v>20</v>
      </c>
      <c r="C102" s="16" t="s">
        <v>97</v>
      </c>
      <c r="D102" s="16">
        <v>390746</v>
      </c>
      <c r="E102" s="16">
        <v>3655</v>
      </c>
      <c r="F102" s="16" t="s">
        <v>6</v>
      </c>
    </row>
    <row r="103" spans="1:6" x14ac:dyDescent="0.35">
      <c r="A103" s="16" t="s">
        <v>250</v>
      </c>
      <c r="B103" s="16" t="s">
        <v>20</v>
      </c>
      <c r="C103" s="16" t="s">
        <v>98</v>
      </c>
      <c r="D103" s="16">
        <v>379452</v>
      </c>
      <c r="E103" s="16">
        <v>3745</v>
      </c>
      <c r="F103" s="16" t="s">
        <v>6</v>
      </c>
    </row>
    <row r="104" spans="1:6" x14ac:dyDescent="0.35">
      <c r="A104" s="16" t="s">
        <v>250</v>
      </c>
      <c r="B104" s="16" t="s">
        <v>20</v>
      </c>
      <c r="C104" s="16" t="s">
        <v>99</v>
      </c>
      <c r="D104" s="16">
        <v>363140</v>
      </c>
      <c r="E104" s="16">
        <v>4009</v>
      </c>
      <c r="F104" s="16" t="s">
        <v>6</v>
      </c>
    </row>
    <row r="105" spans="1:6" x14ac:dyDescent="0.35">
      <c r="A105" s="16" t="s">
        <v>250</v>
      </c>
      <c r="B105" s="16" t="s">
        <v>20</v>
      </c>
      <c r="C105" s="16" t="s">
        <v>100</v>
      </c>
      <c r="D105" s="16">
        <v>356066</v>
      </c>
      <c r="E105" s="16">
        <v>4167</v>
      </c>
      <c r="F105" s="16" t="s">
        <v>6</v>
      </c>
    </row>
    <row r="106" spans="1:6" x14ac:dyDescent="0.35">
      <c r="A106" s="16" t="s">
        <v>250</v>
      </c>
      <c r="B106" s="16" t="s">
        <v>20</v>
      </c>
      <c r="C106" s="16" t="s">
        <v>101</v>
      </c>
      <c r="D106" s="16">
        <v>354729</v>
      </c>
      <c r="E106" s="16">
        <v>4433</v>
      </c>
      <c r="F106" s="16" t="s">
        <v>6</v>
      </c>
    </row>
    <row r="107" spans="1:6" x14ac:dyDescent="0.35">
      <c r="A107" s="16" t="s">
        <v>250</v>
      </c>
      <c r="B107" s="16" t="s">
        <v>20</v>
      </c>
      <c r="C107" s="16" t="s">
        <v>102</v>
      </c>
      <c r="D107" s="16">
        <v>360743</v>
      </c>
      <c r="E107" s="16">
        <v>4649</v>
      </c>
      <c r="F107" s="16" t="s">
        <v>6</v>
      </c>
    </row>
    <row r="108" spans="1:6" x14ac:dyDescent="0.35">
      <c r="A108" s="16" t="s">
        <v>250</v>
      </c>
      <c r="B108" s="16" t="s">
        <v>20</v>
      </c>
      <c r="C108" s="16" t="s">
        <v>103</v>
      </c>
      <c r="D108" s="16">
        <v>356378</v>
      </c>
      <c r="E108" s="16">
        <v>4820</v>
      </c>
      <c r="F108" s="16" t="s">
        <v>6</v>
      </c>
    </row>
    <row r="109" spans="1:6" x14ac:dyDescent="0.35">
      <c r="A109" s="16" t="s">
        <v>250</v>
      </c>
      <c r="B109" s="16" t="s">
        <v>20</v>
      </c>
      <c r="C109" s="16" t="s">
        <v>104</v>
      </c>
      <c r="D109" s="16">
        <v>370003</v>
      </c>
      <c r="E109" s="16">
        <v>5457</v>
      </c>
      <c r="F109" s="16" t="s">
        <v>6</v>
      </c>
    </row>
    <row r="110" spans="1:6" x14ac:dyDescent="0.35">
      <c r="A110" s="16" t="s">
        <v>250</v>
      </c>
      <c r="B110" s="16" t="s">
        <v>20</v>
      </c>
      <c r="C110" s="16" t="s">
        <v>105</v>
      </c>
      <c r="D110" s="16">
        <v>386336</v>
      </c>
      <c r="E110" s="16">
        <v>5975</v>
      </c>
      <c r="F110" s="16" t="s">
        <v>6</v>
      </c>
    </row>
    <row r="111" spans="1:6" x14ac:dyDescent="0.35">
      <c r="A111" s="16" t="s">
        <v>250</v>
      </c>
      <c r="B111" s="16" t="s">
        <v>20</v>
      </c>
      <c r="C111" s="16" t="s">
        <v>106</v>
      </c>
      <c r="D111" s="16">
        <v>394507</v>
      </c>
      <c r="E111" s="16">
        <v>6234</v>
      </c>
      <c r="F111" s="16" t="s">
        <v>6</v>
      </c>
    </row>
    <row r="112" spans="1:6" x14ac:dyDescent="0.35">
      <c r="A112" s="16" t="s">
        <v>250</v>
      </c>
      <c r="B112" s="16" t="s">
        <v>20</v>
      </c>
      <c r="C112" s="16" t="s">
        <v>107</v>
      </c>
      <c r="D112" s="16">
        <v>405512</v>
      </c>
      <c r="E112" s="16">
        <v>6929</v>
      </c>
      <c r="F112" s="16" t="s">
        <v>6</v>
      </c>
    </row>
    <row r="113" spans="1:6" x14ac:dyDescent="0.35">
      <c r="A113" s="16" t="s">
        <v>250</v>
      </c>
      <c r="B113" s="16" t="s">
        <v>20</v>
      </c>
      <c r="C113" s="16" t="s">
        <v>108</v>
      </c>
      <c r="D113" s="16">
        <v>427457</v>
      </c>
      <c r="E113" s="16">
        <v>7499</v>
      </c>
      <c r="F113" s="16" t="s">
        <v>6</v>
      </c>
    </row>
    <row r="114" spans="1:6" x14ac:dyDescent="0.35">
      <c r="A114" s="16" t="s">
        <v>250</v>
      </c>
      <c r="B114" s="16" t="s">
        <v>20</v>
      </c>
      <c r="C114" s="16" t="s">
        <v>109</v>
      </c>
      <c r="D114" s="16">
        <v>439806</v>
      </c>
      <c r="E114" s="16">
        <v>7712</v>
      </c>
      <c r="F114" s="16" t="s">
        <v>6</v>
      </c>
    </row>
    <row r="115" spans="1:6" x14ac:dyDescent="0.35">
      <c r="A115" s="16" t="s">
        <v>250</v>
      </c>
      <c r="B115" s="16" t="s">
        <v>20</v>
      </c>
      <c r="C115" s="16" t="s">
        <v>110</v>
      </c>
      <c r="D115" s="16">
        <f>449441+1390</f>
        <v>450831</v>
      </c>
      <c r="E115" s="16">
        <f>8111+88+26</f>
        <v>8225</v>
      </c>
      <c r="F115" s="16" t="s">
        <v>6</v>
      </c>
    </row>
    <row r="116" spans="1:6" x14ac:dyDescent="0.35">
      <c r="A116" s="16" t="s">
        <v>250</v>
      </c>
      <c r="B116" s="16" t="s">
        <v>20</v>
      </c>
      <c r="C116" s="16" t="s">
        <v>111</v>
      </c>
      <c r="D116" s="16">
        <v>466913</v>
      </c>
      <c r="E116" s="16">
        <v>8510</v>
      </c>
      <c r="F116" s="16" t="s">
        <v>6</v>
      </c>
    </row>
    <row r="117" spans="1:6" x14ac:dyDescent="0.35">
      <c r="A117" s="16" t="s">
        <v>250</v>
      </c>
      <c r="B117" s="16" t="s">
        <v>20</v>
      </c>
      <c r="C117" s="16" t="s">
        <v>112</v>
      </c>
      <c r="D117" s="16">
        <v>474833</v>
      </c>
      <c r="E117" s="16">
        <v>9254</v>
      </c>
      <c r="F117" s="16" t="s">
        <v>6</v>
      </c>
    </row>
    <row r="118" spans="1:6" x14ac:dyDescent="0.35">
      <c r="A118" s="16" t="s">
        <v>250</v>
      </c>
      <c r="B118" s="16" t="s">
        <v>20</v>
      </c>
      <c r="C118" s="16" t="s">
        <v>113</v>
      </c>
      <c r="D118" s="16">
        <v>501334</v>
      </c>
      <c r="E118" s="16">
        <v>9696</v>
      </c>
      <c r="F118" s="16" t="s">
        <v>6</v>
      </c>
    </row>
    <row r="119" spans="1:6" x14ac:dyDescent="0.35">
      <c r="A119" s="16" t="s">
        <v>250</v>
      </c>
      <c r="B119" s="16" t="s">
        <v>20</v>
      </c>
      <c r="C119" s="16" t="s">
        <v>114</v>
      </c>
      <c r="D119" s="16">
        <v>475926</v>
      </c>
      <c r="E119" s="16">
        <v>9965</v>
      </c>
      <c r="F119" s="16" t="s">
        <v>6</v>
      </c>
    </row>
    <row r="120" spans="1:6" x14ac:dyDescent="0.35">
      <c r="A120" s="16" t="s">
        <v>250</v>
      </c>
      <c r="B120" s="16" t="s">
        <v>20</v>
      </c>
      <c r="C120" s="16" t="s">
        <v>115</v>
      </c>
      <c r="D120" s="16">
        <v>468191</v>
      </c>
      <c r="E120" s="16">
        <v>9653</v>
      </c>
      <c r="F120" s="16" t="s">
        <v>6</v>
      </c>
    </row>
    <row r="121" spans="1:6" x14ac:dyDescent="0.35">
      <c r="A121" s="16" t="s">
        <v>250</v>
      </c>
      <c r="B121" s="16" t="s">
        <v>20</v>
      </c>
      <c r="C121" s="16" t="s">
        <v>116</v>
      </c>
      <c r="D121" s="16">
        <v>453763</v>
      </c>
      <c r="E121" s="16">
        <v>9629</v>
      </c>
      <c r="F121" s="16" t="s">
        <v>6</v>
      </c>
    </row>
    <row r="122" spans="1:6" x14ac:dyDescent="0.35">
      <c r="A122" s="16" t="s">
        <v>250</v>
      </c>
      <c r="B122" s="16" t="s">
        <v>20</v>
      </c>
      <c r="C122" s="16" t="s">
        <v>117</v>
      </c>
      <c r="D122" s="16">
        <v>436096</v>
      </c>
      <c r="E122" s="16">
        <v>9796</v>
      </c>
      <c r="F122" s="16" t="s">
        <v>6</v>
      </c>
    </row>
    <row r="123" spans="1:6" x14ac:dyDescent="0.35">
      <c r="A123" s="16" t="s">
        <v>250</v>
      </c>
      <c r="B123" s="16" t="s">
        <v>20</v>
      </c>
      <c r="C123" s="16" t="s">
        <v>118</v>
      </c>
      <c r="D123" s="16">
        <f>407764+1244</f>
        <v>409008</v>
      </c>
      <c r="E123" s="16">
        <f>8741+109+20</f>
        <v>8870</v>
      </c>
      <c r="F123" s="16" t="s">
        <v>6</v>
      </c>
    </row>
    <row r="124" spans="1:6" x14ac:dyDescent="0.35">
      <c r="A124" s="16" t="s">
        <v>250</v>
      </c>
      <c r="B124" s="16" t="s">
        <v>20</v>
      </c>
      <c r="C124" s="16" t="s">
        <v>119</v>
      </c>
      <c r="D124" s="16">
        <f>408394+1203</f>
        <v>409597</v>
      </c>
      <c r="E124" s="16">
        <f>9373+101+19</f>
        <v>9493</v>
      </c>
      <c r="F124" s="16" t="s">
        <v>6</v>
      </c>
    </row>
    <row r="125" spans="1:6" x14ac:dyDescent="0.35">
      <c r="A125" s="16" t="s">
        <v>250</v>
      </c>
      <c r="B125" s="16" t="s">
        <v>20</v>
      </c>
      <c r="C125" s="16" t="s">
        <v>120</v>
      </c>
      <c r="D125" s="16">
        <f>401850+1200</f>
        <v>403050</v>
      </c>
      <c r="E125" s="16">
        <f>9004+87+10</f>
        <v>9101</v>
      </c>
      <c r="F125" s="16" t="s">
        <v>6</v>
      </c>
    </row>
    <row r="126" spans="1:6" x14ac:dyDescent="0.35">
      <c r="A126" s="16" t="s">
        <v>250</v>
      </c>
      <c r="B126" s="16" t="s">
        <v>20</v>
      </c>
      <c r="C126" s="16" t="s">
        <v>121</v>
      </c>
      <c r="D126" s="16">
        <f>392604+1197</f>
        <v>393801</v>
      </c>
      <c r="E126" s="16">
        <f>8789+92+18</f>
        <v>8899</v>
      </c>
      <c r="F126" s="16" t="s">
        <v>6</v>
      </c>
    </row>
    <row r="127" spans="1:6" x14ac:dyDescent="0.35">
      <c r="A127" s="16" t="s">
        <v>250</v>
      </c>
      <c r="B127" s="16" t="s">
        <v>20</v>
      </c>
      <c r="C127" s="16" t="s">
        <v>122</v>
      </c>
      <c r="D127" s="16">
        <f>376761+1145</f>
        <v>377906</v>
      </c>
      <c r="E127" s="16">
        <f>8031+82+21</f>
        <v>8134</v>
      </c>
      <c r="F127" s="16" t="s">
        <v>6</v>
      </c>
    </row>
    <row r="128" spans="1:6" x14ac:dyDescent="0.35">
      <c r="A128" s="16" t="s">
        <v>250</v>
      </c>
      <c r="B128" s="16" t="s">
        <v>20</v>
      </c>
      <c r="C128" s="16" t="s">
        <v>123</v>
      </c>
      <c r="D128" s="16">
        <f>358339+1044</f>
        <v>359383</v>
      </c>
      <c r="E128" s="16">
        <f>7070+77+23</f>
        <v>7170</v>
      </c>
      <c r="F128" s="16" t="s">
        <v>6</v>
      </c>
    </row>
    <row r="129" spans="1:6" x14ac:dyDescent="0.35">
      <c r="A129" s="3" t="s">
        <v>250</v>
      </c>
      <c r="B129" s="16" t="s">
        <v>20</v>
      </c>
      <c r="C129" s="3">
        <v>2019</v>
      </c>
      <c r="D129" s="3">
        <f>347765+1047</f>
        <v>348812</v>
      </c>
      <c r="E129" s="3">
        <f>6294+65+13</f>
        <v>6372</v>
      </c>
      <c r="F129" s="16" t="s">
        <v>6</v>
      </c>
    </row>
    <row r="130" spans="1:6" x14ac:dyDescent="0.35">
      <c r="A130" s="4" t="s">
        <v>250</v>
      </c>
      <c r="B130" s="4" t="s">
        <v>20</v>
      </c>
      <c r="C130" s="3">
        <v>2020</v>
      </c>
      <c r="D130" s="3">
        <v>331204</v>
      </c>
      <c r="E130" s="3">
        <v>5479</v>
      </c>
      <c r="F130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2DF0-5258-408F-AFAA-CBB3E07C14B2}">
  <dimension ref="A1:F115"/>
  <sheetViews>
    <sheetView zoomScale="70" zoomScaleNormal="70" workbookViewId="0">
      <selection sqref="A1:F115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3" t="s">
        <v>251</v>
      </c>
      <c r="B2" s="3" t="s">
        <v>4</v>
      </c>
      <c r="C2" s="3">
        <v>1906</v>
      </c>
      <c r="D2" s="4" t="s">
        <v>6</v>
      </c>
      <c r="E2" s="4" t="s">
        <v>6</v>
      </c>
      <c r="F2" s="6" t="s">
        <v>6</v>
      </c>
    </row>
    <row r="3" spans="1:6" x14ac:dyDescent="0.35">
      <c r="A3" s="3" t="s">
        <v>251</v>
      </c>
      <c r="B3" s="3" t="s">
        <v>4</v>
      </c>
      <c r="C3" s="3">
        <v>1907</v>
      </c>
      <c r="D3" s="4" t="s">
        <v>6</v>
      </c>
      <c r="E3" s="4" t="s">
        <v>6</v>
      </c>
      <c r="F3" s="6" t="s">
        <v>6</v>
      </c>
    </row>
    <row r="4" spans="1:6" x14ac:dyDescent="0.35">
      <c r="A4" s="3" t="s">
        <v>251</v>
      </c>
      <c r="B4" s="3" t="s">
        <v>4</v>
      </c>
      <c r="C4" s="3">
        <v>1908</v>
      </c>
      <c r="D4" s="4" t="s">
        <v>6</v>
      </c>
      <c r="E4" s="4" t="s">
        <v>6</v>
      </c>
      <c r="F4" s="6" t="s">
        <v>6</v>
      </c>
    </row>
    <row r="5" spans="1:6" x14ac:dyDescent="0.35">
      <c r="A5" s="3" t="s">
        <v>251</v>
      </c>
      <c r="B5" s="3" t="s">
        <v>4</v>
      </c>
      <c r="C5" s="3">
        <v>1909</v>
      </c>
      <c r="D5" s="4" t="s">
        <v>6</v>
      </c>
      <c r="E5" s="4" t="s">
        <v>6</v>
      </c>
      <c r="F5" s="6" t="s">
        <v>6</v>
      </c>
    </row>
    <row r="6" spans="1:6" x14ac:dyDescent="0.35">
      <c r="A6" s="3" t="s">
        <v>251</v>
      </c>
      <c r="B6" s="3" t="s">
        <v>4</v>
      </c>
      <c r="C6" s="3">
        <v>1910</v>
      </c>
      <c r="D6" s="4" t="s">
        <v>6</v>
      </c>
      <c r="E6" s="4" t="s">
        <v>6</v>
      </c>
      <c r="F6" s="6" t="s">
        <v>6</v>
      </c>
    </row>
    <row r="7" spans="1:6" x14ac:dyDescent="0.35">
      <c r="A7" s="3" t="s">
        <v>251</v>
      </c>
      <c r="B7" s="3" t="s">
        <v>4</v>
      </c>
      <c r="C7" s="3">
        <v>1911</v>
      </c>
      <c r="D7" s="4" t="s">
        <v>6</v>
      </c>
      <c r="E7" s="4" t="s">
        <v>6</v>
      </c>
      <c r="F7" s="6" t="s">
        <v>6</v>
      </c>
    </row>
    <row r="8" spans="1:6" x14ac:dyDescent="0.35">
      <c r="A8" s="3" t="s">
        <v>251</v>
      </c>
      <c r="B8" s="3" t="s">
        <v>4</v>
      </c>
      <c r="C8" s="3">
        <v>1912</v>
      </c>
      <c r="D8" s="4" t="s">
        <v>6</v>
      </c>
      <c r="E8" s="4" t="s">
        <v>6</v>
      </c>
      <c r="F8" s="6" t="s">
        <v>6</v>
      </c>
    </row>
    <row r="9" spans="1:6" x14ac:dyDescent="0.35">
      <c r="A9" s="3" t="s">
        <v>251</v>
      </c>
      <c r="B9" s="3" t="s">
        <v>4</v>
      </c>
      <c r="C9" s="3">
        <v>1913</v>
      </c>
      <c r="D9" s="4" t="s">
        <v>6</v>
      </c>
      <c r="E9" s="4" t="s">
        <v>6</v>
      </c>
      <c r="F9" s="6" t="s">
        <v>6</v>
      </c>
    </row>
    <row r="10" spans="1:6" x14ac:dyDescent="0.35">
      <c r="A10" s="3" t="s">
        <v>251</v>
      </c>
      <c r="B10" s="3" t="s">
        <v>4</v>
      </c>
      <c r="C10" s="3">
        <v>1914</v>
      </c>
      <c r="D10" s="4" t="s">
        <v>6</v>
      </c>
      <c r="E10" s="4" t="s">
        <v>6</v>
      </c>
      <c r="F10" s="6" t="s">
        <v>6</v>
      </c>
    </row>
    <row r="11" spans="1:6" x14ac:dyDescent="0.35">
      <c r="A11" s="3" t="s">
        <v>251</v>
      </c>
      <c r="B11" s="3" t="s">
        <v>4</v>
      </c>
      <c r="C11" s="3">
        <v>1915</v>
      </c>
      <c r="D11" s="4" t="s">
        <v>6</v>
      </c>
      <c r="E11" s="4" t="s">
        <v>6</v>
      </c>
      <c r="F11" s="6" t="s">
        <v>6</v>
      </c>
    </row>
    <row r="12" spans="1:6" x14ac:dyDescent="0.35">
      <c r="A12" s="3" t="s">
        <v>251</v>
      </c>
      <c r="B12" s="3" t="s">
        <v>4</v>
      </c>
      <c r="C12" s="3">
        <v>1916</v>
      </c>
      <c r="D12" s="4" t="s">
        <v>6</v>
      </c>
      <c r="E12" s="4" t="s">
        <v>6</v>
      </c>
      <c r="F12" s="6" t="s">
        <v>6</v>
      </c>
    </row>
    <row r="13" spans="1:6" x14ac:dyDescent="0.35">
      <c r="A13" s="3" t="s">
        <v>251</v>
      </c>
      <c r="B13" s="3" t="s">
        <v>4</v>
      </c>
      <c r="C13" s="3">
        <v>1917</v>
      </c>
      <c r="D13" s="4" t="s">
        <v>6</v>
      </c>
      <c r="E13" s="4" t="s">
        <v>6</v>
      </c>
      <c r="F13" s="6" t="s">
        <v>6</v>
      </c>
    </row>
    <row r="14" spans="1:6" x14ac:dyDescent="0.35">
      <c r="A14" s="3" t="s">
        <v>251</v>
      </c>
      <c r="B14" s="3" t="s">
        <v>4</v>
      </c>
      <c r="C14" s="3">
        <v>1918</v>
      </c>
      <c r="D14" s="4" t="s">
        <v>6</v>
      </c>
      <c r="E14" s="4" t="s">
        <v>6</v>
      </c>
      <c r="F14" s="6" t="s">
        <v>6</v>
      </c>
    </row>
    <row r="15" spans="1:6" x14ac:dyDescent="0.35">
      <c r="A15" s="3" t="s">
        <v>251</v>
      </c>
      <c r="B15" s="3" t="s">
        <v>4</v>
      </c>
      <c r="C15" s="3">
        <v>1919</v>
      </c>
      <c r="D15" s="4" t="s">
        <v>6</v>
      </c>
      <c r="E15" s="4" t="s">
        <v>6</v>
      </c>
      <c r="F15" s="6" t="s">
        <v>6</v>
      </c>
    </row>
    <row r="16" spans="1:6" x14ac:dyDescent="0.35">
      <c r="A16" s="3" t="s">
        <v>251</v>
      </c>
      <c r="B16" s="3" t="s">
        <v>4</v>
      </c>
      <c r="C16" s="3">
        <v>1920</v>
      </c>
      <c r="D16" s="4" t="s">
        <v>6</v>
      </c>
      <c r="E16" s="4" t="s">
        <v>6</v>
      </c>
      <c r="F16" s="6" t="s">
        <v>6</v>
      </c>
    </row>
    <row r="17" spans="1:6" x14ac:dyDescent="0.35">
      <c r="A17" s="3" t="s">
        <v>251</v>
      </c>
      <c r="B17" s="3" t="s">
        <v>4</v>
      </c>
      <c r="C17" s="3">
        <v>1921</v>
      </c>
      <c r="D17" s="4" t="s">
        <v>6</v>
      </c>
      <c r="E17" s="4" t="s">
        <v>6</v>
      </c>
      <c r="F17" s="6" t="s">
        <v>6</v>
      </c>
    </row>
    <row r="18" spans="1:6" x14ac:dyDescent="0.35">
      <c r="A18" s="3" t="s">
        <v>251</v>
      </c>
      <c r="B18" s="3" t="s">
        <v>4</v>
      </c>
      <c r="C18" s="3">
        <v>1922</v>
      </c>
      <c r="D18" s="4" t="s">
        <v>6</v>
      </c>
      <c r="E18" s="4" t="s">
        <v>6</v>
      </c>
      <c r="F18" s="6" t="s">
        <v>6</v>
      </c>
    </row>
    <row r="19" spans="1:6" x14ac:dyDescent="0.35">
      <c r="A19" s="3" t="s">
        <v>251</v>
      </c>
      <c r="B19" s="3" t="s">
        <v>4</v>
      </c>
      <c r="C19" s="3">
        <v>1923</v>
      </c>
      <c r="D19" s="4" t="s">
        <v>6</v>
      </c>
      <c r="E19" s="4" t="s">
        <v>6</v>
      </c>
      <c r="F19" s="6" t="s">
        <v>6</v>
      </c>
    </row>
    <row r="20" spans="1:6" x14ac:dyDescent="0.35">
      <c r="A20" s="3" t="s">
        <v>251</v>
      </c>
      <c r="B20" s="3" t="s">
        <v>4</v>
      </c>
      <c r="C20" s="3">
        <v>1924</v>
      </c>
      <c r="D20" s="4" t="s">
        <v>6</v>
      </c>
      <c r="E20" s="4" t="s">
        <v>6</v>
      </c>
      <c r="F20" s="6" t="s">
        <v>6</v>
      </c>
    </row>
    <row r="21" spans="1:6" x14ac:dyDescent="0.35">
      <c r="A21" s="3" t="s">
        <v>251</v>
      </c>
      <c r="B21" s="3" t="s">
        <v>4</v>
      </c>
      <c r="C21" s="3">
        <v>1925</v>
      </c>
      <c r="D21" s="4" t="s">
        <v>6</v>
      </c>
      <c r="E21" s="4" t="s">
        <v>6</v>
      </c>
      <c r="F21" s="6" t="s">
        <v>6</v>
      </c>
    </row>
    <row r="22" spans="1:6" x14ac:dyDescent="0.35">
      <c r="A22" s="3" t="s">
        <v>251</v>
      </c>
      <c r="B22" s="3" t="s">
        <v>4</v>
      </c>
      <c r="C22" s="3">
        <v>1926</v>
      </c>
      <c r="D22" s="4" t="s">
        <v>6</v>
      </c>
      <c r="E22" s="4" t="s">
        <v>6</v>
      </c>
      <c r="F22" s="6" t="s">
        <v>6</v>
      </c>
    </row>
    <row r="23" spans="1:6" x14ac:dyDescent="0.35">
      <c r="A23" s="3" t="s">
        <v>251</v>
      </c>
      <c r="B23" s="3" t="s">
        <v>4</v>
      </c>
      <c r="C23" s="3">
        <v>1927</v>
      </c>
      <c r="D23" s="4" t="s">
        <v>6</v>
      </c>
      <c r="E23" s="4" t="s">
        <v>6</v>
      </c>
      <c r="F23" s="6" t="s">
        <v>6</v>
      </c>
    </row>
    <row r="24" spans="1:6" x14ac:dyDescent="0.35">
      <c r="A24" s="3" t="s">
        <v>251</v>
      </c>
      <c r="B24" s="3" t="s">
        <v>4</v>
      </c>
      <c r="C24" s="3">
        <v>1928</v>
      </c>
      <c r="D24" s="4" t="s">
        <v>6</v>
      </c>
      <c r="E24" s="4" t="s">
        <v>6</v>
      </c>
      <c r="F24" s="6" t="s">
        <v>6</v>
      </c>
    </row>
    <row r="25" spans="1:6" x14ac:dyDescent="0.35">
      <c r="A25" s="3" t="s">
        <v>251</v>
      </c>
      <c r="B25" s="3" t="s">
        <v>4</v>
      </c>
      <c r="C25" s="3">
        <v>1929</v>
      </c>
      <c r="D25" s="4" t="s">
        <v>6</v>
      </c>
      <c r="E25" s="4" t="s">
        <v>6</v>
      </c>
      <c r="F25" s="6" t="s">
        <v>6</v>
      </c>
    </row>
    <row r="26" spans="1:6" x14ac:dyDescent="0.35">
      <c r="A26" s="3" t="s">
        <v>251</v>
      </c>
      <c r="B26" s="3" t="s">
        <v>4</v>
      </c>
      <c r="C26" s="3">
        <v>1930</v>
      </c>
      <c r="D26" s="4" t="s">
        <v>6</v>
      </c>
      <c r="E26" s="4" t="s">
        <v>6</v>
      </c>
      <c r="F26" s="6" t="s">
        <v>6</v>
      </c>
    </row>
    <row r="27" spans="1:6" x14ac:dyDescent="0.35">
      <c r="A27" s="3" t="s">
        <v>251</v>
      </c>
      <c r="B27" s="3" t="s">
        <v>4</v>
      </c>
      <c r="C27" s="3">
        <v>1931</v>
      </c>
      <c r="D27" s="4" t="s">
        <v>6</v>
      </c>
      <c r="E27" s="4" t="s">
        <v>6</v>
      </c>
      <c r="F27" s="6" t="s">
        <v>6</v>
      </c>
    </row>
    <row r="28" spans="1:6" x14ac:dyDescent="0.35">
      <c r="A28" s="3" t="s">
        <v>251</v>
      </c>
      <c r="B28" s="3" t="s">
        <v>4</v>
      </c>
      <c r="C28" s="3">
        <v>1932</v>
      </c>
      <c r="D28" s="4" t="s">
        <v>6</v>
      </c>
      <c r="E28" s="4" t="s">
        <v>6</v>
      </c>
      <c r="F28" s="6" t="s">
        <v>6</v>
      </c>
    </row>
    <row r="29" spans="1:6" x14ac:dyDescent="0.35">
      <c r="A29" s="3" t="s">
        <v>251</v>
      </c>
      <c r="B29" s="3" t="s">
        <v>4</v>
      </c>
      <c r="C29" s="3">
        <v>1933</v>
      </c>
      <c r="D29" s="4" t="s">
        <v>6</v>
      </c>
      <c r="E29" s="4" t="s">
        <v>6</v>
      </c>
      <c r="F29" s="6" t="s">
        <v>6</v>
      </c>
    </row>
    <row r="30" spans="1:6" x14ac:dyDescent="0.35">
      <c r="A30" s="3" t="s">
        <v>251</v>
      </c>
      <c r="B30" s="3" t="s">
        <v>4</v>
      </c>
      <c r="C30" s="3">
        <v>1934</v>
      </c>
      <c r="D30" s="4" t="s">
        <v>6</v>
      </c>
      <c r="E30" s="4" t="s">
        <v>6</v>
      </c>
      <c r="F30" s="6" t="s">
        <v>6</v>
      </c>
    </row>
    <row r="31" spans="1:6" x14ac:dyDescent="0.35">
      <c r="A31" s="3" t="s">
        <v>251</v>
      </c>
      <c r="B31" s="3" t="s">
        <v>4</v>
      </c>
      <c r="C31" s="3">
        <v>1935</v>
      </c>
      <c r="D31" s="4" t="s">
        <v>6</v>
      </c>
      <c r="E31" s="4" t="s">
        <v>6</v>
      </c>
      <c r="F31" s="6" t="s">
        <v>6</v>
      </c>
    </row>
    <row r="32" spans="1:6" x14ac:dyDescent="0.35">
      <c r="A32" s="3" t="s">
        <v>251</v>
      </c>
      <c r="B32" s="3" t="s">
        <v>4</v>
      </c>
      <c r="C32" s="3">
        <v>1936</v>
      </c>
      <c r="D32" s="4" t="s">
        <v>6</v>
      </c>
      <c r="E32" s="4" t="s">
        <v>6</v>
      </c>
      <c r="F32" s="6" t="s">
        <v>6</v>
      </c>
    </row>
    <row r="33" spans="1:6" x14ac:dyDescent="0.35">
      <c r="A33" s="3" t="s">
        <v>251</v>
      </c>
      <c r="B33" s="4" t="s">
        <v>6</v>
      </c>
      <c r="C33" s="3">
        <v>1937</v>
      </c>
      <c r="D33" s="4" t="s">
        <v>6</v>
      </c>
      <c r="E33" s="4" t="s">
        <v>6</v>
      </c>
      <c r="F33" s="6" t="s">
        <v>6</v>
      </c>
    </row>
    <row r="34" spans="1:6" x14ac:dyDescent="0.35">
      <c r="A34" s="3" t="s">
        <v>251</v>
      </c>
      <c r="B34" s="4" t="s">
        <v>6</v>
      </c>
      <c r="C34" s="3">
        <v>1938</v>
      </c>
      <c r="D34" s="4" t="s">
        <v>6</v>
      </c>
      <c r="E34" s="4" t="s">
        <v>6</v>
      </c>
      <c r="F34" s="6" t="s">
        <v>6</v>
      </c>
    </row>
    <row r="35" spans="1:6" x14ac:dyDescent="0.35">
      <c r="A35" s="3" t="s">
        <v>251</v>
      </c>
      <c r="B35" s="4" t="s">
        <v>6</v>
      </c>
      <c r="C35" s="3">
        <v>1939</v>
      </c>
      <c r="D35" s="4" t="s">
        <v>6</v>
      </c>
      <c r="E35" s="4" t="s">
        <v>6</v>
      </c>
      <c r="F35" s="6" t="s">
        <v>6</v>
      </c>
    </row>
    <row r="36" spans="1:6" x14ac:dyDescent="0.35">
      <c r="A36" s="3" t="s">
        <v>251</v>
      </c>
      <c r="B36" s="4" t="s">
        <v>6</v>
      </c>
      <c r="C36" s="3">
        <v>1940</v>
      </c>
      <c r="D36" s="4" t="s">
        <v>6</v>
      </c>
      <c r="E36" s="4" t="s">
        <v>6</v>
      </c>
      <c r="F36" s="6" t="s">
        <v>6</v>
      </c>
    </row>
    <row r="37" spans="1:6" x14ac:dyDescent="0.35">
      <c r="A37" s="6" t="s">
        <v>251</v>
      </c>
      <c r="B37" s="6" t="s">
        <v>252</v>
      </c>
      <c r="C37" s="6">
        <v>1941</v>
      </c>
      <c r="D37" s="6" t="s">
        <v>6</v>
      </c>
      <c r="E37" s="6">
        <v>1419</v>
      </c>
      <c r="F37" s="6" t="s">
        <v>6</v>
      </c>
    </row>
    <row r="38" spans="1:6" x14ac:dyDescent="0.35">
      <c r="A38" s="6" t="s">
        <v>251</v>
      </c>
      <c r="B38" s="6" t="s">
        <v>252</v>
      </c>
      <c r="C38" s="6">
        <v>1942</v>
      </c>
      <c r="D38" s="6" t="s">
        <v>6</v>
      </c>
      <c r="E38" s="6">
        <v>940</v>
      </c>
      <c r="F38" s="6" t="s">
        <v>6</v>
      </c>
    </row>
    <row r="39" spans="1:6" x14ac:dyDescent="0.35">
      <c r="A39" s="6" t="s">
        <v>251</v>
      </c>
      <c r="B39" s="6" t="s">
        <v>252</v>
      </c>
      <c r="C39" s="6">
        <v>1943</v>
      </c>
      <c r="D39" s="6" t="s">
        <v>6</v>
      </c>
      <c r="E39" s="6">
        <v>1240</v>
      </c>
      <c r="F39" s="6" t="s">
        <v>6</v>
      </c>
    </row>
    <row r="40" spans="1:6" x14ac:dyDescent="0.35">
      <c r="A40" s="6" t="s">
        <v>251</v>
      </c>
      <c r="B40" s="6" t="s">
        <v>252</v>
      </c>
      <c r="C40" s="6">
        <v>1944</v>
      </c>
      <c r="D40" s="6" t="s">
        <v>6</v>
      </c>
      <c r="E40" s="6">
        <v>1234</v>
      </c>
      <c r="F40" s="6" t="s">
        <v>6</v>
      </c>
    </row>
    <row r="41" spans="1:6" x14ac:dyDescent="0.35">
      <c r="A41" s="6" t="s">
        <v>251</v>
      </c>
      <c r="B41" s="6" t="s">
        <v>252</v>
      </c>
      <c r="C41" s="6">
        <v>1945</v>
      </c>
      <c r="D41" s="6" t="s">
        <v>6</v>
      </c>
      <c r="E41" s="6">
        <v>1519</v>
      </c>
      <c r="F41" s="6" t="s">
        <v>6</v>
      </c>
    </row>
    <row r="42" spans="1:6" x14ac:dyDescent="0.35">
      <c r="A42" s="6" t="s">
        <v>251</v>
      </c>
      <c r="B42" s="6" t="s">
        <v>252</v>
      </c>
      <c r="C42" s="6">
        <v>1946</v>
      </c>
      <c r="D42" s="6" t="s">
        <v>6</v>
      </c>
      <c r="E42" s="6">
        <v>1645</v>
      </c>
      <c r="F42" s="6" t="s">
        <v>6</v>
      </c>
    </row>
    <row r="43" spans="1:6" x14ac:dyDescent="0.35">
      <c r="A43" s="6" t="s">
        <v>251</v>
      </c>
      <c r="B43" s="6" t="s">
        <v>252</v>
      </c>
      <c r="C43" s="6">
        <v>1947</v>
      </c>
      <c r="D43" s="6" t="s">
        <v>6</v>
      </c>
      <c r="E43" s="6">
        <v>1547</v>
      </c>
      <c r="F43" s="6" t="s">
        <v>6</v>
      </c>
    </row>
    <row r="44" spans="1:6" x14ac:dyDescent="0.35">
      <c r="A44" s="6" t="s">
        <v>251</v>
      </c>
      <c r="B44" s="6" t="s">
        <v>252</v>
      </c>
      <c r="C44" s="6">
        <v>1948</v>
      </c>
      <c r="D44" s="6" t="s">
        <v>6</v>
      </c>
      <c r="E44" s="6">
        <v>1505</v>
      </c>
      <c r="F44" s="6" t="s">
        <v>6</v>
      </c>
    </row>
    <row r="45" spans="1:6" x14ac:dyDescent="0.35">
      <c r="A45" s="6" t="s">
        <v>251</v>
      </c>
      <c r="B45" s="6" t="s">
        <v>252</v>
      </c>
      <c r="C45" s="6">
        <v>1949</v>
      </c>
      <c r="D45" s="6" t="s">
        <v>6</v>
      </c>
      <c r="E45" s="6">
        <v>1451</v>
      </c>
      <c r="F45" s="6" t="s">
        <v>6</v>
      </c>
    </row>
    <row r="46" spans="1:6" x14ac:dyDescent="0.35">
      <c r="A46" s="6" t="s">
        <v>251</v>
      </c>
      <c r="B46" s="6" t="s">
        <v>252</v>
      </c>
      <c r="C46" s="6">
        <v>1950</v>
      </c>
      <c r="D46" s="6" t="s">
        <v>6</v>
      </c>
      <c r="E46" s="6">
        <v>1447</v>
      </c>
      <c r="F46" s="6" t="s">
        <v>6</v>
      </c>
    </row>
    <row r="47" spans="1:6" x14ac:dyDescent="0.35">
      <c r="A47" s="6" t="s">
        <v>251</v>
      </c>
      <c r="B47" s="6" t="s">
        <v>252</v>
      </c>
      <c r="C47" s="6">
        <v>1951</v>
      </c>
      <c r="D47" s="6" t="s">
        <v>6</v>
      </c>
      <c r="E47" s="6">
        <v>1349</v>
      </c>
      <c r="F47" s="6" t="s">
        <v>6</v>
      </c>
    </row>
    <row r="48" spans="1:6" x14ac:dyDescent="0.35">
      <c r="A48" s="6" t="s">
        <v>251</v>
      </c>
      <c r="B48" s="6" t="s">
        <v>252</v>
      </c>
      <c r="C48" s="6">
        <v>1952</v>
      </c>
      <c r="D48" s="6" t="s">
        <v>6</v>
      </c>
      <c r="E48" s="6">
        <v>1525</v>
      </c>
      <c r="F48" s="6" t="s">
        <v>6</v>
      </c>
    </row>
    <row r="49" spans="1:6" x14ac:dyDescent="0.35">
      <c r="A49" s="6" t="s">
        <v>251</v>
      </c>
      <c r="B49" s="6" t="s">
        <v>252</v>
      </c>
      <c r="C49" s="6">
        <v>1953</v>
      </c>
      <c r="D49" s="6" t="s">
        <v>6</v>
      </c>
      <c r="E49" s="6">
        <v>1476</v>
      </c>
      <c r="F49" s="6" t="s">
        <v>6</v>
      </c>
    </row>
    <row r="50" spans="1:6" x14ac:dyDescent="0.35">
      <c r="A50" s="6" t="s">
        <v>251</v>
      </c>
      <c r="B50" s="6" t="s">
        <v>252</v>
      </c>
      <c r="C50" s="6">
        <v>1954</v>
      </c>
      <c r="D50" s="6" t="s">
        <v>6</v>
      </c>
      <c r="E50" s="6">
        <v>1408</v>
      </c>
      <c r="F50" s="6" t="s">
        <v>6</v>
      </c>
    </row>
    <row r="51" spans="1:6" x14ac:dyDescent="0.35">
      <c r="A51" s="6" t="s">
        <v>251</v>
      </c>
      <c r="B51" s="6" t="s">
        <v>252</v>
      </c>
      <c r="C51" s="6">
        <v>1955</v>
      </c>
      <c r="D51" s="6" t="s">
        <v>6</v>
      </c>
      <c r="E51" s="6">
        <v>1476</v>
      </c>
      <c r="F51" s="6" t="s">
        <v>6</v>
      </c>
    </row>
    <row r="52" spans="1:6" x14ac:dyDescent="0.35">
      <c r="A52" s="6" t="s">
        <v>251</v>
      </c>
      <c r="B52" s="6" t="s">
        <v>252</v>
      </c>
      <c r="C52" s="6">
        <v>1956</v>
      </c>
      <c r="D52" s="6" t="s">
        <v>6</v>
      </c>
      <c r="E52" s="6">
        <v>1439</v>
      </c>
      <c r="F52" s="6" t="s">
        <v>6</v>
      </c>
    </row>
    <row r="53" spans="1:6" x14ac:dyDescent="0.35">
      <c r="A53" s="6" t="s">
        <v>251</v>
      </c>
      <c r="B53" s="6" t="s">
        <v>252</v>
      </c>
      <c r="C53" s="6">
        <v>1957</v>
      </c>
      <c r="D53" s="6" t="s">
        <v>6</v>
      </c>
      <c r="E53" s="6">
        <v>1334</v>
      </c>
      <c r="F53" s="6" t="s">
        <v>6</v>
      </c>
    </row>
    <row r="54" spans="1:6" x14ac:dyDescent="0.35">
      <c r="A54" s="6" t="s">
        <v>251</v>
      </c>
      <c r="B54" s="6" t="s">
        <v>252</v>
      </c>
      <c r="C54" s="6">
        <v>1958</v>
      </c>
      <c r="D54" s="6" t="s">
        <v>6</v>
      </c>
      <c r="E54" s="6">
        <v>1269</v>
      </c>
      <c r="F54" s="6" t="s">
        <v>6</v>
      </c>
    </row>
    <row r="55" spans="1:6" x14ac:dyDescent="0.35">
      <c r="A55" s="6" t="s">
        <v>251</v>
      </c>
      <c r="B55" s="6" t="s">
        <v>252</v>
      </c>
      <c r="C55" s="6">
        <v>1959</v>
      </c>
      <c r="D55" s="6" t="s">
        <v>6</v>
      </c>
      <c r="E55" s="6">
        <v>1225</v>
      </c>
      <c r="F55" s="6" t="s">
        <v>6</v>
      </c>
    </row>
    <row r="56" spans="1:6" x14ac:dyDescent="0.35">
      <c r="A56" s="6" t="s">
        <v>251</v>
      </c>
      <c r="B56" s="6" t="s">
        <v>252</v>
      </c>
      <c r="C56" s="6">
        <v>1960</v>
      </c>
      <c r="D56" s="6" t="s">
        <v>6</v>
      </c>
      <c r="E56" s="6">
        <v>1181</v>
      </c>
      <c r="F56" s="6" t="s">
        <v>6</v>
      </c>
    </row>
    <row r="57" spans="1:6" x14ac:dyDescent="0.35">
      <c r="A57" s="6" t="s">
        <v>251</v>
      </c>
      <c r="B57" s="6" t="s">
        <v>252</v>
      </c>
      <c r="C57" s="6">
        <v>1961</v>
      </c>
      <c r="D57" s="6" t="s">
        <v>6</v>
      </c>
      <c r="E57" s="6">
        <v>1225</v>
      </c>
      <c r="F57" s="6" t="s">
        <v>6</v>
      </c>
    </row>
    <row r="58" spans="1:6" x14ac:dyDescent="0.35">
      <c r="A58" s="6" t="s">
        <v>251</v>
      </c>
      <c r="B58" s="6" t="s">
        <v>252</v>
      </c>
      <c r="C58" s="6">
        <v>1962</v>
      </c>
      <c r="D58" s="6" t="s">
        <v>6</v>
      </c>
      <c r="E58" s="6">
        <v>1167</v>
      </c>
      <c r="F58" s="6" t="s">
        <v>6</v>
      </c>
    </row>
    <row r="59" spans="1:6" x14ac:dyDescent="0.35">
      <c r="A59" s="6" t="s">
        <v>251</v>
      </c>
      <c r="B59" s="6" t="s">
        <v>252</v>
      </c>
      <c r="C59" s="6">
        <v>1963</v>
      </c>
      <c r="D59" s="6" t="s">
        <v>6</v>
      </c>
      <c r="E59" s="6">
        <v>1144</v>
      </c>
      <c r="F59" s="6" t="s">
        <v>6</v>
      </c>
    </row>
    <row r="60" spans="1:6" x14ac:dyDescent="0.35">
      <c r="A60" s="6" t="s">
        <v>251</v>
      </c>
      <c r="B60" s="6" t="s">
        <v>252</v>
      </c>
      <c r="C60" s="6">
        <v>1964</v>
      </c>
      <c r="D60" s="6" t="s">
        <v>6</v>
      </c>
      <c r="E60" s="6">
        <v>1121</v>
      </c>
      <c r="F60" s="6" t="s">
        <v>6</v>
      </c>
    </row>
    <row r="61" spans="1:6" x14ac:dyDescent="0.35">
      <c r="A61" s="6" t="s">
        <v>251</v>
      </c>
      <c r="B61" s="6" t="s">
        <v>252</v>
      </c>
      <c r="C61" s="6">
        <v>1965</v>
      </c>
      <c r="D61" s="6" t="s">
        <v>6</v>
      </c>
      <c r="E61" s="6">
        <v>1027</v>
      </c>
      <c r="F61" s="6" t="s">
        <v>6</v>
      </c>
    </row>
    <row r="62" spans="1:6" x14ac:dyDescent="0.35">
      <c r="A62" s="6" t="s">
        <v>251</v>
      </c>
      <c r="B62" s="6" t="s">
        <v>252</v>
      </c>
      <c r="C62" s="6">
        <v>1966</v>
      </c>
      <c r="D62" s="6" t="s">
        <v>6</v>
      </c>
      <c r="E62" s="6">
        <v>1062</v>
      </c>
      <c r="F62" s="6" t="s">
        <v>6</v>
      </c>
    </row>
    <row r="63" spans="1:6" x14ac:dyDescent="0.35">
      <c r="A63" s="6" t="s">
        <v>251</v>
      </c>
      <c r="B63" s="6" t="s">
        <v>252</v>
      </c>
      <c r="C63" s="6">
        <v>1967</v>
      </c>
      <c r="D63" s="6" t="s">
        <v>6</v>
      </c>
      <c r="E63" s="6">
        <v>1033</v>
      </c>
      <c r="F63" s="6" t="s">
        <v>6</v>
      </c>
    </row>
    <row r="64" spans="1:6" x14ac:dyDescent="0.35">
      <c r="A64" s="6" t="s">
        <v>251</v>
      </c>
      <c r="B64" s="6" t="s">
        <v>252</v>
      </c>
      <c r="C64" s="6">
        <v>1968</v>
      </c>
      <c r="D64" s="6" t="s">
        <v>6</v>
      </c>
      <c r="E64" s="6">
        <v>898</v>
      </c>
      <c r="F64" s="6" t="s">
        <v>6</v>
      </c>
    </row>
    <row r="65" spans="1:6" x14ac:dyDescent="0.35">
      <c r="A65" s="6" t="s">
        <v>251</v>
      </c>
      <c r="B65" s="6" t="s">
        <v>252</v>
      </c>
      <c r="C65" s="6">
        <v>1969</v>
      </c>
      <c r="D65" s="6" t="s">
        <v>6</v>
      </c>
      <c r="E65" s="6">
        <v>796</v>
      </c>
      <c r="F65" s="6" t="s">
        <v>6</v>
      </c>
    </row>
    <row r="66" spans="1:6" x14ac:dyDescent="0.35">
      <c r="A66" s="6" t="s">
        <v>251</v>
      </c>
      <c r="B66" s="6" t="s">
        <v>252</v>
      </c>
      <c r="C66" s="6">
        <v>1970</v>
      </c>
      <c r="D66" s="6" t="s">
        <v>6</v>
      </c>
      <c r="E66" s="6">
        <v>761</v>
      </c>
      <c r="F66" s="6" t="s">
        <v>6</v>
      </c>
    </row>
    <row r="67" spans="1:6" x14ac:dyDescent="0.35">
      <c r="A67" s="6" t="s">
        <v>251</v>
      </c>
      <c r="B67" s="6" t="s">
        <v>252</v>
      </c>
      <c r="C67" s="6">
        <v>1971</v>
      </c>
      <c r="D67" s="6" t="s">
        <v>6</v>
      </c>
      <c r="E67" s="6">
        <v>711</v>
      </c>
      <c r="F67" s="6" t="s">
        <v>6</v>
      </c>
    </row>
    <row r="68" spans="1:6" x14ac:dyDescent="0.35">
      <c r="A68" s="6" t="s">
        <v>251</v>
      </c>
      <c r="B68" s="6" t="s">
        <v>252</v>
      </c>
      <c r="C68" s="6">
        <v>1972</v>
      </c>
      <c r="D68" s="6" t="s">
        <v>6</v>
      </c>
      <c r="E68" s="6">
        <v>717</v>
      </c>
      <c r="F68" s="6" t="s">
        <v>6</v>
      </c>
    </row>
    <row r="69" spans="1:6" x14ac:dyDescent="0.35">
      <c r="A69" s="6" t="s">
        <v>251</v>
      </c>
      <c r="B69" s="6" t="s">
        <v>252</v>
      </c>
      <c r="C69" s="6">
        <v>1973</v>
      </c>
      <c r="D69" s="6" t="s">
        <v>6</v>
      </c>
      <c r="E69" s="6">
        <v>645</v>
      </c>
      <c r="F69" s="6" t="s">
        <v>6</v>
      </c>
    </row>
    <row r="70" spans="1:6" x14ac:dyDescent="0.35">
      <c r="A70" s="6" t="s">
        <v>251</v>
      </c>
      <c r="B70" s="6" t="s">
        <v>252</v>
      </c>
      <c r="C70" s="6">
        <v>1974</v>
      </c>
      <c r="D70" s="6" t="s">
        <v>6</v>
      </c>
      <c r="E70" s="6">
        <v>647</v>
      </c>
      <c r="F70" s="6" t="s">
        <v>6</v>
      </c>
    </row>
    <row r="71" spans="1:6" x14ac:dyDescent="0.35">
      <c r="A71" s="6" t="s">
        <v>251</v>
      </c>
      <c r="B71" s="6" t="s">
        <v>252</v>
      </c>
      <c r="C71" s="6">
        <v>1975</v>
      </c>
      <c r="D71" s="6" t="s">
        <v>6</v>
      </c>
      <c r="E71" s="6">
        <v>735</v>
      </c>
      <c r="F71" s="6" t="s">
        <v>6</v>
      </c>
    </row>
    <row r="72" spans="1:6" x14ac:dyDescent="0.35">
      <c r="A72" s="6" t="s">
        <v>251</v>
      </c>
      <c r="B72" s="6" t="s">
        <v>252</v>
      </c>
      <c r="C72" s="6">
        <v>1976</v>
      </c>
      <c r="D72" s="6" t="s">
        <v>6</v>
      </c>
      <c r="E72" s="6">
        <v>716</v>
      </c>
      <c r="F72" s="6" t="s">
        <v>6</v>
      </c>
    </row>
    <row r="73" spans="1:6" x14ac:dyDescent="0.35">
      <c r="A73" s="6" t="s">
        <v>251</v>
      </c>
      <c r="B73" s="6" t="s">
        <v>252</v>
      </c>
      <c r="C73" s="6">
        <v>1977</v>
      </c>
      <c r="D73" s="6" t="s">
        <v>6</v>
      </c>
      <c r="E73" s="6">
        <v>682</v>
      </c>
      <c r="F73" s="6" t="s">
        <v>6</v>
      </c>
    </row>
    <row r="74" spans="1:6" x14ac:dyDescent="0.35">
      <c r="A74" s="6" t="s">
        <v>251</v>
      </c>
      <c r="B74" s="6" t="s">
        <v>252</v>
      </c>
      <c r="C74" s="6">
        <v>1978</v>
      </c>
      <c r="D74" s="6" t="s">
        <v>6</v>
      </c>
      <c r="E74" s="6">
        <v>705</v>
      </c>
      <c r="F74" s="6" t="s">
        <v>6</v>
      </c>
    </row>
    <row r="75" spans="1:6" x14ac:dyDescent="0.35">
      <c r="A75" s="6" t="s">
        <v>251</v>
      </c>
      <c r="B75" s="6" t="s">
        <v>252</v>
      </c>
      <c r="C75" s="6">
        <v>1979</v>
      </c>
      <c r="D75" s="6" t="s">
        <v>6</v>
      </c>
      <c r="E75" s="6">
        <v>664</v>
      </c>
      <c r="F75" s="6" t="s">
        <v>6</v>
      </c>
    </row>
    <row r="76" spans="1:6" x14ac:dyDescent="0.35">
      <c r="A76" s="6" t="s">
        <v>251</v>
      </c>
      <c r="B76" s="6" t="s">
        <v>252</v>
      </c>
      <c r="C76" s="6">
        <v>1980</v>
      </c>
      <c r="D76" s="6" t="s">
        <v>6</v>
      </c>
      <c r="E76" s="6">
        <v>684</v>
      </c>
      <c r="F76" s="6" t="s">
        <v>6</v>
      </c>
    </row>
    <row r="77" spans="1:6" x14ac:dyDescent="0.35">
      <c r="A77" s="6" t="s">
        <v>251</v>
      </c>
      <c r="B77" s="6" t="s">
        <v>252</v>
      </c>
      <c r="C77" s="6">
        <v>1981</v>
      </c>
      <c r="D77" s="6" t="s">
        <v>6</v>
      </c>
      <c r="E77" s="6">
        <v>673</v>
      </c>
      <c r="F77" s="6" t="s">
        <v>6</v>
      </c>
    </row>
    <row r="78" spans="1:6" x14ac:dyDescent="0.35">
      <c r="A78" s="6" t="s">
        <v>251</v>
      </c>
      <c r="B78" s="6" t="s">
        <v>252</v>
      </c>
      <c r="C78" s="6">
        <v>1982</v>
      </c>
      <c r="D78" s="6" t="s">
        <v>6</v>
      </c>
      <c r="E78" s="6">
        <v>701</v>
      </c>
      <c r="F78" s="6" t="s">
        <v>6</v>
      </c>
    </row>
    <row r="79" spans="1:6" x14ac:dyDescent="0.35">
      <c r="A79" s="6" t="s">
        <v>251</v>
      </c>
      <c r="B79" s="6" t="s">
        <v>252</v>
      </c>
      <c r="C79" s="6">
        <v>1983</v>
      </c>
      <c r="D79" s="6" t="s">
        <v>6</v>
      </c>
      <c r="E79" s="6">
        <v>711</v>
      </c>
      <c r="F79" s="6" t="s">
        <v>6</v>
      </c>
    </row>
    <row r="80" spans="1:6" x14ac:dyDescent="0.35">
      <c r="A80" s="6" t="s">
        <v>251</v>
      </c>
      <c r="B80" s="6" t="s">
        <v>252</v>
      </c>
      <c r="C80" s="6">
        <v>1984</v>
      </c>
      <c r="D80" s="6" t="s">
        <v>6</v>
      </c>
      <c r="E80" s="6">
        <v>683</v>
      </c>
      <c r="F80" s="6" t="s">
        <v>6</v>
      </c>
    </row>
    <row r="81" spans="1:6" x14ac:dyDescent="0.35">
      <c r="A81" s="6" t="s">
        <v>251</v>
      </c>
      <c r="B81" s="6" t="s">
        <v>252</v>
      </c>
      <c r="C81" s="6">
        <v>1985</v>
      </c>
      <c r="D81" s="6" t="s">
        <v>6</v>
      </c>
      <c r="E81" s="6">
        <v>696</v>
      </c>
      <c r="F81" s="6" t="s">
        <v>6</v>
      </c>
    </row>
    <row r="82" spans="1:6" x14ac:dyDescent="0.35">
      <c r="A82" s="6" t="s">
        <v>251</v>
      </c>
      <c r="B82" s="6" t="s">
        <v>252</v>
      </c>
      <c r="C82" s="6">
        <v>1986</v>
      </c>
      <c r="D82" s="6" t="s">
        <v>6</v>
      </c>
      <c r="E82" s="6">
        <v>656</v>
      </c>
      <c r="F82" s="6" t="s">
        <v>6</v>
      </c>
    </row>
    <row r="83" spans="1:6" x14ac:dyDescent="0.35">
      <c r="A83" s="6" t="s">
        <v>251</v>
      </c>
      <c r="B83" s="6" t="s">
        <v>252</v>
      </c>
      <c r="C83" s="6">
        <v>1987</v>
      </c>
      <c r="D83" s="6" t="s">
        <v>6</v>
      </c>
      <c r="E83" s="6">
        <v>640</v>
      </c>
      <c r="F83" s="6" t="s">
        <v>6</v>
      </c>
    </row>
    <row r="84" spans="1:6" x14ac:dyDescent="0.35">
      <c r="A84" s="6" t="s">
        <v>251</v>
      </c>
      <c r="B84" s="6" t="s">
        <v>252</v>
      </c>
      <c r="C84" s="6">
        <v>1988</v>
      </c>
      <c r="D84" s="6">
        <v>62218</v>
      </c>
      <c r="E84" s="6">
        <v>693</v>
      </c>
      <c r="F84" s="6" t="s">
        <v>6</v>
      </c>
    </row>
    <row r="85" spans="1:6" x14ac:dyDescent="0.35">
      <c r="A85" s="6" t="s">
        <v>251</v>
      </c>
      <c r="B85" s="6" t="s">
        <v>252</v>
      </c>
      <c r="C85" s="6">
        <v>1989</v>
      </c>
      <c r="D85" s="6">
        <v>62245</v>
      </c>
      <c r="E85" s="6">
        <v>667</v>
      </c>
      <c r="F85" s="6" t="s">
        <v>6</v>
      </c>
    </row>
    <row r="86" spans="1:6" x14ac:dyDescent="0.35">
      <c r="A86" s="6" t="s">
        <v>251</v>
      </c>
      <c r="B86" s="6" t="s">
        <v>252</v>
      </c>
      <c r="C86" s="6">
        <v>1990</v>
      </c>
      <c r="D86" s="6">
        <v>64255</v>
      </c>
      <c r="E86" s="6">
        <v>761</v>
      </c>
      <c r="F86" s="6" t="s">
        <v>6</v>
      </c>
    </row>
    <row r="87" spans="1:6" x14ac:dyDescent="0.35">
      <c r="A87" s="6" t="s">
        <v>251</v>
      </c>
      <c r="B87" s="6" t="s">
        <v>252</v>
      </c>
      <c r="C87" s="6">
        <v>1991</v>
      </c>
      <c r="D87" s="6">
        <v>64086</v>
      </c>
      <c r="E87" s="6">
        <v>770</v>
      </c>
      <c r="F87" s="6" t="s">
        <v>6</v>
      </c>
    </row>
    <row r="88" spans="1:6" x14ac:dyDescent="0.35">
      <c r="A88" s="6" t="s">
        <v>251</v>
      </c>
      <c r="B88" s="6" t="s">
        <v>252</v>
      </c>
      <c r="C88" s="6">
        <v>1992</v>
      </c>
      <c r="D88" s="6">
        <v>65194</v>
      </c>
      <c r="E88" s="6">
        <v>859</v>
      </c>
      <c r="F88" s="6" t="s">
        <v>6</v>
      </c>
    </row>
    <row r="89" spans="1:6" x14ac:dyDescent="0.35">
      <c r="A89" s="6" t="s">
        <v>251</v>
      </c>
      <c r="B89" s="6" t="s">
        <v>252</v>
      </c>
      <c r="C89" s="6">
        <v>1993</v>
      </c>
      <c r="D89" s="6">
        <v>63274</v>
      </c>
      <c r="E89" s="6">
        <v>881</v>
      </c>
      <c r="F89" s="6" t="s">
        <v>6</v>
      </c>
    </row>
    <row r="90" spans="1:6" x14ac:dyDescent="0.35">
      <c r="A90" s="6" t="s">
        <v>251</v>
      </c>
      <c r="B90" s="6" t="s">
        <v>252</v>
      </c>
      <c r="C90" s="6">
        <v>1994</v>
      </c>
      <c r="D90" s="6">
        <v>63519</v>
      </c>
      <c r="E90" s="6">
        <v>929</v>
      </c>
      <c r="F90" s="6" t="s">
        <v>6</v>
      </c>
    </row>
    <row r="91" spans="1:6" x14ac:dyDescent="0.35">
      <c r="A91" s="6" t="s">
        <v>251</v>
      </c>
      <c r="B91" s="6" t="s">
        <v>252</v>
      </c>
      <c r="C91" s="6">
        <v>1995</v>
      </c>
      <c r="D91" s="6">
        <v>61522</v>
      </c>
      <c r="E91" s="6">
        <v>879</v>
      </c>
      <c r="F91" s="6" t="s">
        <v>6</v>
      </c>
    </row>
    <row r="92" spans="1:6" x14ac:dyDescent="0.35">
      <c r="A92" s="6" t="s">
        <v>251</v>
      </c>
      <c r="B92" s="6" t="s">
        <v>252</v>
      </c>
      <c r="C92" s="6">
        <v>1996</v>
      </c>
      <c r="D92" s="6">
        <v>58987</v>
      </c>
      <c r="E92" s="6">
        <v>949</v>
      </c>
      <c r="F92" s="6" t="s">
        <v>6</v>
      </c>
    </row>
    <row r="93" spans="1:6" x14ac:dyDescent="0.35">
      <c r="A93" s="6" t="s">
        <v>251</v>
      </c>
      <c r="B93" s="6" t="s">
        <v>252</v>
      </c>
      <c r="C93" s="6">
        <v>1997</v>
      </c>
      <c r="D93" s="6">
        <v>57669</v>
      </c>
      <c r="E93" s="6">
        <v>916</v>
      </c>
      <c r="F93" s="6" t="s">
        <v>6</v>
      </c>
    </row>
    <row r="94" spans="1:6" x14ac:dyDescent="0.35">
      <c r="A94" s="6" t="s">
        <v>251</v>
      </c>
      <c r="B94" s="6" t="s">
        <v>252</v>
      </c>
      <c r="C94" s="6">
        <v>1998</v>
      </c>
      <c r="D94" s="6">
        <v>55353</v>
      </c>
      <c r="E94" s="6">
        <v>959</v>
      </c>
      <c r="F94" s="6" t="s">
        <v>6</v>
      </c>
    </row>
    <row r="95" spans="1:6" x14ac:dyDescent="0.35">
      <c r="A95" s="6" t="s">
        <v>251</v>
      </c>
      <c r="B95" s="6" t="s">
        <v>252</v>
      </c>
      <c r="C95" s="6">
        <v>1999</v>
      </c>
      <c r="D95" s="6">
        <v>55901</v>
      </c>
      <c r="E95" s="6">
        <v>901</v>
      </c>
      <c r="F95" s="6" t="s">
        <v>6</v>
      </c>
    </row>
    <row r="96" spans="1:6" x14ac:dyDescent="0.35">
      <c r="A96" s="6" t="s">
        <v>251</v>
      </c>
      <c r="B96" s="2" t="s">
        <v>252</v>
      </c>
      <c r="C96" s="3">
        <v>2000</v>
      </c>
      <c r="D96" s="3">
        <v>55148</v>
      </c>
      <c r="E96" s="3">
        <v>899</v>
      </c>
      <c r="F96" s="6" t="s">
        <v>6</v>
      </c>
    </row>
    <row r="97" spans="1:6" x14ac:dyDescent="0.35">
      <c r="A97" s="6" t="s">
        <v>251</v>
      </c>
      <c r="B97" s="2" t="s">
        <v>252</v>
      </c>
      <c r="C97" s="3">
        <v>2001</v>
      </c>
      <c r="D97" s="3">
        <v>54658</v>
      </c>
      <c r="E97" s="3">
        <v>843</v>
      </c>
      <c r="F97" s="6" t="s">
        <v>6</v>
      </c>
    </row>
    <row r="98" spans="1:6" x14ac:dyDescent="0.35">
      <c r="A98" s="6" t="s">
        <v>251</v>
      </c>
      <c r="B98" s="2" t="s">
        <v>252</v>
      </c>
      <c r="C98" s="3">
        <v>2002</v>
      </c>
      <c r="D98" s="3">
        <v>54043</v>
      </c>
      <c r="E98" s="3">
        <v>829</v>
      </c>
      <c r="F98" s="6" t="s">
        <v>6</v>
      </c>
    </row>
    <row r="99" spans="1:6" x14ac:dyDescent="0.35">
      <c r="A99" s="6" t="s">
        <v>251</v>
      </c>
      <c r="B99" s="2" t="s">
        <v>252</v>
      </c>
      <c r="C99" s="3">
        <v>2003</v>
      </c>
      <c r="D99" s="3">
        <v>55122</v>
      </c>
      <c r="E99" s="3">
        <v>834</v>
      </c>
      <c r="F99" s="6" t="s">
        <v>6</v>
      </c>
    </row>
    <row r="100" spans="1:6" x14ac:dyDescent="0.35">
      <c r="A100" s="6" t="s">
        <v>251</v>
      </c>
      <c r="B100" s="2" t="s">
        <v>252</v>
      </c>
      <c r="C100" s="3">
        <v>2004</v>
      </c>
      <c r="D100" s="3">
        <v>56206</v>
      </c>
      <c r="E100" s="3">
        <v>844</v>
      </c>
      <c r="F100" s="6" t="s">
        <v>6</v>
      </c>
    </row>
    <row r="101" spans="1:6" x14ac:dyDescent="0.35">
      <c r="A101" s="6" t="s">
        <v>251</v>
      </c>
      <c r="B101" s="2" t="s">
        <v>252</v>
      </c>
      <c r="C101" s="3">
        <v>2005</v>
      </c>
      <c r="D101" s="3">
        <v>56212</v>
      </c>
      <c r="E101" s="3">
        <v>847</v>
      </c>
      <c r="F101" s="6" t="s">
        <v>6</v>
      </c>
    </row>
    <row r="102" spans="1:6" x14ac:dyDescent="0.35">
      <c r="A102" s="6" t="s">
        <v>251</v>
      </c>
      <c r="B102" s="2" t="s">
        <v>252</v>
      </c>
      <c r="C102" s="3">
        <v>2006</v>
      </c>
      <c r="D102" s="3">
        <v>57252</v>
      </c>
      <c r="E102" s="3">
        <v>871</v>
      </c>
      <c r="F102" s="6" t="s">
        <v>6</v>
      </c>
    </row>
    <row r="103" spans="1:6" x14ac:dyDescent="0.35">
      <c r="A103" s="6" t="s">
        <v>251</v>
      </c>
      <c r="B103" s="2" t="s">
        <v>252</v>
      </c>
      <c r="C103" s="3">
        <v>2007</v>
      </c>
      <c r="D103" s="3">
        <v>57125</v>
      </c>
      <c r="E103" s="3">
        <v>889</v>
      </c>
      <c r="F103" s="6" t="s">
        <v>6</v>
      </c>
    </row>
    <row r="104" spans="1:6" x14ac:dyDescent="0.35">
      <c r="A104" s="6" t="s">
        <v>251</v>
      </c>
      <c r="B104" s="2" t="s">
        <v>252</v>
      </c>
      <c r="C104" s="3">
        <v>2008</v>
      </c>
      <c r="D104" s="3">
        <v>57981</v>
      </c>
      <c r="E104" s="3">
        <v>854</v>
      </c>
      <c r="F104" s="6" t="s">
        <v>6</v>
      </c>
    </row>
    <row r="105" spans="1:6" x14ac:dyDescent="0.35">
      <c r="A105" s="6" t="s">
        <v>251</v>
      </c>
      <c r="B105" s="2" t="s">
        <v>252</v>
      </c>
      <c r="C105" s="3">
        <v>2009</v>
      </c>
      <c r="D105" s="3">
        <v>58896</v>
      </c>
      <c r="E105" s="3">
        <v>850</v>
      </c>
      <c r="F105" s="6" t="s">
        <v>6</v>
      </c>
    </row>
    <row r="106" spans="1:6" x14ac:dyDescent="0.35">
      <c r="A106" s="6" t="s">
        <v>251</v>
      </c>
      <c r="B106" s="2" t="s">
        <v>252</v>
      </c>
      <c r="C106" s="3">
        <v>2010</v>
      </c>
      <c r="D106" s="3">
        <v>59284</v>
      </c>
      <c r="E106" s="3">
        <v>919</v>
      </c>
      <c r="F106" s="6" t="s">
        <v>6</v>
      </c>
    </row>
    <row r="107" spans="1:6" x14ac:dyDescent="0.35">
      <c r="A107" s="6" t="s">
        <v>251</v>
      </c>
      <c r="B107" s="2" t="s">
        <v>252</v>
      </c>
      <c r="C107" s="3">
        <v>2011</v>
      </c>
      <c r="D107" s="3">
        <v>58398</v>
      </c>
      <c r="E107" s="3">
        <v>841</v>
      </c>
      <c r="F107" s="6" t="s">
        <v>6</v>
      </c>
    </row>
    <row r="108" spans="1:6" x14ac:dyDescent="0.35">
      <c r="A108" s="6" t="s">
        <v>251</v>
      </c>
      <c r="B108" s="2" t="s">
        <v>252</v>
      </c>
      <c r="C108" s="3">
        <v>2012</v>
      </c>
      <c r="D108" s="3">
        <v>58030</v>
      </c>
      <c r="E108" s="3">
        <v>794</v>
      </c>
      <c r="F108" s="6" t="s">
        <v>6</v>
      </c>
    </row>
    <row r="109" spans="1:6" x14ac:dyDescent="0.35">
      <c r="A109" s="6" t="s">
        <v>251</v>
      </c>
      <c r="B109" s="2" t="s">
        <v>252</v>
      </c>
      <c r="C109" s="3">
        <v>2013</v>
      </c>
      <c r="D109" s="3">
        <v>56692</v>
      </c>
      <c r="E109" s="3">
        <v>785</v>
      </c>
      <c r="F109" s="6" t="s">
        <v>6</v>
      </c>
    </row>
    <row r="110" spans="1:6" x14ac:dyDescent="0.35">
      <c r="A110" s="6" t="s">
        <v>251</v>
      </c>
      <c r="B110" s="2" t="s">
        <v>252</v>
      </c>
      <c r="C110" s="3">
        <v>2014</v>
      </c>
      <c r="D110" s="3">
        <v>55825</v>
      </c>
      <c r="E110" s="3">
        <v>771</v>
      </c>
      <c r="F110" s="6" t="s">
        <v>6</v>
      </c>
    </row>
    <row r="111" spans="1:6" x14ac:dyDescent="0.35">
      <c r="A111" s="6" t="s">
        <v>251</v>
      </c>
      <c r="B111" s="2" t="s">
        <v>252</v>
      </c>
      <c r="C111" s="3">
        <v>2015</v>
      </c>
      <c r="D111" s="3">
        <v>54144</v>
      </c>
      <c r="E111" s="3">
        <v>738</v>
      </c>
      <c r="F111" s="6" t="s">
        <v>6</v>
      </c>
    </row>
    <row r="112" spans="1:6" x14ac:dyDescent="0.35">
      <c r="A112" s="6" t="s">
        <v>251</v>
      </c>
      <c r="B112" s="2" t="s">
        <v>252</v>
      </c>
      <c r="C112" s="3">
        <v>2016</v>
      </c>
      <c r="D112" s="3">
        <v>51494</v>
      </c>
      <c r="E112" s="3">
        <v>730</v>
      </c>
      <c r="F112" s="6" t="s">
        <v>6</v>
      </c>
    </row>
    <row r="113" spans="1:6" x14ac:dyDescent="0.35">
      <c r="A113" s="6" t="s">
        <v>251</v>
      </c>
      <c r="B113" s="2" t="s">
        <v>252</v>
      </c>
      <c r="C113" s="3">
        <v>2017</v>
      </c>
      <c r="D113" s="3">
        <v>49066</v>
      </c>
      <c r="E113" s="3">
        <v>690</v>
      </c>
      <c r="F113" s="6" t="s">
        <v>6</v>
      </c>
    </row>
    <row r="114" spans="1:6" x14ac:dyDescent="0.35">
      <c r="A114" s="6" t="s">
        <v>251</v>
      </c>
      <c r="B114" s="2" t="s">
        <v>252</v>
      </c>
      <c r="C114" s="3">
        <v>2018</v>
      </c>
      <c r="D114" s="3">
        <v>46459</v>
      </c>
      <c r="E114" s="3">
        <v>618</v>
      </c>
      <c r="F114" s="6" t="s">
        <v>6</v>
      </c>
    </row>
    <row r="115" spans="1:6" x14ac:dyDescent="0.35">
      <c r="A115" s="6" t="s">
        <v>251</v>
      </c>
      <c r="B115" s="2" t="s">
        <v>252</v>
      </c>
      <c r="C115" s="3">
        <v>2019</v>
      </c>
      <c r="D115" s="3">
        <v>44574</v>
      </c>
      <c r="E115" s="3">
        <v>572</v>
      </c>
      <c r="F115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F3FF-BF90-47D2-8B94-688857499843}">
  <dimension ref="A1:F164"/>
  <sheetViews>
    <sheetView zoomScale="55" zoomScaleNormal="55" workbookViewId="0">
      <selection sqref="A1:F164"/>
    </sheetView>
  </sheetViews>
  <sheetFormatPr defaultRowHeight="14.5" x14ac:dyDescent="0.35"/>
  <cols>
    <col min="1" max="1" width="11.08984375" style="3" customWidth="1"/>
    <col min="2" max="2" width="11" style="3" customWidth="1"/>
    <col min="3" max="3" width="7.7265625" style="3" customWidth="1"/>
    <col min="4" max="4" width="14.453125" style="6"/>
    <col min="5" max="5" width="19.1796875" style="6" customWidth="1"/>
    <col min="6" max="6" width="17.7265625" style="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0" t="s">
        <v>9</v>
      </c>
      <c r="E1" s="20" t="s">
        <v>7</v>
      </c>
      <c r="F1" s="20" t="s">
        <v>8</v>
      </c>
    </row>
    <row r="2" spans="1:6" x14ac:dyDescent="0.35">
      <c r="A2" s="2" t="s">
        <v>253</v>
      </c>
      <c r="B2" s="6" t="s">
        <v>254</v>
      </c>
      <c r="C2" s="2">
        <v>1858</v>
      </c>
      <c r="D2" s="6" t="s">
        <v>6</v>
      </c>
      <c r="E2" s="6">
        <v>9791</v>
      </c>
      <c r="F2" s="6">
        <v>19582</v>
      </c>
    </row>
    <row r="3" spans="1:6" x14ac:dyDescent="0.35">
      <c r="A3" s="2" t="s">
        <v>253</v>
      </c>
      <c r="B3" s="6" t="s">
        <v>254</v>
      </c>
      <c r="C3" s="2">
        <v>1859</v>
      </c>
      <c r="D3" s="6" t="s">
        <v>6</v>
      </c>
      <c r="E3" s="6">
        <v>11005</v>
      </c>
      <c r="F3" s="6">
        <v>22010</v>
      </c>
    </row>
    <row r="4" spans="1:6" x14ac:dyDescent="0.35">
      <c r="A4" s="2" t="s">
        <v>253</v>
      </c>
      <c r="B4" s="6" t="s">
        <v>254</v>
      </c>
      <c r="C4" s="2">
        <v>1860</v>
      </c>
      <c r="D4" s="6" t="s">
        <v>6</v>
      </c>
      <c r="E4" s="6">
        <v>9943</v>
      </c>
      <c r="F4" s="6">
        <v>19886</v>
      </c>
    </row>
    <row r="5" spans="1:6" x14ac:dyDescent="0.35">
      <c r="A5" s="2" t="s">
        <v>253</v>
      </c>
      <c r="B5" s="6" t="s">
        <v>254</v>
      </c>
      <c r="C5" s="2">
        <v>1861</v>
      </c>
      <c r="D5" s="6" t="s">
        <v>6</v>
      </c>
      <c r="E5" s="6">
        <v>10782</v>
      </c>
      <c r="F5" s="6">
        <v>21564</v>
      </c>
    </row>
    <row r="6" spans="1:6" x14ac:dyDescent="0.35">
      <c r="A6" s="2" t="s">
        <v>253</v>
      </c>
      <c r="B6" s="6" t="s">
        <v>254</v>
      </c>
      <c r="C6" s="2">
        <v>1862</v>
      </c>
      <c r="D6" s="6" t="s">
        <v>6</v>
      </c>
      <c r="E6" s="6">
        <v>10214</v>
      </c>
      <c r="F6" s="6">
        <v>20428</v>
      </c>
    </row>
    <row r="7" spans="1:6" x14ac:dyDescent="0.35">
      <c r="A7" s="2" t="s">
        <v>253</v>
      </c>
      <c r="B7" s="6" t="s">
        <v>254</v>
      </c>
      <c r="C7" s="2">
        <v>1863</v>
      </c>
      <c r="D7" s="6" t="s">
        <v>6</v>
      </c>
      <c r="E7" s="6">
        <v>10642</v>
      </c>
      <c r="F7" s="6">
        <v>21284</v>
      </c>
    </row>
    <row r="8" spans="1:6" x14ac:dyDescent="0.35">
      <c r="A8" s="2" t="s">
        <v>253</v>
      </c>
      <c r="B8" s="6" t="s">
        <v>254</v>
      </c>
      <c r="C8" s="2">
        <v>1864</v>
      </c>
      <c r="D8" s="6" t="s">
        <v>6</v>
      </c>
      <c r="E8" s="6">
        <f>F8/2</f>
        <v>10718</v>
      </c>
      <c r="F8" s="6">
        <v>21436</v>
      </c>
    </row>
    <row r="9" spans="1:6" x14ac:dyDescent="0.35">
      <c r="A9" s="2" t="s">
        <v>253</v>
      </c>
      <c r="B9" s="6" t="s">
        <v>254</v>
      </c>
      <c r="C9" s="2">
        <v>1865</v>
      </c>
      <c r="D9" s="6" t="s">
        <v>6</v>
      </c>
      <c r="E9" s="6">
        <v>10634</v>
      </c>
      <c r="F9" s="6">
        <v>21268</v>
      </c>
    </row>
    <row r="10" spans="1:6" x14ac:dyDescent="0.35">
      <c r="A10" s="2" t="s">
        <v>253</v>
      </c>
      <c r="B10" s="6" t="s">
        <v>254</v>
      </c>
      <c r="C10" s="2">
        <v>1866</v>
      </c>
      <c r="D10" s="6" t="s">
        <v>6</v>
      </c>
      <c r="E10" s="6">
        <v>10225</v>
      </c>
      <c r="F10" s="6">
        <v>20450</v>
      </c>
    </row>
    <row r="11" spans="1:6" x14ac:dyDescent="0.35">
      <c r="A11" s="2" t="s">
        <v>253</v>
      </c>
      <c r="B11" s="6" t="s">
        <v>254</v>
      </c>
      <c r="C11" s="2">
        <v>1867</v>
      </c>
      <c r="D11" s="6" t="s">
        <v>6</v>
      </c>
      <c r="E11" s="6">
        <v>9976</v>
      </c>
      <c r="F11" s="6">
        <v>19952</v>
      </c>
    </row>
    <row r="12" spans="1:6" x14ac:dyDescent="0.35">
      <c r="A12" s="2" t="s">
        <v>253</v>
      </c>
      <c r="B12" s="6" t="s">
        <v>254</v>
      </c>
      <c r="C12" s="2">
        <v>1868</v>
      </c>
      <c r="D12" s="6" t="s">
        <v>6</v>
      </c>
      <c r="E12" s="6">
        <v>9923</v>
      </c>
      <c r="F12" s="6">
        <v>19846</v>
      </c>
    </row>
    <row r="13" spans="1:6" x14ac:dyDescent="0.35">
      <c r="A13" s="2" t="s">
        <v>253</v>
      </c>
      <c r="B13" s="6" t="s">
        <v>254</v>
      </c>
      <c r="C13" s="2">
        <v>1869</v>
      </c>
      <c r="D13" s="6" t="s">
        <v>6</v>
      </c>
      <c r="E13" s="6">
        <v>9367</v>
      </c>
      <c r="F13" s="6">
        <v>18734</v>
      </c>
    </row>
    <row r="14" spans="1:6" x14ac:dyDescent="0.35">
      <c r="A14" s="2" t="s">
        <v>253</v>
      </c>
      <c r="B14" s="6" t="s">
        <v>254</v>
      </c>
      <c r="C14" s="2">
        <v>1870</v>
      </c>
      <c r="D14" s="6" t="s">
        <v>6</v>
      </c>
      <c r="E14" s="6">
        <v>8204</v>
      </c>
      <c r="F14" s="6">
        <v>16322</v>
      </c>
    </row>
    <row r="15" spans="1:6" x14ac:dyDescent="0.35">
      <c r="A15" s="2" t="s">
        <v>253</v>
      </c>
      <c r="B15" s="6" t="s">
        <v>254</v>
      </c>
      <c r="C15" s="2">
        <v>1871</v>
      </c>
      <c r="D15" s="6" t="s">
        <v>6</v>
      </c>
      <c r="E15" s="6">
        <v>7562</v>
      </c>
      <c r="F15" s="6">
        <v>14980</v>
      </c>
    </row>
    <row r="16" spans="1:6" x14ac:dyDescent="0.35">
      <c r="A16" s="2" t="s">
        <v>253</v>
      </c>
      <c r="B16" s="6" t="s">
        <v>254</v>
      </c>
      <c r="C16" s="2">
        <v>1872</v>
      </c>
      <c r="D16" s="6" t="s">
        <v>6</v>
      </c>
      <c r="E16" s="6">
        <v>9874</v>
      </c>
      <c r="F16" s="6">
        <v>19748</v>
      </c>
    </row>
    <row r="17" spans="1:6" x14ac:dyDescent="0.35">
      <c r="A17" s="2" t="s">
        <v>253</v>
      </c>
      <c r="B17" s="6" t="s">
        <v>254</v>
      </c>
      <c r="C17" s="2">
        <v>1873</v>
      </c>
      <c r="D17" s="6" t="s">
        <v>6</v>
      </c>
      <c r="E17" s="6">
        <v>9459</v>
      </c>
      <c r="F17" s="6">
        <v>18918</v>
      </c>
    </row>
    <row r="18" spans="1:6" x14ac:dyDescent="0.35">
      <c r="A18" s="2" t="s">
        <v>253</v>
      </c>
      <c r="B18" s="6" t="s">
        <v>254</v>
      </c>
      <c r="C18" s="2">
        <v>1874</v>
      </c>
      <c r="D18" s="6" t="s">
        <v>6</v>
      </c>
      <c r="E18" s="6">
        <v>9771</v>
      </c>
      <c r="F18" s="6">
        <v>19542</v>
      </c>
    </row>
    <row r="19" spans="1:6" x14ac:dyDescent="0.35">
      <c r="A19" s="2" t="s">
        <v>253</v>
      </c>
      <c r="B19" s="6" t="s">
        <v>254</v>
      </c>
      <c r="C19" s="2">
        <v>1875</v>
      </c>
      <c r="D19" s="6" t="s">
        <v>6</v>
      </c>
      <c r="E19" s="6">
        <v>9646</v>
      </c>
      <c r="F19" s="6">
        <v>19292</v>
      </c>
    </row>
    <row r="20" spans="1:6" x14ac:dyDescent="0.35">
      <c r="A20" s="2" t="s">
        <v>253</v>
      </c>
      <c r="B20" s="6" t="s">
        <v>254</v>
      </c>
      <c r="C20" s="2">
        <v>1876</v>
      </c>
      <c r="D20" s="6" t="s">
        <v>6</v>
      </c>
      <c r="E20" s="6">
        <v>10034</v>
      </c>
      <c r="F20" s="6">
        <v>20068</v>
      </c>
    </row>
    <row r="21" spans="1:6" x14ac:dyDescent="0.35">
      <c r="A21" s="2" t="s">
        <v>253</v>
      </c>
      <c r="B21" s="6" t="s">
        <v>254</v>
      </c>
      <c r="C21" s="2">
        <v>1877</v>
      </c>
      <c r="D21" s="6" t="s">
        <v>6</v>
      </c>
      <c r="E21" s="6">
        <v>9405</v>
      </c>
      <c r="F21" s="6">
        <v>18810</v>
      </c>
    </row>
    <row r="22" spans="1:6" x14ac:dyDescent="0.35">
      <c r="A22" s="2" t="s">
        <v>253</v>
      </c>
      <c r="B22" s="6" t="s">
        <v>254</v>
      </c>
      <c r="C22" s="2">
        <v>1878</v>
      </c>
      <c r="D22" s="6" t="s">
        <v>6</v>
      </c>
      <c r="E22" s="6">
        <v>9533</v>
      </c>
      <c r="F22" s="6">
        <v>19066</v>
      </c>
    </row>
    <row r="23" spans="1:6" x14ac:dyDescent="0.35">
      <c r="A23" s="2" t="s">
        <v>253</v>
      </c>
      <c r="B23" s="6" t="s">
        <v>254</v>
      </c>
      <c r="C23" s="2">
        <v>1879</v>
      </c>
      <c r="D23" s="6" t="s">
        <v>6</v>
      </c>
      <c r="E23" s="6">
        <v>9484</v>
      </c>
      <c r="F23" s="6">
        <v>18968</v>
      </c>
    </row>
    <row r="24" spans="1:6" x14ac:dyDescent="0.35">
      <c r="A24" s="2" t="s">
        <v>253</v>
      </c>
      <c r="B24" s="6" t="s">
        <v>254</v>
      </c>
      <c r="C24" s="2">
        <v>1880</v>
      </c>
      <c r="D24" s="6" t="s">
        <v>6</v>
      </c>
      <c r="E24" s="6">
        <v>9438</v>
      </c>
      <c r="F24" s="6">
        <v>18876</v>
      </c>
    </row>
    <row r="25" spans="1:6" x14ac:dyDescent="0.35">
      <c r="A25" s="2" t="s">
        <v>253</v>
      </c>
      <c r="B25" s="6" t="s">
        <v>254</v>
      </c>
      <c r="C25" s="2">
        <v>1881</v>
      </c>
      <c r="D25" s="6" t="s">
        <v>6</v>
      </c>
      <c r="E25" s="6">
        <v>9327</v>
      </c>
      <c r="F25" s="6">
        <v>18654</v>
      </c>
    </row>
    <row r="26" spans="1:6" x14ac:dyDescent="0.35">
      <c r="A26" s="2" t="s">
        <v>253</v>
      </c>
      <c r="B26" s="6" t="s">
        <v>254</v>
      </c>
      <c r="C26" s="2">
        <v>1882</v>
      </c>
      <c r="D26" s="6" t="s">
        <v>6</v>
      </c>
      <c r="E26" s="6">
        <v>9714</v>
      </c>
      <c r="F26" s="6">
        <v>19428</v>
      </c>
    </row>
    <row r="27" spans="1:6" x14ac:dyDescent="0.35">
      <c r="A27" s="2" t="s">
        <v>253</v>
      </c>
      <c r="B27" s="6" t="s">
        <v>254</v>
      </c>
      <c r="C27" s="2">
        <v>1883</v>
      </c>
      <c r="D27" s="6" t="s">
        <v>6</v>
      </c>
      <c r="E27" s="6">
        <v>9812</v>
      </c>
      <c r="F27" s="6">
        <v>19624</v>
      </c>
    </row>
    <row r="28" spans="1:6" x14ac:dyDescent="0.35">
      <c r="A28" s="2" t="s">
        <v>253</v>
      </c>
      <c r="B28" s="6" t="s">
        <v>254</v>
      </c>
      <c r="C28" s="2">
        <v>1884</v>
      </c>
      <c r="D28" s="6" t="s">
        <v>6</v>
      </c>
      <c r="E28" s="6">
        <v>9728</v>
      </c>
      <c r="F28" s="6">
        <v>19456</v>
      </c>
    </row>
    <row r="29" spans="1:6" x14ac:dyDescent="0.35">
      <c r="A29" s="2" t="s">
        <v>253</v>
      </c>
      <c r="B29" s="6" t="s">
        <v>254</v>
      </c>
      <c r="C29" s="2">
        <v>1885</v>
      </c>
      <c r="D29" s="6" t="s">
        <v>6</v>
      </c>
      <c r="E29" s="6">
        <v>9651</v>
      </c>
      <c r="F29" s="6">
        <v>19302</v>
      </c>
    </row>
    <row r="30" spans="1:6" x14ac:dyDescent="0.35">
      <c r="A30" s="2" t="s">
        <v>253</v>
      </c>
      <c r="B30" s="6" t="s">
        <v>254</v>
      </c>
      <c r="C30" s="2">
        <v>1886</v>
      </c>
      <c r="D30" s="6" t="s">
        <v>6</v>
      </c>
      <c r="E30" s="6">
        <v>9256</v>
      </c>
      <c r="F30" s="6">
        <v>18512</v>
      </c>
    </row>
    <row r="31" spans="1:6" x14ac:dyDescent="0.35">
      <c r="A31" s="2" t="s">
        <v>253</v>
      </c>
      <c r="B31" s="6" t="s">
        <v>254</v>
      </c>
      <c r="C31" s="2">
        <v>1887</v>
      </c>
      <c r="D31" s="6" t="s">
        <v>6</v>
      </c>
      <c r="E31" s="6">
        <v>9163</v>
      </c>
      <c r="F31" s="6">
        <v>18326</v>
      </c>
    </row>
    <row r="32" spans="1:6" x14ac:dyDescent="0.35">
      <c r="A32" s="2" t="s">
        <v>253</v>
      </c>
      <c r="B32" s="6" t="s">
        <v>254</v>
      </c>
      <c r="C32" s="2">
        <v>1888</v>
      </c>
      <c r="D32" s="6" t="s">
        <v>6</v>
      </c>
      <c r="E32" s="6">
        <v>8922</v>
      </c>
      <c r="F32" s="6">
        <v>17844</v>
      </c>
    </row>
    <row r="33" spans="1:6" x14ac:dyDescent="0.35">
      <c r="A33" s="2" t="s">
        <v>253</v>
      </c>
      <c r="B33" s="6" t="s">
        <v>254</v>
      </c>
      <c r="C33" s="2">
        <v>1889</v>
      </c>
      <c r="D33" s="6" t="s">
        <v>6</v>
      </c>
      <c r="E33" s="6">
        <v>8675</v>
      </c>
      <c r="F33" s="6">
        <v>17350</v>
      </c>
    </row>
    <row r="34" spans="1:6" x14ac:dyDescent="0.35">
      <c r="A34" s="2" t="s">
        <v>253</v>
      </c>
      <c r="B34" s="6" t="s">
        <v>6</v>
      </c>
      <c r="C34" s="2">
        <v>1890</v>
      </c>
      <c r="D34" s="6" t="s">
        <v>6</v>
      </c>
      <c r="E34" s="6" t="s">
        <v>6</v>
      </c>
      <c r="F34" s="6" t="s">
        <v>6</v>
      </c>
    </row>
    <row r="35" spans="1:6" x14ac:dyDescent="0.35">
      <c r="A35" s="2" t="s">
        <v>253</v>
      </c>
      <c r="B35" s="6" t="s">
        <v>6</v>
      </c>
      <c r="C35" s="2">
        <v>1891</v>
      </c>
      <c r="D35" s="6" t="s">
        <v>6</v>
      </c>
      <c r="E35" s="6" t="s">
        <v>6</v>
      </c>
      <c r="F35" s="6" t="s">
        <v>6</v>
      </c>
    </row>
    <row r="36" spans="1:6" x14ac:dyDescent="0.35">
      <c r="A36" s="2" t="s">
        <v>253</v>
      </c>
      <c r="B36" s="6" t="s">
        <v>254</v>
      </c>
      <c r="C36" s="2">
        <v>1892</v>
      </c>
      <c r="D36" s="6" t="s">
        <v>6</v>
      </c>
      <c r="E36" s="6">
        <v>9144</v>
      </c>
      <c r="F36" s="6">
        <v>18288</v>
      </c>
    </row>
    <row r="37" spans="1:6" x14ac:dyDescent="0.35">
      <c r="A37" s="2" t="s">
        <v>253</v>
      </c>
      <c r="B37" s="6" t="s">
        <v>254</v>
      </c>
      <c r="C37" s="2">
        <v>1893</v>
      </c>
      <c r="D37" s="6" t="s">
        <v>6</v>
      </c>
      <c r="E37" s="6">
        <v>9354</v>
      </c>
      <c r="F37" s="6">
        <v>18698</v>
      </c>
    </row>
    <row r="38" spans="1:6" x14ac:dyDescent="0.35">
      <c r="A38" s="2" t="s">
        <v>253</v>
      </c>
      <c r="B38" s="6" t="s">
        <v>254</v>
      </c>
      <c r="C38" s="2">
        <v>1894</v>
      </c>
      <c r="D38" s="6" t="s">
        <v>6</v>
      </c>
      <c r="E38" s="6">
        <v>9040</v>
      </c>
      <c r="F38" s="6">
        <v>18080</v>
      </c>
    </row>
    <row r="39" spans="1:6" x14ac:dyDescent="0.35">
      <c r="A39" s="2" t="s">
        <v>253</v>
      </c>
      <c r="B39" s="6" t="s">
        <v>6</v>
      </c>
      <c r="C39" s="2">
        <v>1895</v>
      </c>
      <c r="D39" s="6" t="s">
        <v>6</v>
      </c>
      <c r="E39" s="6" t="s">
        <v>6</v>
      </c>
      <c r="F39" s="6" t="s">
        <v>6</v>
      </c>
    </row>
    <row r="40" spans="1:6" x14ac:dyDescent="0.35">
      <c r="A40" s="2" t="s">
        <v>253</v>
      </c>
      <c r="B40" s="6" t="s">
        <v>6</v>
      </c>
      <c r="C40" s="2">
        <v>1896</v>
      </c>
      <c r="D40" s="6" t="s">
        <v>6</v>
      </c>
      <c r="E40" s="6" t="s">
        <v>6</v>
      </c>
      <c r="F40" s="6" t="s">
        <v>6</v>
      </c>
    </row>
    <row r="41" spans="1:6" x14ac:dyDescent="0.35">
      <c r="A41" s="2" t="s">
        <v>253</v>
      </c>
      <c r="B41" s="6" t="s">
        <v>6</v>
      </c>
      <c r="C41" s="2">
        <v>1897</v>
      </c>
      <c r="D41" s="6" t="s">
        <v>6</v>
      </c>
      <c r="E41" s="6" t="s">
        <v>6</v>
      </c>
      <c r="F41" s="6" t="s">
        <v>6</v>
      </c>
    </row>
    <row r="42" spans="1:6" x14ac:dyDescent="0.35">
      <c r="A42" s="2" t="s">
        <v>253</v>
      </c>
      <c r="B42" s="6" t="s">
        <v>254</v>
      </c>
      <c r="C42" s="2">
        <v>1898</v>
      </c>
      <c r="D42" s="6" t="s">
        <v>6</v>
      </c>
      <c r="E42" s="6">
        <v>9562</v>
      </c>
      <c r="F42" s="6">
        <v>19124</v>
      </c>
    </row>
    <row r="43" spans="1:6" x14ac:dyDescent="0.35">
      <c r="A43" s="2" t="s">
        <v>253</v>
      </c>
      <c r="B43" s="6" t="s">
        <v>254</v>
      </c>
      <c r="C43" s="2">
        <v>1899</v>
      </c>
      <c r="D43" s="6" t="s">
        <v>6</v>
      </c>
      <c r="E43" s="6">
        <v>9528</v>
      </c>
      <c r="F43" s="6">
        <v>19056</v>
      </c>
    </row>
    <row r="44" spans="1:6" x14ac:dyDescent="0.35">
      <c r="A44" s="2" t="s">
        <v>253</v>
      </c>
      <c r="B44" s="6" t="s">
        <v>254</v>
      </c>
      <c r="C44" s="2">
        <v>1900</v>
      </c>
      <c r="D44" s="6" t="s">
        <v>6</v>
      </c>
      <c r="E44" s="6">
        <v>9222</v>
      </c>
      <c r="F44" s="6">
        <v>18444</v>
      </c>
    </row>
    <row r="45" spans="1:6" x14ac:dyDescent="0.35">
      <c r="A45" s="2" t="s">
        <v>253</v>
      </c>
      <c r="B45" s="6" t="s">
        <v>254</v>
      </c>
      <c r="C45" s="2">
        <v>1901</v>
      </c>
      <c r="D45" s="6" t="s">
        <v>6</v>
      </c>
      <c r="E45" s="6">
        <v>9505</v>
      </c>
      <c r="F45" s="6">
        <v>19010</v>
      </c>
    </row>
    <row r="46" spans="1:6" x14ac:dyDescent="0.35">
      <c r="A46" s="2" t="s">
        <v>253</v>
      </c>
      <c r="B46" s="2" t="s">
        <v>255</v>
      </c>
      <c r="C46" s="2" t="s">
        <v>230</v>
      </c>
      <c r="D46" s="6" t="s">
        <v>6</v>
      </c>
      <c r="E46" s="2" t="s">
        <v>6</v>
      </c>
      <c r="F46" s="6" t="s">
        <v>6</v>
      </c>
    </row>
    <row r="47" spans="1:6" x14ac:dyDescent="0.35">
      <c r="A47" s="2" t="s">
        <v>253</v>
      </c>
      <c r="B47" s="2" t="s">
        <v>255</v>
      </c>
      <c r="C47" s="2" t="s">
        <v>231</v>
      </c>
      <c r="D47" s="6" t="s">
        <v>6</v>
      </c>
      <c r="E47" s="2" t="s">
        <v>6</v>
      </c>
      <c r="F47" s="6" t="s">
        <v>6</v>
      </c>
    </row>
    <row r="48" spans="1:6" x14ac:dyDescent="0.35">
      <c r="A48" s="2" t="s">
        <v>253</v>
      </c>
      <c r="B48" s="2" t="s">
        <v>255</v>
      </c>
      <c r="C48" s="2" t="s">
        <v>232</v>
      </c>
      <c r="D48" s="6" t="s">
        <v>6</v>
      </c>
      <c r="E48" s="2" t="s">
        <v>6</v>
      </c>
      <c r="F48" s="6" t="s">
        <v>6</v>
      </c>
    </row>
    <row r="49" spans="1:6" x14ac:dyDescent="0.35">
      <c r="A49" s="2" t="s">
        <v>253</v>
      </c>
      <c r="B49" s="2" t="s">
        <v>255</v>
      </c>
      <c r="C49" s="2" t="s">
        <v>233</v>
      </c>
      <c r="D49" s="6" t="s">
        <v>6</v>
      </c>
      <c r="E49" s="2" t="s">
        <v>6</v>
      </c>
      <c r="F49" s="6" t="s">
        <v>6</v>
      </c>
    </row>
    <row r="50" spans="1:6" x14ac:dyDescent="0.35">
      <c r="A50" s="2" t="s">
        <v>253</v>
      </c>
      <c r="B50" s="2" t="s">
        <v>255</v>
      </c>
      <c r="C50" s="2" t="s">
        <v>234</v>
      </c>
      <c r="D50" s="6" t="s">
        <v>6</v>
      </c>
      <c r="E50" s="2" t="s">
        <v>6</v>
      </c>
      <c r="F50" s="6" t="s">
        <v>6</v>
      </c>
    </row>
    <row r="51" spans="1:6" x14ac:dyDescent="0.35">
      <c r="A51" s="2" t="s">
        <v>253</v>
      </c>
      <c r="B51" s="2" t="s">
        <v>255</v>
      </c>
      <c r="C51" s="2" t="s">
        <v>235</v>
      </c>
      <c r="D51" s="6" t="s">
        <v>6</v>
      </c>
      <c r="E51" s="2" t="s">
        <v>6</v>
      </c>
      <c r="F51" s="6" t="s">
        <v>6</v>
      </c>
    </row>
    <row r="52" spans="1:6" x14ac:dyDescent="0.35">
      <c r="A52" s="2" t="s">
        <v>253</v>
      </c>
      <c r="B52" s="2" t="s">
        <v>255</v>
      </c>
      <c r="C52" s="2" t="s">
        <v>236</v>
      </c>
      <c r="D52" s="6" t="s">
        <v>6</v>
      </c>
      <c r="E52" s="2" t="s">
        <v>6</v>
      </c>
      <c r="F52" s="6" t="s">
        <v>6</v>
      </c>
    </row>
    <row r="53" spans="1:6" x14ac:dyDescent="0.35">
      <c r="A53" s="2" t="s">
        <v>253</v>
      </c>
      <c r="B53" s="2" t="s">
        <v>255</v>
      </c>
      <c r="C53" s="2" t="s">
        <v>237</v>
      </c>
      <c r="D53" s="6" t="s">
        <v>6</v>
      </c>
      <c r="E53" s="2" t="s">
        <v>6</v>
      </c>
      <c r="F53" s="6" t="s">
        <v>6</v>
      </c>
    </row>
    <row r="54" spans="1:6" x14ac:dyDescent="0.35">
      <c r="A54" s="2" t="s">
        <v>253</v>
      </c>
      <c r="B54" s="2" t="s">
        <v>255</v>
      </c>
      <c r="C54" s="2" t="s">
        <v>238</v>
      </c>
      <c r="D54" s="6" t="s">
        <v>6</v>
      </c>
      <c r="E54" s="2" t="s">
        <v>6</v>
      </c>
      <c r="F54" s="6" t="s">
        <v>6</v>
      </c>
    </row>
    <row r="55" spans="1:6" x14ac:dyDescent="0.35">
      <c r="A55" s="2" t="s">
        <v>253</v>
      </c>
      <c r="B55" s="2" t="s">
        <v>255</v>
      </c>
      <c r="C55" s="2" t="s">
        <v>239</v>
      </c>
      <c r="D55" s="6" t="s">
        <v>6</v>
      </c>
      <c r="E55" s="2" t="s">
        <v>6</v>
      </c>
      <c r="F55" s="6" t="s">
        <v>6</v>
      </c>
    </row>
    <row r="56" spans="1:6" x14ac:dyDescent="0.35">
      <c r="A56" s="2" t="s">
        <v>253</v>
      </c>
      <c r="B56" s="2" t="s">
        <v>255</v>
      </c>
      <c r="C56" s="2" t="s">
        <v>240</v>
      </c>
      <c r="D56" s="6" t="s">
        <v>6</v>
      </c>
      <c r="E56" s="2" t="s">
        <v>6</v>
      </c>
      <c r="F56" s="6" t="s">
        <v>6</v>
      </c>
    </row>
    <row r="57" spans="1:6" x14ac:dyDescent="0.35">
      <c r="A57" s="2" t="s">
        <v>253</v>
      </c>
      <c r="B57" s="2" t="s">
        <v>255</v>
      </c>
      <c r="C57" s="2" t="s">
        <v>241</v>
      </c>
      <c r="D57" s="6" t="s">
        <v>6</v>
      </c>
      <c r="E57" s="2" t="s">
        <v>6</v>
      </c>
      <c r="F57" s="6" t="s">
        <v>6</v>
      </c>
    </row>
    <row r="58" spans="1:6" x14ac:dyDescent="0.35">
      <c r="A58" s="2" t="s">
        <v>253</v>
      </c>
      <c r="B58" s="2" t="s">
        <v>255</v>
      </c>
      <c r="C58" s="2" t="s">
        <v>242</v>
      </c>
      <c r="D58" s="6" t="s">
        <v>6</v>
      </c>
      <c r="E58" s="2" t="s">
        <v>6</v>
      </c>
      <c r="F58" s="6" t="s">
        <v>6</v>
      </c>
    </row>
    <row r="59" spans="1:6" x14ac:dyDescent="0.35">
      <c r="A59" s="2" t="s">
        <v>253</v>
      </c>
      <c r="B59" s="2" t="s">
        <v>255</v>
      </c>
      <c r="C59" s="2" t="s">
        <v>243</v>
      </c>
      <c r="D59" s="6" t="s">
        <v>6</v>
      </c>
      <c r="E59" s="2" t="s">
        <v>6</v>
      </c>
      <c r="F59" s="6" t="s">
        <v>6</v>
      </c>
    </row>
    <row r="60" spans="1:6" x14ac:dyDescent="0.35">
      <c r="A60" s="2" t="s">
        <v>253</v>
      </c>
      <c r="B60" s="2" t="s">
        <v>255</v>
      </c>
      <c r="C60" s="2" t="s">
        <v>244</v>
      </c>
      <c r="D60" s="6" t="s">
        <v>6</v>
      </c>
      <c r="E60" s="2" t="s">
        <v>6</v>
      </c>
      <c r="F60" s="6" t="s">
        <v>6</v>
      </c>
    </row>
    <row r="61" spans="1:6" x14ac:dyDescent="0.35">
      <c r="A61" s="2" t="s">
        <v>253</v>
      </c>
      <c r="B61" s="2" t="s">
        <v>255</v>
      </c>
      <c r="C61" s="2" t="s">
        <v>245</v>
      </c>
      <c r="D61" s="6" t="s">
        <v>6</v>
      </c>
      <c r="E61" s="2" t="s">
        <v>6</v>
      </c>
      <c r="F61" s="6" t="s">
        <v>6</v>
      </c>
    </row>
    <row r="62" spans="1:6" x14ac:dyDescent="0.35">
      <c r="A62" s="2" t="s">
        <v>253</v>
      </c>
      <c r="B62" s="2" t="s">
        <v>255</v>
      </c>
      <c r="C62" s="2" t="s">
        <v>246</v>
      </c>
      <c r="D62" s="6" t="s">
        <v>6</v>
      </c>
      <c r="E62" s="2" t="s">
        <v>6</v>
      </c>
      <c r="F62" s="6" t="s">
        <v>6</v>
      </c>
    </row>
    <row r="63" spans="1:6" x14ac:dyDescent="0.35">
      <c r="A63" s="2" t="s">
        <v>253</v>
      </c>
      <c r="B63" s="2" t="s">
        <v>255</v>
      </c>
      <c r="C63" s="2" t="s">
        <v>24</v>
      </c>
      <c r="D63" s="6" t="s">
        <v>6</v>
      </c>
      <c r="E63" s="2" t="s">
        <v>6</v>
      </c>
      <c r="F63" s="6" t="s">
        <v>6</v>
      </c>
    </row>
    <row r="64" spans="1:6" x14ac:dyDescent="0.35">
      <c r="A64" s="2" t="s">
        <v>253</v>
      </c>
      <c r="B64" s="2" t="s">
        <v>255</v>
      </c>
      <c r="C64" s="2" t="s">
        <v>25</v>
      </c>
      <c r="D64" s="6" t="s">
        <v>6</v>
      </c>
      <c r="E64" s="2">
        <v>9693</v>
      </c>
      <c r="F64" s="6" t="s">
        <v>6</v>
      </c>
    </row>
    <row r="65" spans="1:6" x14ac:dyDescent="0.35">
      <c r="A65" s="2" t="s">
        <v>253</v>
      </c>
      <c r="B65" s="2" t="s">
        <v>255</v>
      </c>
      <c r="C65" s="2" t="s">
        <v>26</v>
      </c>
      <c r="D65" s="6" t="s">
        <v>6</v>
      </c>
      <c r="E65" s="2">
        <v>9318</v>
      </c>
      <c r="F65" s="6" t="s">
        <v>6</v>
      </c>
    </row>
    <row r="66" spans="1:6" x14ac:dyDescent="0.35">
      <c r="A66" s="2" t="s">
        <v>253</v>
      </c>
      <c r="B66" s="2" t="s">
        <v>255</v>
      </c>
      <c r="C66" s="2" t="s">
        <v>27</v>
      </c>
      <c r="D66" s="6" t="s">
        <v>6</v>
      </c>
      <c r="E66" s="2">
        <v>8375</v>
      </c>
      <c r="F66" s="6" t="s">
        <v>6</v>
      </c>
    </row>
    <row r="67" spans="1:6" x14ac:dyDescent="0.35">
      <c r="A67" s="2" t="s">
        <v>253</v>
      </c>
      <c r="B67" s="2" t="s">
        <v>255</v>
      </c>
      <c r="C67" s="2" t="s">
        <v>28</v>
      </c>
      <c r="D67" s="6" t="s">
        <v>6</v>
      </c>
      <c r="E67" s="2">
        <v>8455</v>
      </c>
      <c r="F67" s="6" t="s">
        <v>6</v>
      </c>
    </row>
    <row r="68" spans="1:6" x14ac:dyDescent="0.35">
      <c r="A68" s="2" t="s">
        <v>253</v>
      </c>
      <c r="B68" s="2" t="s">
        <v>255</v>
      </c>
      <c r="C68" s="2" t="s">
        <v>29</v>
      </c>
      <c r="D68" s="6" t="s">
        <v>6</v>
      </c>
      <c r="E68" s="2">
        <v>8424</v>
      </c>
      <c r="F68" s="6" t="s">
        <v>6</v>
      </c>
    </row>
    <row r="69" spans="1:6" x14ac:dyDescent="0.35">
      <c r="A69" s="2" t="s">
        <v>253</v>
      </c>
      <c r="B69" s="2" t="s">
        <v>255</v>
      </c>
      <c r="C69" s="2" t="s">
        <v>30</v>
      </c>
      <c r="D69" s="6" t="s">
        <v>6</v>
      </c>
      <c r="E69" s="2">
        <v>8407</v>
      </c>
      <c r="F69" s="6" t="s">
        <v>6</v>
      </c>
    </row>
    <row r="70" spans="1:6" x14ac:dyDescent="0.35">
      <c r="A70" s="2" t="s">
        <v>253</v>
      </c>
      <c r="B70" s="2" t="s">
        <v>255</v>
      </c>
      <c r="C70" s="2" t="s">
        <v>31</v>
      </c>
      <c r="D70" s="6" t="s">
        <v>6</v>
      </c>
      <c r="E70" s="2">
        <v>8280</v>
      </c>
      <c r="F70" s="6" t="s">
        <v>6</v>
      </c>
    </row>
    <row r="71" spans="1:6" x14ac:dyDescent="0.35">
      <c r="A71" s="2" t="s">
        <v>253</v>
      </c>
      <c r="B71" s="2" t="s">
        <v>255</v>
      </c>
      <c r="C71" s="2" t="s">
        <v>32</v>
      </c>
      <c r="D71" s="6" t="s">
        <v>6</v>
      </c>
      <c r="E71" s="2">
        <v>8221</v>
      </c>
      <c r="F71" s="6" t="s">
        <v>6</v>
      </c>
    </row>
    <row r="72" spans="1:6" x14ac:dyDescent="0.35">
      <c r="A72" s="2" t="s">
        <v>253</v>
      </c>
      <c r="B72" s="2" t="s">
        <v>255</v>
      </c>
      <c r="C72" s="2" t="s">
        <v>33</v>
      </c>
      <c r="D72" s="6" t="s">
        <v>6</v>
      </c>
      <c r="E72" s="2">
        <v>8425</v>
      </c>
      <c r="F72" s="6" t="s">
        <v>6</v>
      </c>
    </row>
    <row r="73" spans="1:6" x14ac:dyDescent="0.35">
      <c r="A73" s="2" t="s">
        <v>253</v>
      </c>
      <c r="B73" s="2" t="s">
        <v>255</v>
      </c>
      <c r="C73" s="2" t="s">
        <v>34</v>
      </c>
      <c r="D73" s="6" t="s">
        <v>6</v>
      </c>
      <c r="E73" s="2">
        <v>7977</v>
      </c>
      <c r="F73" s="6" t="s">
        <v>6</v>
      </c>
    </row>
    <row r="74" spans="1:6" x14ac:dyDescent="0.35">
      <c r="A74" s="2" t="s">
        <v>253</v>
      </c>
      <c r="B74" s="2" t="s">
        <v>255</v>
      </c>
      <c r="C74" s="2" t="s">
        <v>35</v>
      </c>
      <c r="D74" s="6" t="s">
        <v>6</v>
      </c>
      <c r="E74" s="2">
        <v>8194</v>
      </c>
      <c r="F74" s="6" t="s">
        <v>6</v>
      </c>
    </row>
    <row r="75" spans="1:6" x14ac:dyDescent="0.35">
      <c r="A75" s="2" t="s">
        <v>253</v>
      </c>
      <c r="B75" s="2" t="s">
        <v>255</v>
      </c>
      <c r="C75" s="2" t="s">
        <v>36</v>
      </c>
      <c r="D75" s="6" t="s">
        <v>6</v>
      </c>
      <c r="E75" s="2">
        <v>7714</v>
      </c>
      <c r="F75" s="6" t="s">
        <v>6</v>
      </c>
    </row>
    <row r="76" spans="1:6" x14ac:dyDescent="0.35">
      <c r="A76" s="2" t="s">
        <v>253</v>
      </c>
      <c r="B76" s="2" t="s">
        <v>255</v>
      </c>
      <c r="C76" s="2" t="s">
        <v>37</v>
      </c>
      <c r="D76" s="6" t="s">
        <v>6</v>
      </c>
      <c r="E76" s="2">
        <v>7989</v>
      </c>
      <c r="F76" s="6" t="s">
        <v>6</v>
      </c>
    </row>
    <row r="77" spans="1:6" x14ac:dyDescent="0.35">
      <c r="A77" s="2" t="s">
        <v>253</v>
      </c>
      <c r="B77" s="2" t="s">
        <v>255</v>
      </c>
      <c r="C77" s="2" t="s">
        <v>38</v>
      </c>
      <c r="D77" s="6" t="s">
        <v>6</v>
      </c>
      <c r="E77" s="2">
        <v>7558</v>
      </c>
      <c r="F77" s="6" t="s">
        <v>6</v>
      </c>
    </row>
    <row r="78" spans="1:6" x14ac:dyDescent="0.35">
      <c r="A78" s="2" t="s">
        <v>253</v>
      </c>
      <c r="B78" s="2" t="s">
        <v>255</v>
      </c>
      <c r="C78" s="2" t="s">
        <v>39</v>
      </c>
      <c r="D78" s="6" t="s">
        <v>6</v>
      </c>
      <c r="E78" s="2">
        <v>7377</v>
      </c>
      <c r="F78" s="6" t="s">
        <v>6</v>
      </c>
    </row>
    <row r="79" spans="1:6" x14ac:dyDescent="0.35">
      <c r="A79" s="2" t="s">
        <v>253</v>
      </c>
      <c r="B79" s="2" t="s">
        <v>255</v>
      </c>
      <c r="C79" s="2" t="s">
        <v>40</v>
      </c>
      <c r="D79" s="6" t="s">
        <v>6</v>
      </c>
      <c r="E79" s="2">
        <v>6993</v>
      </c>
      <c r="F79" s="6" t="s">
        <v>6</v>
      </c>
    </row>
    <row r="80" spans="1:6" x14ac:dyDescent="0.35">
      <c r="A80" s="2" t="s">
        <v>253</v>
      </c>
      <c r="B80" s="2" t="s">
        <v>255</v>
      </c>
      <c r="C80" s="2" t="s">
        <v>41</v>
      </c>
      <c r="D80" s="6" t="s">
        <v>6</v>
      </c>
      <c r="E80" s="2">
        <v>6885</v>
      </c>
      <c r="F80" s="6" t="s">
        <v>6</v>
      </c>
    </row>
    <row r="81" spans="1:6" x14ac:dyDescent="0.35">
      <c r="A81" s="2" t="s">
        <v>253</v>
      </c>
      <c r="B81" s="2" t="s">
        <v>255</v>
      </c>
      <c r="C81" s="2" t="s">
        <v>42</v>
      </c>
      <c r="D81" s="6" t="s">
        <v>6</v>
      </c>
      <c r="E81" s="2">
        <v>6886</v>
      </c>
      <c r="F81" s="6" t="s">
        <v>6</v>
      </c>
    </row>
    <row r="82" spans="1:6" x14ac:dyDescent="0.35">
      <c r="A82" s="2" t="s">
        <v>253</v>
      </c>
      <c r="B82" s="2" t="s">
        <v>255</v>
      </c>
      <c r="C82" s="2" t="s">
        <v>43</v>
      </c>
      <c r="D82" s="6" t="s">
        <v>6</v>
      </c>
      <c r="E82" s="2">
        <v>6527</v>
      </c>
      <c r="F82" s="6" t="s">
        <v>6</v>
      </c>
    </row>
    <row r="83" spans="1:6" x14ac:dyDescent="0.35">
      <c r="A83" s="2" t="s">
        <v>253</v>
      </c>
      <c r="B83" s="2" t="s">
        <v>255</v>
      </c>
      <c r="C83" s="2" t="s">
        <v>44</v>
      </c>
      <c r="D83" s="6" t="s">
        <v>6</v>
      </c>
      <c r="E83" s="2" t="s">
        <v>6</v>
      </c>
      <c r="F83" s="6" t="s">
        <v>6</v>
      </c>
    </row>
    <row r="84" spans="1:6" x14ac:dyDescent="0.35">
      <c r="A84" s="2" t="s">
        <v>253</v>
      </c>
      <c r="B84" s="2" t="s">
        <v>255</v>
      </c>
      <c r="C84" s="2" t="s">
        <v>45</v>
      </c>
      <c r="D84" s="6" t="s">
        <v>6</v>
      </c>
      <c r="E84" s="2" t="s">
        <v>6</v>
      </c>
      <c r="F84" s="6" t="s">
        <v>6</v>
      </c>
    </row>
    <row r="85" spans="1:6" x14ac:dyDescent="0.35">
      <c r="A85" s="2" t="s">
        <v>253</v>
      </c>
      <c r="B85" s="2" t="s">
        <v>255</v>
      </c>
      <c r="C85" s="2" t="s">
        <v>46</v>
      </c>
      <c r="D85" s="6" t="s">
        <v>6</v>
      </c>
      <c r="E85" s="2" t="s">
        <v>6</v>
      </c>
      <c r="F85" s="6" t="s">
        <v>6</v>
      </c>
    </row>
    <row r="86" spans="1:6" x14ac:dyDescent="0.35">
      <c r="A86" s="2" t="s">
        <v>253</v>
      </c>
      <c r="B86" s="2" t="s">
        <v>255</v>
      </c>
      <c r="C86" s="2" t="s">
        <v>47</v>
      </c>
      <c r="D86" s="6" t="s">
        <v>6</v>
      </c>
      <c r="E86" s="2" t="s">
        <v>6</v>
      </c>
      <c r="F86" s="6" t="s">
        <v>6</v>
      </c>
    </row>
    <row r="87" spans="1:6" x14ac:dyDescent="0.35">
      <c r="A87" s="2" t="s">
        <v>253</v>
      </c>
      <c r="B87" s="2" t="s">
        <v>255</v>
      </c>
      <c r="C87" s="2" t="s">
        <v>48</v>
      </c>
      <c r="D87" s="6" t="s">
        <v>6</v>
      </c>
      <c r="E87" s="2" t="s">
        <v>6</v>
      </c>
      <c r="F87" s="6" t="s">
        <v>6</v>
      </c>
    </row>
    <row r="88" spans="1:6" x14ac:dyDescent="0.35">
      <c r="A88" s="2" t="s">
        <v>253</v>
      </c>
      <c r="B88" s="2" t="s">
        <v>255</v>
      </c>
      <c r="C88" s="2" t="s">
        <v>49</v>
      </c>
      <c r="D88" s="6" t="s">
        <v>6</v>
      </c>
      <c r="E88" s="2" t="s">
        <v>6</v>
      </c>
      <c r="F88" s="6" t="s">
        <v>6</v>
      </c>
    </row>
    <row r="89" spans="1:6" x14ac:dyDescent="0.35">
      <c r="A89" s="2" t="s">
        <v>253</v>
      </c>
      <c r="B89" s="2" t="s">
        <v>255</v>
      </c>
      <c r="C89" s="2" t="s">
        <v>50</v>
      </c>
      <c r="D89" s="6" t="s">
        <v>6</v>
      </c>
      <c r="E89" s="2" t="s">
        <v>6</v>
      </c>
      <c r="F89" s="6" t="s">
        <v>6</v>
      </c>
    </row>
    <row r="90" spans="1:6" x14ac:dyDescent="0.35">
      <c r="A90" s="2" t="s">
        <v>253</v>
      </c>
      <c r="B90" s="2" t="s">
        <v>255</v>
      </c>
      <c r="C90" s="2" t="s">
        <v>51</v>
      </c>
      <c r="D90" s="6" t="s">
        <v>6</v>
      </c>
      <c r="E90" s="2">
        <v>9289</v>
      </c>
      <c r="F90" s="6" t="s">
        <v>6</v>
      </c>
    </row>
    <row r="91" spans="1:6" x14ac:dyDescent="0.35">
      <c r="A91" s="2" t="s">
        <v>253</v>
      </c>
      <c r="B91" s="2" t="s">
        <v>255</v>
      </c>
      <c r="C91" s="2" t="s">
        <v>52</v>
      </c>
      <c r="D91" s="6" t="s">
        <v>6</v>
      </c>
      <c r="E91" s="2">
        <v>9439</v>
      </c>
      <c r="F91" s="6" t="s">
        <v>6</v>
      </c>
    </row>
    <row r="92" spans="1:6" x14ac:dyDescent="0.35">
      <c r="A92" s="2" t="s">
        <v>253</v>
      </c>
      <c r="B92" s="2" t="s">
        <v>255</v>
      </c>
      <c r="C92" s="2" t="s">
        <v>53</v>
      </c>
      <c r="D92" s="6" t="s">
        <v>6</v>
      </c>
      <c r="E92" s="2">
        <v>9383</v>
      </c>
      <c r="F92" s="6" t="s">
        <v>6</v>
      </c>
    </row>
    <row r="93" spans="1:6" x14ac:dyDescent="0.35">
      <c r="A93" s="2" t="s">
        <v>253</v>
      </c>
      <c r="B93" s="2" t="s">
        <v>255</v>
      </c>
      <c r="C93" s="2" t="s">
        <v>54</v>
      </c>
      <c r="D93" s="6" t="s">
        <v>6</v>
      </c>
      <c r="E93" s="2">
        <v>9682</v>
      </c>
      <c r="F93" s="6" t="s">
        <v>6</v>
      </c>
    </row>
    <row r="94" spans="1:6" x14ac:dyDescent="0.35">
      <c r="A94" s="2" t="s">
        <v>253</v>
      </c>
      <c r="B94" s="2" t="s">
        <v>255</v>
      </c>
      <c r="C94" s="2" t="s">
        <v>55</v>
      </c>
      <c r="D94" s="6" t="s">
        <v>6</v>
      </c>
      <c r="E94" s="2">
        <v>9323</v>
      </c>
      <c r="F94" s="6" t="s">
        <v>6</v>
      </c>
    </row>
    <row r="95" spans="1:6" x14ac:dyDescent="0.35">
      <c r="A95" s="2" t="s">
        <v>253</v>
      </c>
      <c r="B95" s="2" t="s">
        <v>255</v>
      </c>
      <c r="C95" s="2" t="s">
        <v>56</v>
      </c>
      <c r="D95" s="6" t="s">
        <v>6</v>
      </c>
      <c r="E95" s="2">
        <v>8960</v>
      </c>
      <c r="F95" s="6" t="s">
        <v>6</v>
      </c>
    </row>
    <row r="96" spans="1:6" x14ac:dyDescent="0.35">
      <c r="A96" s="2" t="s">
        <v>253</v>
      </c>
      <c r="B96" s="2" t="s">
        <v>255</v>
      </c>
      <c r="C96" s="2" t="s">
        <v>57</v>
      </c>
      <c r="D96" s="6" t="s">
        <v>6</v>
      </c>
      <c r="E96" s="2">
        <v>8722</v>
      </c>
      <c r="F96" s="6" t="s">
        <v>6</v>
      </c>
    </row>
    <row r="97" spans="1:6" x14ac:dyDescent="0.35">
      <c r="A97" s="2" t="s">
        <v>253</v>
      </c>
      <c r="B97" s="2" t="s">
        <v>255</v>
      </c>
      <c r="C97" s="2" t="s">
        <v>58</v>
      </c>
      <c r="D97" s="6" t="s">
        <v>6</v>
      </c>
      <c r="E97" s="2">
        <v>8491</v>
      </c>
      <c r="F97" s="6" t="s">
        <v>6</v>
      </c>
    </row>
    <row r="98" spans="1:6" x14ac:dyDescent="0.35">
      <c r="A98" s="2" t="s">
        <v>253</v>
      </c>
      <c r="B98" s="2" t="s">
        <v>255</v>
      </c>
      <c r="C98" s="2" t="s">
        <v>59</v>
      </c>
      <c r="D98" s="6" t="s">
        <v>6</v>
      </c>
      <c r="E98" s="2">
        <v>8694</v>
      </c>
      <c r="F98" s="6" t="s">
        <v>6</v>
      </c>
    </row>
    <row r="99" spans="1:6" x14ac:dyDescent="0.35">
      <c r="A99" s="2" t="s">
        <v>253</v>
      </c>
      <c r="B99" s="2" t="s">
        <v>255</v>
      </c>
      <c r="C99" s="2" t="s">
        <v>60</v>
      </c>
      <c r="D99" s="6" t="s">
        <v>6</v>
      </c>
      <c r="E99" s="2">
        <v>8735</v>
      </c>
      <c r="F99" s="6" t="s">
        <v>6</v>
      </c>
    </row>
    <row r="100" spans="1:6" x14ac:dyDescent="0.35">
      <c r="A100" s="2" t="s">
        <v>253</v>
      </c>
      <c r="B100" s="2" t="s">
        <v>255</v>
      </c>
      <c r="C100" s="2" t="s">
        <v>61</v>
      </c>
      <c r="D100" s="6" t="s">
        <v>6</v>
      </c>
      <c r="E100" s="2">
        <v>8847</v>
      </c>
      <c r="F100" s="6" t="s">
        <v>6</v>
      </c>
    </row>
    <row r="101" spans="1:6" x14ac:dyDescent="0.35">
      <c r="A101" s="2" t="s">
        <v>253</v>
      </c>
      <c r="B101" s="2" t="s">
        <v>255</v>
      </c>
      <c r="C101" s="2" t="s">
        <v>62</v>
      </c>
      <c r="D101" s="6" t="s">
        <v>6</v>
      </c>
      <c r="E101" s="2">
        <v>8849</v>
      </c>
      <c r="F101" s="6" t="s">
        <v>6</v>
      </c>
    </row>
    <row r="102" spans="1:6" x14ac:dyDescent="0.35">
      <c r="A102" s="2" t="s">
        <v>253</v>
      </c>
      <c r="B102" s="2" t="s">
        <v>255</v>
      </c>
      <c r="C102" s="2" t="s">
        <v>63</v>
      </c>
      <c r="D102" s="6" t="s">
        <v>6</v>
      </c>
      <c r="E102" s="2">
        <v>9065</v>
      </c>
      <c r="F102" s="6" t="s">
        <v>6</v>
      </c>
    </row>
    <row r="103" spans="1:6" x14ac:dyDescent="0.35">
      <c r="A103" s="2" t="s">
        <v>253</v>
      </c>
      <c r="B103" s="2" t="s">
        <v>255</v>
      </c>
      <c r="C103" s="2" t="s">
        <v>64</v>
      </c>
      <c r="D103" s="6" t="s">
        <v>6</v>
      </c>
      <c r="E103" s="2">
        <v>9060</v>
      </c>
      <c r="F103" s="6" t="s">
        <v>6</v>
      </c>
    </row>
    <row r="104" spans="1:6" x14ac:dyDescent="0.35">
      <c r="A104" s="2" t="s">
        <v>253</v>
      </c>
      <c r="B104" s="2" t="s">
        <v>255</v>
      </c>
      <c r="C104" s="2" t="s">
        <v>65</v>
      </c>
      <c r="D104" s="6" t="s">
        <v>6</v>
      </c>
      <c r="E104" s="2">
        <v>8773</v>
      </c>
      <c r="F104" s="6" t="s">
        <v>6</v>
      </c>
    </row>
    <row r="105" spans="1:6" x14ac:dyDescent="0.35">
      <c r="A105" s="2" t="s">
        <v>253</v>
      </c>
      <c r="B105" s="2" t="s">
        <v>255</v>
      </c>
      <c r="C105" s="2" t="s">
        <v>66</v>
      </c>
      <c r="D105" s="6" t="s">
        <v>6</v>
      </c>
      <c r="E105" s="2">
        <v>9159</v>
      </c>
      <c r="F105" s="6" t="s">
        <v>6</v>
      </c>
    </row>
    <row r="106" spans="1:6" x14ac:dyDescent="0.35">
      <c r="A106" s="2" t="s">
        <v>253</v>
      </c>
      <c r="B106" s="2" t="s">
        <v>255</v>
      </c>
      <c r="C106" s="2" t="s">
        <v>67</v>
      </c>
      <c r="D106" s="6" t="s">
        <v>6</v>
      </c>
      <c r="E106" s="2">
        <v>8531</v>
      </c>
      <c r="F106" s="6" t="s">
        <v>6</v>
      </c>
    </row>
    <row r="107" spans="1:6" x14ac:dyDescent="0.35">
      <c r="A107" s="2" t="s">
        <v>253</v>
      </c>
      <c r="B107" s="2" t="s">
        <v>255</v>
      </c>
      <c r="C107" s="2" t="s">
        <v>68</v>
      </c>
      <c r="D107" s="6" t="s">
        <v>6</v>
      </c>
      <c r="E107" s="2">
        <v>9236</v>
      </c>
      <c r="F107" s="6" t="s">
        <v>6</v>
      </c>
    </row>
    <row r="108" spans="1:6" x14ac:dyDescent="0.35">
      <c r="A108" s="2" t="s">
        <v>253</v>
      </c>
      <c r="B108" s="2" t="s">
        <v>255</v>
      </c>
      <c r="C108" s="2" t="s">
        <v>69</v>
      </c>
      <c r="D108" s="6" t="s">
        <v>6</v>
      </c>
      <c r="E108" s="2">
        <v>9193</v>
      </c>
      <c r="F108" s="6" t="s">
        <v>6</v>
      </c>
    </row>
    <row r="109" spans="1:6" x14ac:dyDescent="0.35">
      <c r="A109" s="2" t="s">
        <v>253</v>
      </c>
      <c r="B109" s="2" t="s">
        <v>255</v>
      </c>
      <c r="C109" s="2" t="s">
        <v>70</v>
      </c>
      <c r="D109" s="6" t="s">
        <v>6</v>
      </c>
      <c r="E109" s="2">
        <v>8584</v>
      </c>
      <c r="F109" s="6" t="s">
        <v>6</v>
      </c>
    </row>
    <row r="110" spans="1:6" x14ac:dyDescent="0.35">
      <c r="A110" s="2" t="s">
        <v>253</v>
      </c>
      <c r="B110" s="2" t="s">
        <v>255</v>
      </c>
      <c r="C110" s="2" t="s">
        <v>71</v>
      </c>
      <c r="D110" s="6" t="s">
        <v>6</v>
      </c>
      <c r="E110" s="2">
        <v>8670</v>
      </c>
      <c r="F110" s="6" t="s">
        <v>6</v>
      </c>
    </row>
    <row r="111" spans="1:6" x14ac:dyDescent="0.35">
      <c r="A111" s="2" t="s">
        <v>253</v>
      </c>
      <c r="B111" s="2" t="s">
        <v>255</v>
      </c>
      <c r="C111" s="2" t="s">
        <v>72</v>
      </c>
      <c r="D111" s="6" t="s">
        <v>6</v>
      </c>
      <c r="E111" s="2">
        <v>8414</v>
      </c>
      <c r="F111" s="6" t="s">
        <v>6</v>
      </c>
    </row>
    <row r="112" spans="1:6" x14ac:dyDescent="0.35">
      <c r="A112" s="2" t="s">
        <v>253</v>
      </c>
      <c r="B112" s="2" t="s">
        <v>255</v>
      </c>
      <c r="C112" s="2" t="s">
        <v>73</v>
      </c>
      <c r="D112" s="6" t="s">
        <v>6</v>
      </c>
      <c r="E112" s="2">
        <v>8254</v>
      </c>
      <c r="F112" s="6" t="s">
        <v>6</v>
      </c>
    </row>
    <row r="113" spans="1:6" x14ac:dyDescent="0.35">
      <c r="A113" s="2" t="s">
        <v>253</v>
      </c>
      <c r="B113" s="2" t="s">
        <v>255</v>
      </c>
      <c r="C113" s="2" t="s">
        <v>74</v>
      </c>
      <c r="D113" s="6" t="s">
        <v>6</v>
      </c>
      <c r="E113" s="2">
        <v>8072</v>
      </c>
      <c r="F113" s="6" t="s">
        <v>6</v>
      </c>
    </row>
    <row r="114" spans="1:6" x14ac:dyDescent="0.35">
      <c r="A114" s="2" t="s">
        <v>253</v>
      </c>
      <c r="B114" s="2" t="s">
        <v>255</v>
      </c>
      <c r="C114" s="2" t="s">
        <v>75</v>
      </c>
      <c r="D114" s="6" t="s">
        <v>6</v>
      </c>
      <c r="E114" s="2">
        <v>8001</v>
      </c>
      <c r="F114" s="6" t="s">
        <v>6</v>
      </c>
    </row>
    <row r="115" spans="1:6" x14ac:dyDescent="0.35">
      <c r="A115" s="2" t="s">
        <v>253</v>
      </c>
      <c r="B115" s="2" t="s">
        <v>255</v>
      </c>
      <c r="C115" s="2" t="s">
        <v>76</v>
      </c>
      <c r="D115" s="6" t="s">
        <v>6</v>
      </c>
      <c r="E115" s="2">
        <v>8035</v>
      </c>
      <c r="F115" s="6" t="s">
        <v>6</v>
      </c>
    </row>
    <row r="116" spans="1:6" x14ac:dyDescent="0.35">
      <c r="A116" s="2" t="s">
        <v>253</v>
      </c>
      <c r="B116" s="2" t="s">
        <v>255</v>
      </c>
      <c r="C116" s="2" t="s">
        <v>77</v>
      </c>
      <c r="D116" s="6" t="s">
        <v>6</v>
      </c>
      <c r="E116" s="2">
        <v>7810</v>
      </c>
      <c r="F116" s="6" t="s">
        <v>6</v>
      </c>
    </row>
    <row r="117" spans="1:6" x14ac:dyDescent="0.35">
      <c r="A117" s="2" t="s">
        <v>253</v>
      </c>
      <c r="B117" s="2" t="s">
        <v>255</v>
      </c>
      <c r="C117" s="2" t="s">
        <v>78</v>
      </c>
      <c r="D117" s="6" t="s">
        <v>6</v>
      </c>
      <c r="E117" s="2">
        <v>7791</v>
      </c>
      <c r="F117" s="6" t="s">
        <v>6</v>
      </c>
    </row>
    <row r="118" spans="1:6" x14ac:dyDescent="0.35">
      <c r="A118" s="2" t="s">
        <v>253</v>
      </c>
      <c r="B118" s="2" t="s">
        <v>255</v>
      </c>
      <c r="C118" s="2" t="s">
        <v>79</v>
      </c>
      <c r="D118" s="6" t="s">
        <v>6</v>
      </c>
      <c r="E118" s="2">
        <v>7446</v>
      </c>
      <c r="F118" s="6" t="s">
        <v>6</v>
      </c>
    </row>
    <row r="119" spans="1:6" x14ac:dyDescent="0.35">
      <c r="A119" s="2" t="s">
        <v>253</v>
      </c>
      <c r="B119" s="2" t="s">
        <v>255</v>
      </c>
      <c r="C119" s="2" t="s">
        <v>80</v>
      </c>
      <c r="D119" s="6" t="s">
        <v>6</v>
      </c>
      <c r="E119" s="2">
        <v>6973</v>
      </c>
      <c r="F119" s="6" t="s">
        <v>6</v>
      </c>
    </row>
    <row r="120" spans="1:6" x14ac:dyDescent="0.35">
      <c r="A120" s="2" t="s">
        <v>253</v>
      </c>
      <c r="B120" s="2" t="s">
        <v>255</v>
      </c>
      <c r="C120" s="2" t="s">
        <v>81</v>
      </c>
      <c r="D120" s="6" t="s">
        <v>6</v>
      </c>
      <c r="E120" s="2">
        <v>6854</v>
      </c>
      <c r="F120" s="6" t="s">
        <v>6</v>
      </c>
    </row>
    <row r="121" spans="1:6" x14ac:dyDescent="0.35">
      <c r="A121" s="2" t="s">
        <v>253</v>
      </c>
      <c r="B121" s="2" t="s">
        <v>255</v>
      </c>
      <c r="C121" s="2" t="s">
        <v>82</v>
      </c>
      <c r="D121" s="6" t="s">
        <v>6</v>
      </c>
      <c r="E121" s="2">
        <v>7010</v>
      </c>
      <c r="F121" s="6" t="s">
        <v>6</v>
      </c>
    </row>
    <row r="122" spans="1:6" x14ac:dyDescent="0.35">
      <c r="A122" s="2" t="s">
        <v>253</v>
      </c>
      <c r="B122" s="2" t="s">
        <v>255</v>
      </c>
      <c r="C122" s="2" t="s">
        <v>83</v>
      </c>
      <c r="D122" s="6" t="s">
        <v>6</v>
      </c>
      <c r="E122" s="2">
        <v>7111</v>
      </c>
      <c r="F122" s="6" t="s">
        <v>6</v>
      </c>
    </row>
    <row r="123" spans="1:6" x14ac:dyDescent="0.35">
      <c r="A123" s="2" t="s">
        <v>253</v>
      </c>
      <c r="B123" s="2" t="s">
        <v>255</v>
      </c>
      <c r="C123" s="2" t="s">
        <v>84</v>
      </c>
      <c r="D123" s="6" t="s">
        <v>6</v>
      </c>
      <c r="E123" s="2">
        <v>7440</v>
      </c>
      <c r="F123" s="6" t="s">
        <v>6</v>
      </c>
    </row>
    <row r="124" spans="1:6" x14ac:dyDescent="0.35">
      <c r="A124" s="2" t="s">
        <v>253</v>
      </c>
      <c r="B124" s="2" t="s">
        <v>255</v>
      </c>
      <c r="C124" s="2" t="s">
        <v>85</v>
      </c>
      <c r="D124" s="6" t="s">
        <v>6</v>
      </c>
      <c r="E124" s="2">
        <v>8046</v>
      </c>
      <c r="F124" s="6" t="s">
        <v>6</v>
      </c>
    </row>
    <row r="125" spans="1:6" x14ac:dyDescent="0.35">
      <c r="A125" s="2" t="s">
        <v>253</v>
      </c>
      <c r="B125" s="2" t="s">
        <v>255</v>
      </c>
      <c r="C125" s="2" t="s">
        <v>86</v>
      </c>
      <c r="D125" s="6" t="s">
        <v>6</v>
      </c>
      <c r="E125" s="2">
        <v>8140</v>
      </c>
      <c r="F125" s="6" t="s">
        <v>6</v>
      </c>
    </row>
    <row r="126" spans="1:6" x14ac:dyDescent="0.35">
      <c r="A126" s="2" t="s">
        <v>253</v>
      </c>
      <c r="B126" s="2" t="s">
        <v>255</v>
      </c>
      <c r="C126" s="2" t="s">
        <v>87</v>
      </c>
      <c r="D126" s="6" t="s">
        <v>6</v>
      </c>
      <c r="E126" s="2">
        <v>8047</v>
      </c>
      <c r="F126" s="6" t="s">
        <v>6</v>
      </c>
    </row>
    <row r="127" spans="1:6" x14ac:dyDescent="0.35">
      <c r="A127" s="2" t="s">
        <v>253</v>
      </c>
      <c r="B127" s="2" t="s">
        <v>255</v>
      </c>
      <c r="C127" s="2" t="s">
        <v>88</v>
      </c>
      <c r="D127" s="6" t="s">
        <v>6</v>
      </c>
      <c r="E127" s="2">
        <v>7408</v>
      </c>
      <c r="F127" s="6" t="s">
        <v>6</v>
      </c>
    </row>
    <row r="128" spans="1:6" x14ac:dyDescent="0.35">
      <c r="A128" s="2" t="s">
        <v>253</v>
      </c>
      <c r="B128" s="2" t="s">
        <v>255</v>
      </c>
      <c r="C128" s="2" t="s">
        <v>89</v>
      </c>
      <c r="D128" s="6" t="s">
        <v>6</v>
      </c>
      <c r="E128" s="2">
        <v>7651</v>
      </c>
      <c r="F128" s="6" t="s">
        <v>6</v>
      </c>
    </row>
    <row r="129" spans="1:6" x14ac:dyDescent="0.35">
      <c r="A129" s="2" t="s">
        <v>253</v>
      </c>
      <c r="B129" s="2" t="s">
        <v>255</v>
      </c>
      <c r="C129" s="2" t="s">
        <v>90</v>
      </c>
      <c r="D129" s="6" t="s">
        <v>6</v>
      </c>
      <c r="E129" s="2">
        <v>7930</v>
      </c>
      <c r="F129" s="6" t="s">
        <v>6</v>
      </c>
    </row>
    <row r="130" spans="1:6" x14ac:dyDescent="0.35">
      <c r="A130" s="2" t="s">
        <v>253</v>
      </c>
      <c r="B130" s="2" t="s">
        <v>255</v>
      </c>
      <c r="C130" s="2" t="s">
        <v>91</v>
      </c>
      <c r="D130" s="6" t="s">
        <v>6</v>
      </c>
      <c r="E130" s="2">
        <v>8110</v>
      </c>
      <c r="F130" s="6" t="s">
        <v>6</v>
      </c>
    </row>
    <row r="131" spans="1:6" x14ac:dyDescent="0.35">
      <c r="A131" s="2" t="s">
        <v>253</v>
      </c>
      <c r="B131" s="2" t="s">
        <v>255</v>
      </c>
      <c r="C131" s="2" t="s">
        <v>92</v>
      </c>
      <c r="D131" s="6" t="s">
        <v>6</v>
      </c>
      <c r="E131" s="2">
        <v>8179</v>
      </c>
      <c r="F131" s="6" t="s">
        <v>6</v>
      </c>
    </row>
    <row r="132" spans="1:6" x14ac:dyDescent="0.35">
      <c r="A132" s="2" t="s">
        <v>253</v>
      </c>
      <c r="B132" s="2" t="s">
        <v>255</v>
      </c>
      <c r="C132" s="2" t="s">
        <v>93</v>
      </c>
      <c r="D132" s="6" t="s">
        <v>6</v>
      </c>
      <c r="E132" s="2">
        <v>8493</v>
      </c>
      <c r="F132" s="6" t="s">
        <v>6</v>
      </c>
    </row>
    <row r="133" spans="1:6" x14ac:dyDescent="0.35">
      <c r="A133" s="2" t="s">
        <v>253</v>
      </c>
      <c r="B133" s="2" t="s">
        <v>255</v>
      </c>
      <c r="C133" s="2" t="s">
        <v>94</v>
      </c>
      <c r="D133" s="6" t="s">
        <v>6</v>
      </c>
      <c r="E133" s="2">
        <v>8630</v>
      </c>
      <c r="F133" s="6" t="s">
        <v>6</v>
      </c>
    </row>
    <row r="134" spans="1:6" x14ac:dyDescent="0.35">
      <c r="A134" s="2" t="s">
        <v>253</v>
      </c>
      <c r="B134" s="2" t="s">
        <v>255</v>
      </c>
      <c r="C134" s="2" t="s">
        <v>95</v>
      </c>
      <c r="D134" s="6" t="s">
        <v>6</v>
      </c>
      <c r="E134" s="2">
        <v>9175</v>
      </c>
      <c r="F134" s="6" t="s">
        <v>6</v>
      </c>
    </row>
    <row r="135" spans="1:6" x14ac:dyDescent="0.35">
      <c r="A135" s="2" t="s">
        <v>253</v>
      </c>
      <c r="B135" s="2" t="s">
        <v>255</v>
      </c>
      <c r="C135" s="2" t="s">
        <v>96</v>
      </c>
      <c r="D135" s="6" t="s">
        <v>6</v>
      </c>
      <c r="E135" s="2">
        <v>9459</v>
      </c>
      <c r="F135" s="6" t="s">
        <v>6</v>
      </c>
    </row>
    <row r="136" spans="1:6" x14ac:dyDescent="0.35">
      <c r="A136" s="2" t="s">
        <v>253</v>
      </c>
      <c r="B136" s="2" t="s">
        <v>255</v>
      </c>
      <c r="C136" s="2" t="s">
        <v>97</v>
      </c>
      <c r="D136" s="6" t="s">
        <v>6</v>
      </c>
      <c r="E136" s="2">
        <v>9517</v>
      </c>
      <c r="F136" s="6" t="s">
        <v>6</v>
      </c>
    </row>
    <row r="137" spans="1:6" x14ac:dyDescent="0.35">
      <c r="A137" s="2" t="s">
        <v>253</v>
      </c>
      <c r="B137" s="2" t="s">
        <v>255</v>
      </c>
      <c r="C137" s="2" t="s">
        <v>98</v>
      </c>
      <c r="D137" s="6" t="s">
        <v>6</v>
      </c>
      <c r="E137" s="2">
        <v>9095</v>
      </c>
      <c r="F137" s="6" t="s">
        <v>6</v>
      </c>
    </row>
    <row r="138" spans="1:6" x14ac:dyDescent="0.35">
      <c r="A138" s="2" t="s">
        <v>253</v>
      </c>
      <c r="B138" s="2" t="s">
        <v>255</v>
      </c>
      <c r="C138" s="2" t="s">
        <v>99</v>
      </c>
      <c r="D138" s="6" t="s">
        <v>6</v>
      </c>
      <c r="E138" s="2">
        <v>9596</v>
      </c>
      <c r="F138" s="6" t="s">
        <v>6</v>
      </c>
    </row>
    <row r="139" spans="1:6" x14ac:dyDescent="0.35">
      <c r="A139" s="2" t="s">
        <v>253</v>
      </c>
      <c r="B139" s="2" t="s">
        <v>255</v>
      </c>
      <c r="C139" s="2" t="s">
        <v>100</v>
      </c>
      <c r="D139" s="6" t="s">
        <v>6</v>
      </c>
      <c r="E139" s="2">
        <v>9548</v>
      </c>
      <c r="F139" s="6" t="s">
        <v>6</v>
      </c>
    </row>
    <row r="140" spans="1:6" x14ac:dyDescent="0.35">
      <c r="A140" s="2" t="s">
        <v>253</v>
      </c>
      <c r="B140" s="2" t="s">
        <v>255</v>
      </c>
      <c r="C140" s="2" t="s">
        <v>101</v>
      </c>
      <c r="D140" s="6" t="s">
        <v>6</v>
      </c>
      <c r="E140" s="2">
        <v>10246</v>
      </c>
      <c r="F140" s="6" t="s">
        <v>6</v>
      </c>
    </row>
    <row r="141" spans="1:6" x14ac:dyDescent="0.35">
      <c r="A141" s="2" t="s">
        <v>253</v>
      </c>
      <c r="B141" s="2" t="s">
        <v>255</v>
      </c>
      <c r="C141" s="2" t="s">
        <v>102</v>
      </c>
      <c r="D141" s="6" t="s">
        <v>6</v>
      </c>
      <c r="E141" s="2">
        <v>10481</v>
      </c>
      <c r="F141" s="6" t="s">
        <v>6</v>
      </c>
    </row>
    <row r="142" spans="1:6" x14ac:dyDescent="0.35">
      <c r="A142" s="2" t="s">
        <v>253</v>
      </c>
      <c r="B142" s="2" t="s">
        <v>255</v>
      </c>
      <c r="C142" s="2" t="s">
        <v>103</v>
      </c>
      <c r="D142" s="6" t="s">
        <v>6</v>
      </c>
      <c r="E142" s="2">
        <v>10553</v>
      </c>
      <c r="F142" s="6" t="s">
        <v>6</v>
      </c>
    </row>
    <row r="143" spans="1:6" x14ac:dyDescent="0.35">
      <c r="A143" s="2" t="s">
        <v>253</v>
      </c>
      <c r="B143" s="2" t="s">
        <v>255</v>
      </c>
      <c r="C143" s="2" t="s">
        <v>104</v>
      </c>
      <c r="D143" s="6" t="s">
        <v>6</v>
      </c>
      <c r="E143" s="2">
        <v>10967</v>
      </c>
      <c r="F143" s="6" t="s">
        <v>6</v>
      </c>
    </row>
    <row r="144" spans="1:6" x14ac:dyDescent="0.35">
      <c r="A144" s="2" t="s">
        <v>253</v>
      </c>
      <c r="B144" s="2" t="s">
        <v>255</v>
      </c>
      <c r="C144" s="2" t="s">
        <v>105</v>
      </c>
      <c r="D144" s="6" t="s">
        <v>6</v>
      </c>
      <c r="E144" s="2">
        <v>11483</v>
      </c>
      <c r="F144" s="6" t="s">
        <v>6</v>
      </c>
    </row>
    <row r="145" spans="1:6" x14ac:dyDescent="0.35">
      <c r="A145" s="2" t="s">
        <v>253</v>
      </c>
      <c r="B145" s="2" t="s">
        <v>255</v>
      </c>
      <c r="C145" s="2" t="s">
        <v>106</v>
      </c>
      <c r="D145" s="6" t="s">
        <v>6</v>
      </c>
      <c r="E145" s="2">
        <v>11479</v>
      </c>
      <c r="F145" s="6" t="s">
        <v>6</v>
      </c>
    </row>
    <row r="146" spans="1:6" x14ac:dyDescent="0.35">
      <c r="A146" s="2" t="s">
        <v>253</v>
      </c>
      <c r="B146" s="2" t="s">
        <v>255</v>
      </c>
      <c r="C146" s="2" t="s">
        <v>107</v>
      </c>
      <c r="D146" s="6" t="s">
        <v>6</v>
      </c>
      <c r="E146" s="2">
        <v>11432</v>
      </c>
      <c r="F146" s="6" t="s">
        <v>6</v>
      </c>
    </row>
    <row r="147" spans="1:6" x14ac:dyDescent="0.35">
      <c r="A147" s="2" t="s">
        <v>253</v>
      </c>
      <c r="B147" s="2" t="s">
        <v>255</v>
      </c>
      <c r="C147" s="2" t="s">
        <v>108</v>
      </c>
      <c r="D147" s="6" t="s">
        <v>6</v>
      </c>
      <c r="E147" s="2">
        <v>11754</v>
      </c>
      <c r="F147" s="6" t="s">
        <v>6</v>
      </c>
    </row>
    <row r="148" spans="1:6" x14ac:dyDescent="0.35">
      <c r="A148" s="2" t="s">
        <v>253</v>
      </c>
      <c r="B148" s="2" t="s">
        <v>255</v>
      </c>
      <c r="C148" s="2" t="s">
        <v>109</v>
      </c>
      <c r="D148" s="6" t="s">
        <v>6</v>
      </c>
      <c r="E148" s="2">
        <v>12058</v>
      </c>
      <c r="F148" s="6" t="s">
        <v>6</v>
      </c>
    </row>
    <row r="149" spans="1:6" x14ac:dyDescent="0.35">
      <c r="A149" s="2" t="s">
        <v>253</v>
      </c>
      <c r="B149" s="2" t="s">
        <v>255</v>
      </c>
      <c r="C149" s="2" t="s">
        <v>110</v>
      </c>
      <c r="D149" s="6" t="s">
        <v>6</v>
      </c>
      <c r="E149" s="2">
        <v>12508</v>
      </c>
      <c r="F149" s="6" t="s">
        <v>6</v>
      </c>
    </row>
    <row r="150" spans="1:6" x14ac:dyDescent="0.35">
      <c r="A150" s="2" t="s">
        <v>253</v>
      </c>
      <c r="B150" s="2" t="s">
        <v>255</v>
      </c>
      <c r="C150" s="2" t="s">
        <v>111</v>
      </c>
      <c r="D150" s="6" t="s">
        <v>6</v>
      </c>
      <c r="E150" s="2">
        <v>12737</v>
      </c>
      <c r="F150" s="6" t="s">
        <v>6</v>
      </c>
    </row>
    <row r="151" spans="1:6" x14ac:dyDescent="0.35">
      <c r="A151" s="2" t="s">
        <v>253</v>
      </c>
      <c r="B151" s="2" t="s">
        <v>255</v>
      </c>
      <c r="C151" s="2" t="s">
        <v>112</v>
      </c>
      <c r="D151" s="6" t="s">
        <v>6</v>
      </c>
      <c r="E151" s="2">
        <v>12578</v>
      </c>
      <c r="F151" s="6" t="s">
        <v>6</v>
      </c>
    </row>
    <row r="152" spans="1:6" x14ac:dyDescent="0.35">
      <c r="A152" s="2" t="s">
        <v>253</v>
      </c>
      <c r="B152" s="2" t="s">
        <v>255</v>
      </c>
      <c r="C152" s="2" t="s">
        <v>113</v>
      </c>
      <c r="D152" s="6" t="s">
        <v>6</v>
      </c>
      <c r="E152" s="2">
        <v>12349</v>
      </c>
      <c r="F152" s="6" t="s">
        <v>6</v>
      </c>
    </row>
    <row r="153" spans="1:6" x14ac:dyDescent="0.35">
      <c r="A153" s="2" t="s">
        <v>253</v>
      </c>
      <c r="B153" s="2" t="s">
        <v>255</v>
      </c>
      <c r="C153" s="2" t="s">
        <v>114</v>
      </c>
      <c r="D153" s="6" t="s">
        <v>6</v>
      </c>
      <c r="E153" s="2">
        <v>12837</v>
      </c>
      <c r="F153" s="6" t="s">
        <v>6</v>
      </c>
    </row>
    <row r="154" spans="1:6" x14ac:dyDescent="0.35">
      <c r="A154" s="2" t="s">
        <v>253</v>
      </c>
      <c r="B154" s="2" t="s">
        <v>255</v>
      </c>
      <c r="C154" s="2" t="s">
        <v>115</v>
      </c>
      <c r="D154" s="6" t="s">
        <v>6</v>
      </c>
      <c r="E154" s="2">
        <v>13853</v>
      </c>
      <c r="F154" s="6" t="s">
        <v>6</v>
      </c>
    </row>
    <row r="155" spans="1:6" x14ac:dyDescent="0.35">
      <c r="A155" s="2" t="s">
        <v>253</v>
      </c>
      <c r="B155" s="2" t="s">
        <v>255</v>
      </c>
      <c r="C155" s="2" t="s">
        <v>116</v>
      </c>
      <c r="D155" s="6" t="s">
        <v>6</v>
      </c>
      <c r="E155" s="2">
        <v>13668</v>
      </c>
      <c r="F155" s="6" t="s">
        <v>6</v>
      </c>
    </row>
    <row r="156" spans="1:6" x14ac:dyDescent="0.35">
      <c r="A156" s="2" t="s">
        <v>253</v>
      </c>
      <c r="B156" s="2" t="s">
        <v>255</v>
      </c>
      <c r="C156" s="2" t="s">
        <v>117</v>
      </c>
      <c r="D156" s="6" t="s">
        <v>6</v>
      </c>
      <c r="E156" s="2">
        <v>13114</v>
      </c>
      <c r="F156" s="6" t="s">
        <v>6</v>
      </c>
    </row>
    <row r="157" spans="1:6" x14ac:dyDescent="0.35">
      <c r="A157" s="2" t="s">
        <v>253</v>
      </c>
      <c r="B157" s="2" t="s">
        <v>255</v>
      </c>
      <c r="C157" s="2" t="s">
        <v>118</v>
      </c>
      <c r="D157" s="6" t="s">
        <v>6</v>
      </c>
      <c r="E157" s="2">
        <v>13229</v>
      </c>
      <c r="F157" s="6" t="s">
        <v>6</v>
      </c>
    </row>
    <row r="158" spans="1:6" x14ac:dyDescent="0.35">
      <c r="A158" s="2" t="s">
        <v>253</v>
      </c>
      <c r="B158" s="2" t="s">
        <v>255</v>
      </c>
      <c r="C158" s="2" t="s">
        <v>119</v>
      </c>
      <c r="D158" s="6" t="s">
        <v>6</v>
      </c>
      <c r="E158" s="2">
        <v>13528</v>
      </c>
      <c r="F158" s="6" t="s">
        <v>6</v>
      </c>
    </row>
    <row r="159" spans="1:6" x14ac:dyDescent="0.35">
      <c r="A159" s="2" t="s">
        <v>253</v>
      </c>
      <c r="B159" s="2" t="s">
        <v>255</v>
      </c>
      <c r="C159" s="2" t="s">
        <v>120</v>
      </c>
      <c r="D159" s="6" t="s">
        <v>6</v>
      </c>
      <c r="E159" s="2">
        <v>13179</v>
      </c>
      <c r="F159" s="6" t="s">
        <v>6</v>
      </c>
    </row>
    <row r="160" spans="1:6" x14ac:dyDescent="0.35">
      <c r="A160" s="2" t="s">
        <v>253</v>
      </c>
      <c r="B160" s="2" t="s">
        <v>255</v>
      </c>
      <c r="C160" s="2" t="s">
        <v>121</v>
      </c>
      <c r="D160" s="6" t="s">
        <v>6</v>
      </c>
      <c r="E160" s="2">
        <v>12847</v>
      </c>
      <c r="F160" s="6" t="s">
        <v>6</v>
      </c>
    </row>
    <row r="161" spans="1:6" x14ac:dyDescent="0.35">
      <c r="A161" s="2" t="s">
        <v>253</v>
      </c>
      <c r="B161" s="2" t="s">
        <v>255</v>
      </c>
      <c r="C161" s="2" t="s">
        <v>122</v>
      </c>
      <c r="D161" s="6" t="s">
        <v>6</v>
      </c>
      <c r="E161" s="2">
        <v>12458</v>
      </c>
      <c r="F161" s="6" t="s">
        <v>6</v>
      </c>
    </row>
    <row r="162" spans="1:6" x14ac:dyDescent="0.35">
      <c r="A162" s="2" t="s">
        <v>253</v>
      </c>
      <c r="B162" s="2" t="s">
        <v>255</v>
      </c>
      <c r="C162" s="2" t="s">
        <v>123</v>
      </c>
      <c r="D162" s="6" t="s">
        <v>6</v>
      </c>
      <c r="E162" s="2">
        <v>12146</v>
      </c>
      <c r="F162" s="6" t="s">
        <v>6</v>
      </c>
    </row>
    <row r="163" spans="1:6" x14ac:dyDescent="0.35">
      <c r="A163" s="4" t="s">
        <v>253</v>
      </c>
      <c r="B163" s="4" t="s">
        <v>255</v>
      </c>
      <c r="C163" s="3">
        <v>2019</v>
      </c>
      <c r="D163" s="6" t="s">
        <v>6</v>
      </c>
      <c r="E163" s="6">
        <v>11443</v>
      </c>
      <c r="F163" s="6" t="s">
        <v>6</v>
      </c>
    </row>
    <row r="164" spans="1:6" x14ac:dyDescent="0.35">
      <c r="A164" s="2" t="s">
        <v>253</v>
      </c>
      <c r="B164" s="2" t="s">
        <v>255</v>
      </c>
      <c r="C164" s="2">
        <v>2020</v>
      </c>
      <c r="D164" s="6" t="s">
        <v>6</v>
      </c>
      <c r="E164" s="6">
        <v>10835</v>
      </c>
      <c r="F164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B6B8-AA01-45D6-BF56-8810A64043A9}">
  <dimension ref="A1:F67"/>
  <sheetViews>
    <sheetView zoomScale="55" zoomScaleNormal="55" workbookViewId="0">
      <selection activeCell="H22" sqref="H22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6328125" style="6" customWidth="1"/>
    <col min="5" max="5" width="17.26953125" style="3" customWidth="1"/>
    <col min="6" max="6" width="15.54296875" style="6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20" t="s">
        <v>9</v>
      </c>
      <c r="E1" s="1" t="s">
        <v>7</v>
      </c>
      <c r="F1" s="20" t="s">
        <v>8</v>
      </c>
    </row>
    <row r="2" spans="1:6" x14ac:dyDescent="0.35">
      <c r="A2" s="2" t="s">
        <v>256</v>
      </c>
      <c r="B2" s="2" t="s">
        <v>257</v>
      </c>
      <c r="C2" s="2" t="s">
        <v>61</v>
      </c>
      <c r="D2" s="6">
        <f>154381+1848</f>
        <v>156229</v>
      </c>
      <c r="E2" s="6" t="s">
        <v>6</v>
      </c>
      <c r="F2" s="6">
        <f>3624+212+74</f>
        <v>3910</v>
      </c>
    </row>
    <row r="3" spans="1:6" x14ac:dyDescent="0.35">
      <c r="A3" s="2" t="s">
        <v>256</v>
      </c>
      <c r="B3" s="2" t="s">
        <v>257</v>
      </c>
      <c r="C3" s="2" t="s">
        <v>62</v>
      </c>
      <c r="D3" s="6">
        <f>152088+1787</f>
        <v>153875</v>
      </c>
      <c r="E3" s="6" t="s">
        <v>6</v>
      </c>
      <c r="F3" s="6">
        <f>3710+188+72</f>
        <v>3970</v>
      </c>
    </row>
    <row r="4" spans="1:6" x14ac:dyDescent="0.35">
      <c r="A4" s="2" t="s">
        <v>256</v>
      </c>
      <c r="B4" s="2" t="s">
        <v>257</v>
      </c>
      <c r="C4" s="2" t="s">
        <v>63</v>
      </c>
      <c r="D4" s="6">
        <f>151518+1917</f>
        <v>153435</v>
      </c>
      <c r="E4" s="6" t="s">
        <v>6</v>
      </c>
      <c r="F4" s="6">
        <f>3672+190+74</f>
        <v>3936</v>
      </c>
    </row>
    <row r="5" spans="1:6" x14ac:dyDescent="0.35">
      <c r="A5" s="2" t="s">
        <v>256</v>
      </c>
      <c r="B5" s="2" t="s">
        <v>257</v>
      </c>
      <c r="C5" s="2" t="s">
        <v>64</v>
      </c>
      <c r="D5" s="6">
        <f>156306+1991</f>
        <v>158297</v>
      </c>
      <c r="E5" s="6" t="s">
        <v>6</v>
      </c>
      <c r="F5" s="6">
        <f>3740+164+86</f>
        <v>3990</v>
      </c>
    </row>
    <row r="6" spans="1:6" x14ac:dyDescent="0.35">
      <c r="A6" s="2" t="s">
        <v>256</v>
      </c>
      <c r="B6" s="2" t="s">
        <v>257</v>
      </c>
      <c r="C6" s="2" t="s">
        <v>65</v>
      </c>
      <c r="D6" s="6">
        <f>153529+2069</f>
        <v>155598</v>
      </c>
      <c r="E6" s="6" t="s">
        <v>6</v>
      </c>
      <c r="F6" s="6">
        <f>3556+186+104</f>
        <v>3846</v>
      </c>
    </row>
    <row r="7" spans="1:6" x14ac:dyDescent="0.35">
      <c r="A7" s="2" t="s">
        <v>256</v>
      </c>
      <c r="B7" s="2" t="s">
        <v>257</v>
      </c>
      <c r="C7" s="2" t="s">
        <v>66</v>
      </c>
      <c r="D7" s="6">
        <f>147071+1881</f>
        <v>148952</v>
      </c>
      <c r="E7" s="6" t="s">
        <v>6</v>
      </c>
      <c r="F7" s="6">
        <f>3522+148+78</f>
        <v>3748</v>
      </c>
    </row>
    <row r="8" spans="1:6" x14ac:dyDescent="0.35">
      <c r="A8" s="2" t="s">
        <v>256</v>
      </c>
      <c r="B8" s="2" t="s">
        <v>257</v>
      </c>
      <c r="C8" s="2" t="s">
        <v>67</v>
      </c>
      <c r="D8" s="6">
        <f>148655+2051</f>
        <v>150706</v>
      </c>
      <c r="E8" s="6" t="s">
        <v>6</v>
      </c>
      <c r="F8" s="6">
        <f>3372+144+82</f>
        <v>3598</v>
      </c>
    </row>
    <row r="9" spans="1:6" x14ac:dyDescent="0.35">
      <c r="A9" s="2" t="s">
        <v>256</v>
      </c>
      <c r="B9" s="2" t="s">
        <v>257</v>
      </c>
      <c r="C9" s="2" t="s">
        <v>68</v>
      </c>
      <c r="D9" s="6">
        <f>144762+2052</f>
        <v>146814</v>
      </c>
      <c r="E9" s="6" t="s">
        <v>6</v>
      </c>
      <c r="F9" s="6">
        <f>3376+150+78</f>
        <v>3604</v>
      </c>
    </row>
    <row r="10" spans="1:6" x14ac:dyDescent="0.35">
      <c r="A10" s="2" t="s">
        <v>256</v>
      </c>
      <c r="B10" s="2" t="s">
        <v>257</v>
      </c>
      <c r="C10" s="2" t="s">
        <v>69</v>
      </c>
      <c r="D10" s="6">
        <f>149646+2263</f>
        <v>151909</v>
      </c>
      <c r="E10" s="6" t="s">
        <v>6</v>
      </c>
      <c r="F10" s="6">
        <f>3340+168+88</f>
        <v>3596</v>
      </c>
    </row>
    <row r="11" spans="1:6" x14ac:dyDescent="0.35">
      <c r="A11" s="2" t="s">
        <v>256</v>
      </c>
      <c r="B11" s="2" t="s">
        <v>257</v>
      </c>
      <c r="C11" s="2" t="s">
        <v>70</v>
      </c>
      <c r="D11" s="6">
        <f>148065+2191</f>
        <v>150256</v>
      </c>
      <c r="E11" s="6" t="s">
        <v>6</v>
      </c>
      <c r="F11" s="6">
        <f>3254+172+96</f>
        <v>3522</v>
      </c>
    </row>
    <row r="12" spans="1:6" x14ac:dyDescent="0.35">
      <c r="A12" s="2" t="s">
        <v>256</v>
      </c>
      <c r="B12" s="2" t="s">
        <v>257</v>
      </c>
      <c r="C12" s="2" t="s">
        <v>71</v>
      </c>
      <c r="D12" s="6">
        <f>151208+2289</f>
        <v>153497</v>
      </c>
      <c r="E12" s="6" t="s">
        <v>6</v>
      </c>
      <c r="F12" s="6">
        <f>3288+180+100</f>
        <v>3568</v>
      </c>
    </row>
    <row r="13" spans="1:6" x14ac:dyDescent="0.35">
      <c r="A13" s="2" t="s">
        <v>256</v>
      </c>
      <c r="B13" s="2" t="s">
        <v>257</v>
      </c>
      <c r="C13" s="2" t="s">
        <v>72</v>
      </c>
      <c r="D13" s="6">
        <f>159236+2243</f>
        <v>161479</v>
      </c>
      <c r="E13" s="6" t="s">
        <v>6</v>
      </c>
      <c r="F13" s="6">
        <f>3448+182+92</f>
        <v>3722</v>
      </c>
    </row>
    <row r="14" spans="1:6" x14ac:dyDescent="0.35">
      <c r="A14" s="2" t="s">
        <v>256</v>
      </c>
      <c r="B14" s="2" t="s">
        <v>257</v>
      </c>
      <c r="C14" s="2" t="s">
        <v>73</v>
      </c>
      <c r="D14" s="6">
        <f>156758+2088</f>
        <v>158846</v>
      </c>
      <c r="E14" s="6" t="s">
        <v>6</v>
      </c>
      <c r="F14" s="6">
        <f>3474+128+86</f>
        <v>3688</v>
      </c>
    </row>
    <row r="15" spans="1:6" x14ac:dyDescent="0.35">
      <c r="A15" s="2" t="s">
        <v>256</v>
      </c>
      <c r="B15" s="2" t="s">
        <v>257</v>
      </c>
      <c r="C15" s="2" t="s">
        <v>74</v>
      </c>
      <c r="D15" s="6">
        <f>150845+2075</f>
        <v>152920</v>
      </c>
      <c r="E15" s="6" t="s">
        <v>6</v>
      </c>
      <c r="F15" s="6">
        <f>3122+130+94</f>
        <v>3346</v>
      </c>
    </row>
    <row r="16" spans="1:6" x14ac:dyDescent="0.35">
      <c r="A16" s="2" t="s">
        <v>256</v>
      </c>
      <c r="B16" s="2" t="s">
        <v>257</v>
      </c>
      <c r="C16" s="2" t="s">
        <v>75</v>
      </c>
      <c r="D16" s="6">
        <f>141945+1781</f>
        <v>143726</v>
      </c>
      <c r="E16" s="6" t="s">
        <v>6</v>
      </c>
      <c r="F16" s="6">
        <f>2884+108+78</f>
        <v>3070</v>
      </c>
    </row>
    <row r="17" spans="1:6" x14ac:dyDescent="0.35">
      <c r="A17" s="2" t="s">
        <v>256</v>
      </c>
      <c r="B17" s="2" t="s">
        <v>257</v>
      </c>
      <c r="C17" s="2" t="s">
        <v>76</v>
      </c>
      <c r="D17" s="6">
        <f>138222+1810</f>
        <v>140032</v>
      </c>
      <c r="E17" s="6" t="s">
        <v>6</v>
      </c>
      <c r="F17" s="6">
        <f>2782+114+46</f>
        <v>2942</v>
      </c>
    </row>
    <row r="18" spans="1:6" x14ac:dyDescent="0.35">
      <c r="A18" s="2" t="s">
        <v>256</v>
      </c>
      <c r="B18" s="2" t="s">
        <v>257</v>
      </c>
      <c r="C18" s="2" t="s">
        <v>77</v>
      </c>
      <c r="D18" s="6">
        <f>138066+1652</f>
        <v>139718</v>
      </c>
      <c r="E18" s="6" t="s">
        <v>6</v>
      </c>
      <c r="F18" s="6">
        <f>2734+110+94</f>
        <v>2938</v>
      </c>
    </row>
    <row r="19" spans="1:6" x14ac:dyDescent="0.35">
      <c r="A19" s="2" t="s">
        <v>256</v>
      </c>
      <c r="B19" s="2" t="s">
        <v>257</v>
      </c>
      <c r="C19" s="2" t="s">
        <v>78</v>
      </c>
      <c r="D19" s="6">
        <f>134830+1585</f>
        <v>136415</v>
      </c>
      <c r="E19" s="6" t="s">
        <v>6</v>
      </c>
      <c r="F19" s="6">
        <f>2620+98+60</f>
        <v>2778</v>
      </c>
    </row>
    <row r="20" spans="1:6" x14ac:dyDescent="0.35">
      <c r="A20" s="2" t="s">
        <v>256</v>
      </c>
      <c r="B20" s="2" t="s">
        <v>257</v>
      </c>
      <c r="C20" s="2" t="s">
        <v>79</v>
      </c>
      <c r="D20" s="6">
        <f>141172+1612</f>
        <v>142784</v>
      </c>
      <c r="E20" s="6" t="s">
        <v>6</v>
      </c>
      <c r="F20" s="6">
        <f>2778+84+92</f>
        <v>2954</v>
      </c>
    </row>
    <row r="21" spans="1:6" x14ac:dyDescent="0.35">
      <c r="A21" s="2" t="s">
        <v>256</v>
      </c>
      <c r="B21" s="2" t="s">
        <v>257</v>
      </c>
      <c r="C21" s="2" t="s">
        <v>80</v>
      </c>
      <c r="D21" s="6">
        <f>139586+1586</f>
        <v>141172</v>
      </c>
      <c r="E21" s="6" t="s">
        <v>6</v>
      </c>
      <c r="F21" s="6">
        <f>2572+98+66</f>
        <v>2736</v>
      </c>
    </row>
    <row r="22" spans="1:6" x14ac:dyDescent="0.35">
      <c r="A22" s="2" t="s">
        <v>256</v>
      </c>
      <c r="B22" s="2" t="s">
        <v>257</v>
      </c>
      <c r="C22" s="2" t="s">
        <v>81</v>
      </c>
      <c r="D22" s="6">
        <f>143999+1682</f>
        <v>145681</v>
      </c>
      <c r="E22" s="6" t="s">
        <v>6</v>
      </c>
      <c r="F22" s="6">
        <f>2482+90+72</f>
        <v>2644</v>
      </c>
    </row>
    <row r="23" spans="1:6" x14ac:dyDescent="0.35">
      <c r="A23" s="2" t="s">
        <v>256</v>
      </c>
      <c r="B23" s="2" t="s">
        <v>257</v>
      </c>
      <c r="C23" s="2" t="s">
        <v>82</v>
      </c>
      <c r="D23" s="6">
        <f>141173+1459</f>
        <v>142632</v>
      </c>
      <c r="E23" s="6" t="s">
        <v>6</v>
      </c>
      <c r="F23" s="6">
        <f>2458+78+58</f>
        <v>2594</v>
      </c>
    </row>
    <row r="24" spans="1:6" x14ac:dyDescent="0.35">
      <c r="A24" s="2" t="s">
        <v>256</v>
      </c>
      <c r="B24" s="2" t="s">
        <v>257</v>
      </c>
      <c r="C24" s="2" t="s">
        <v>83</v>
      </c>
      <c r="D24" s="6">
        <f>144120+1392</f>
        <v>145512</v>
      </c>
      <c r="E24" s="6" t="s">
        <v>6</v>
      </c>
      <c r="F24" s="6">
        <f>2374+104+50</f>
        <v>2528</v>
      </c>
    </row>
    <row r="25" spans="1:6" x14ac:dyDescent="0.35">
      <c r="A25" s="2" t="s">
        <v>256</v>
      </c>
      <c r="B25" s="2" t="s">
        <v>257</v>
      </c>
      <c r="C25" s="2" t="s">
        <v>84</v>
      </c>
      <c r="D25" s="6">
        <f>145370+1334</f>
        <v>146704</v>
      </c>
      <c r="E25" s="6" t="s">
        <v>6</v>
      </c>
      <c r="F25" s="6">
        <f>2506+92+66</f>
        <v>2664</v>
      </c>
    </row>
    <row r="26" spans="1:6" x14ac:dyDescent="0.35">
      <c r="A26" s="2" t="s">
        <v>256</v>
      </c>
      <c r="B26" s="2" t="s">
        <v>257</v>
      </c>
      <c r="C26" s="2" t="s">
        <v>85</v>
      </c>
      <c r="D26" s="6">
        <f>145464+1259</f>
        <v>146723</v>
      </c>
      <c r="E26" s="6" t="s">
        <v>6</v>
      </c>
      <c r="F26" s="6">
        <f>2588+96+58</f>
        <v>2742</v>
      </c>
    </row>
    <row r="27" spans="1:6" x14ac:dyDescent="0.35">
      <c r="A27" s="2" t="s">
        <v>256</v>
      </c>
      <c r="B27" s="2" t="s">
        <v>257</v>
      </c>
      <c r="C27" s="2" t="s">
        <v>86</v>
      </c>
      <c r="D27" s="6">
        <f>138517+1217</f>
        <v>139734</v>
      </c>
      <c r="E27" s="6" t="s">
        <v>6</v>
      </c>
      <c r="F27" s="6">
        <f>2358+80+64</f>
        <v>2502</v>
      </c>
    </row>
    <row r="28" spans="1:6" x14ac:dyDescent="0.35">
      <c r="A28" s="2" t="s">
        <v>256</v>
      </c>
      <c r="B28" s="2" t="s">
        <v>257</v>
      </c>
      <c r="C28" s="2" t="s">
        <v>87</v>
      </c>
      <c r="D28" s="6">
        <f>134795+1106</f>
        <v>135901</v>
      </c>
      <c r="E28" s="6" t="s">
        <v>6</v>
      </c>
      <c r="F28" s="6">
        <f>2396+78+42</f>
        <v>2516</v>
      </c>
    </row>
    <row r="29" spans="1:6" x14ac:dyDescent="0.35">
      <c r="A29" s="2" t="s">
        <v>256</v>
      </c>
      <c r="B29" s="2" t="s">
        <v>257</v>
      </c>
      <c r="C29" s="2" t="s">
        <v>88</v>
      </c>
      <c r="D29" s="6">
        <f>129931+1063</f>
        <v>130994</v>
      </c>
      <c r="E29" s="6" t="s">
        <v>6</v>
      </c>
      <c r="F29" s="6">
        <f>2584+94+62</f>
        <v>2740</v>
      </c>
    </row>
    <row r="30" spans="1:6" x14ac:dyDescent="0.35">
      <c r="A30" s="2" t="s">
        <v>256</v>
      </c>
      <c r="B30" s="2" t="s">
        <v>257</v>
      </c>
      <c r="C30" s="2" t="s">
        <v>89</v>
      </c>
      <c r="D30" s="6">
        <f>123093+1028</f>
        <v>124121</v>
      </c>
      <c r="E30" s="6" t="s">
        <v>6</v>
      </c>
      <c r="F30" s="6">
        <f>2540+74+60</f>
        <v>2674</v>
      </c>
    </row>
    <row r="31" spans="1:6" x14ac:dyDescent="0.35">
      <c r="A31" s="2" t="s">
        <v>256</v>
      </c>
      <c r="B31" s="2" t="s">
        <v>257</v>
      </c>
      <c r="C31" s="2" t="s">
        <v>90</v>
      </c>
      <c r="D31" s="6">
        <f>114495+887</f>
        <v>115382</v>
      </c>
      <c r="E31" s="6" t="s">
        <v>6</v>
      </c>
      <c r="F31" s="6">
        <f>1912+58+34</f>
        <v>2004</v>
      </c>
    </row>
    <row r="32" spans="1:6" x14ac:dyDescent="0.35">
      <c r="A32" s="2" t="s">
        <v>256</v>
      </c>
      <c r="B32" s="2" t="s">
        <v>257</v>
      </c>
      <c r="C32" s="2" t="s">
        <v>91</v>
      </c>
      <c r="D32" s="6">
        <f>110639+843</f>
        <v>111482</v>
      </c>
      <c r="E32" s="6" t="s">
        <v>6</v>
      </c>
      <c r="F32" s="6">
        <f>2078+86+38</f>
        <v>2202</v>
      </c>
    </row>
    <row r="33" spans="1:6" x14ac:dyDescent="0.35">
      <c r="A33" s="2" t="s">
        <v>256</v>
      </c>
      <c r="B33" s="2" t="s">
        <v>257</v>
      </c>
      <c r="C33" s="2" t="s">
        <v>92</v>
      </c>
      <c r="D33" s="6">
        <f>104347+797</f>
        <v>105144</v>
      </c>
      <c r="E33" s="6" t="s">
        <v>6</v>
      </c>
      <c r="F33" s="6">
        <f>1970+52+30</f>
        <v>2052</v>
      </c>
    </row>
    <row r="34" spans="1:6" x14ac:dyDescent="0.35">
      <c r="A34" s="2" t="s">
        <v>256</v>
      </c>
      <c r="B34" s="2" t="s">
        <v>257</v>
      </c>
      <c r="C34" s="2" t="s">
        <v>93</v>
      </c>
      <c r="D34" s="6">
        <f>105309+662</f>
        <v>105971</v>
      </c>
      <c r="E34" s="6" t="s">
        <v>6</v>
      </c>
      <c r="F34" s="6">
        <f>2106+68+38</f>
        <v>2212</v>
      </c>
    </row>
    <row r="35" spans="1:6" x14ac:dyDescent="0.35">
      <c r="A35" s="2" t="s">
        <v>256</v>
      </c>
      <c r="B35" s="2" t="s">
        <v>257</v>
      </c>
      <c r="C35" s="2" t="s">
        <v>94</v>
      </c>
      <c r="D35" s="6">
        <f>99557+652</f>
        <v>100209</v>
      </c>
      <c r="E35" s="6" t="s">
        <v>6</v>
      </c>
      <c r="F35" s="6">
        <f>2002+52+52</f>
        <v>2106</v>
      </c>
    </row>
    <row r="36" spans="1:6" x14ac:dyDescent="0.35">
      <c r="A36" s="2" t="s">
        <v>256</v>
      </c>
      <c r="B36" s="2" t="s">
        <v>257</v>
      </c>
      <c r="C36" s="2" t="s">
        <v>95</v>
      </c>
      <c r="D36" s="6">
        <f>99999+659</f>
        <v>100658</v>
      </c>
      <c r="E36" s="6" t="s">
        <v>6</v>
      </c>
      <c r="F36" s="6">
        <f>2152+50+46</f>
        <v>2248</v>
      </c>
    </row>
    <row r="37" spans="1:6" x14ac:dyDescent="0.35">
      <c r="A37" s="2" t="s">
        <v>256</v>
      </c>
      <c r="B37" s="2" t="s">
        <v>257</v>
      </c>
      <c r="C37" s="2" t="s">
        <v>96</v>
      </c>
      <c r="D37" s="6">
        <f>100291+645</f>
        <v>100936</v>
      </c>
      <c r="E37" s="6" t="s">
        <v>6</v>
      </c>
      <c r="F37" s="6">
        <f>2176+70+24</f>
        <v>2270</v>
      </c>
    </row>
    <row r="38" spans="1:6" x14ac:dyDescent="0.35">
      <c r="A38" s="2" t="s">
        <v>256</v>
      </c>
      <c r="B38" s="2" t="s">
        <v>257</v>
      </c>
      <c r="C38" s="2" t="s">
        <v>97</v>
      </c>
      <c r="D38" s="6">
        <f>101446+570</f>
        <v>102016</v>
      </c>
      <c r="E38" s="6" t="s">
        <v>6</v>
      </c>
      <c r="F38" s="6">
        <f>2520+62+24</f>
        <v>2606</v>
      </c>
    </row>
    <row r="39" spans="1:6" x14ac:dyDescent="0.35">
      <c r="A39" s="2" t="s">
        <v>256</v>
      </c>
      <c r="B39" s="2" t="s">
        <v>257</v>
      </c>
      <c r="C39" s="2" t="s">
        <v>98</v>
      </c>
      <c r="D39" s="6">
        <f>98897+582</f>
        <v>99479</v>
      </c>
      <c r="E39" s="6" t="s">
        <v>6</v>
      </c>
      <c r="F39" s="6">
        <f>2694+92+42</f>
        <v>2828</v>
      </c>
    </row>
    <row r="40" spans="1:6" x14ac:dyDescent="0.35">
      <c r="A40" s="2" t="s">
        <v>256</v>
      </c>
      <c r="B40" s="2" t="s">
        <v>257</v>
      </c>
      <c r="C40" s="2" t="s">
        <v>99</v>
      </c>
      <c r="D40" s="6">
        <f>101069+518</f>
        <v>101587</v>
      </c>
      <c r="E40" s="6" t="s">
        <v>6</v>
      </c>
      <c r="F40" s="6">
        <f>2546+80+38</f>
        <v>2664</v>
      </c>
    </row>
    <row r="41" spans="1:6" x14ac:dyDescent="0.35">
      <c r="A41" s="2" t="s">
        <v>256</v>
      </c>
      <c r="B41" s="2" t="s">
        <v>257</v>
      </c>
      <c r="C41" s="2" t="s">
        <v>100</v>
      </c>
      <c r="D41" s="6">
        <f>98474+568</f>
        <v>99042</v>
      </c>
      <c r="E41" s="6" t="s">
        <v>6</v>
      </c>
      <c r="F41" s="6">
        <f>2824+86+28</f>
        <v>2938</v>
      </c>
    </row>
    <row r="42" spans="1:6" x14ac:dyDescent="0.35">
      <c r="A42" s="2" t="s">
        <v>256</v>
      </c>
      <c r="B42" s="2" t="s">
        <v>257</v>
      </c>
      <c r="C42" s="2" t="s">
        <v>101</v>
      </c>
      <c r="D42" s="6">
        <f>97540+504</f>
        <v>98044</v>
      </c>
      <c r="E42" s="6" t="s">
        <v>6</v>
      </c>
      <c r="F42" s="6">
        <f>2988+108+32</f>
        <v>3128</v>
      </c>
    </row>
    <row r="43" spans="1:6" x14ac:dyDescent="0.35">
      <c r="A43" s="2" t="s">
        <v>256</v>
      </c>
      <c r="B43" s="2" t="s">
        <v>257</v>
      </c>
      <c r="C43" s="2" t="s">
        <v>102</v>
      </c>
      <c r="D43" s="6">
        <f>98694+550</f>
        <v>99244</v>
      </c>
      <c r="E43" s="6" t="s">
        <v>6</v>
      </c>
      <c r="F43" s="6">
        <f>3136+74+34</f>
        <v>3244</v>
      </c>
    </row>
    <row r="44" spans="1:6" x14ac:dyDescent="0.35">
      <c r="A44" s="2" t="s">
        <v>256</v>
      </c>
      <c r="B44" s="2" t="s">
        <v>257</v>
      </c>
      <c r="C44" s="2" t="s">
        <v>103</v>
      </c>
      <c r="D44" s="6">
        <f>97053+506</f>
        <v>97559</v>
      </c>
      <c r="E44" s="6" t="s">
        <v>6</v>
      </c>
      <c r="F44" s="6">
        <f>3608+128+22</f>
        <v>3758</v>
      </c>
    </row>
    <row r="45" spans="1:6" x14ac:dyDescent="0.35">
      <c r="A45" s="2" t="s">
        <v>256</v>
      </c>
      <c r="B45" s="2" t="s">
        <v>257</v>
      </c>
      <c r="C45" s="2" t="s">
        <v>104</v>
      </c>
      <c r="D45" s="6">
        <f>96566+530</f>
        <v>97096</v>
      </c>
      <c r="E45" s="6" t="s">
        <v>6</v>
      </c>
      <c r="F45" s="6">
        <f>3752+114+24</f>
        <v>3890</v>
      </c>
    </row>
    <row r="46" spans="1:6" x14ac:dyDescent="0.35">
      <c r="A46" s="2" t="s">
        <v>256</v>
      </c>
      <c r="B46" s="2" t="s">
        <v>257</v>
      </c>
      <c r="C46" s="2" t="s">
        <v>105</v>
      </c>
      <c r="D46" s="6">
        <f>98992+456</f>
        <v>99448</v>
      </c>
      <c r="E46" s="6" t="s">
        <v>6</v>
      </c>
      <c r="F46" s="6">
        <f>3924+122+14</f>
        <v>4060</v>
      </c>
    </row>
    <row r="47" spans="1:6" x14ac:dyDescent="0.35">
      <c r="A47" s="2" t="s">
        <v>256</v>
      </c>
      <c r="B47" s="2" t="s">
        <v>257</v>
      </c>
      <c r="C47" s="2" t="s">
        <v>106</v>
      </c>
      <c r="D47" s="6">
        <f>97771+491</f>
        <v>98262</v>
      </c>
      <c r="E47" s="6" t="s">
        <v>6</v>
      </c>
      <c r="F47" s="6">
        <f>4204+112+30</f>
        <v>4346</v>
      </c>
    </row>
    <row r="48" spans="1:6" x14ac:dyDescent="0.35">
      <c r="A48" s="2" t="s">
        <v>256</v>
      </c>
      <c r="B48" s="2" t="s">
        <v>257</v>
      </c>
      <c r="C48" s="2" t="s">
        <v>107</v>
      </c>
      <c r="D48" s="6">
        <f>99265+452</f>
        <v>99717</v>
      </c>
      <c r="E48" s="6" t="s">
        <v>6</v>
      </c>
      <c r="F48" s="6">
        <f>4046+76+12</f>
        <v>4134</v>
      </c>
    </row>
    <row r="49" spans="1:6" x14ac:dyDescent="0.35">
      <c r="A49" s="2" t="s">
        <v>256</v>
      </c>
      <c r="B49" s="2" t="s">
        <v>257</v>
      </c>
      <c r="C49" s="2" t="s">
        <v>108</v>
      </c>
      <c r="D49" s="6">
        <f>99861+415</f>
        <v>100276</v>
      </c>
      <c r="E49" s="6" t="s">
        <v>6</v>
      </c>
      <c r="F49" s="6">
        <f>4248+116+26</f>
        <v>4390</v>
      </c>
    </row>
    <row r="50" spans="1:6" x14ac:dyDescent="0.35">
      <c r="A50" s="2" t="s">
        <v>256</v>
      </c>
      <c r="B50" s="2" t="s">
        <v>257</v>
      </c>
      <c r="C50" s="2" t="s">
        <v>109</v>
      </c>
      <c r="D50" s="6">
        <f>100882+379</f>
        <v>101261</v>
      </c>
      <c r="E50" s="6" t="s">
        <v>6</v>
      </c>
      <c r="F50" s="6">
        <f>4438+124+24</f>
        <v>4586</v>
      </c>
    </row>
    <row r="51" spans="1:6" x14ac:dyDescent="0.35">
      <c r="A51" s="2" t="s">
        <v>256</v>
      </c>
      <c r="B51" s="2" t="s">
        <v>257</v>
      </c>
      <c r="C51" s="2" t="s">
        <v>110</v>
      </c>
      <c r="D51" s="6">
        <f>102648+343</f>
        <v>102991</v>
      </c>
      <c r="E51" s="6" t="s">
        <v>6</v>
      </c>
      <c r="F51" s="6">
        <f>4610+96+26</f>
        <v>4732</v>
      </c>
    </row>
    <row r="52" spans="1:6" x14ac:dyDescent="0.35">
      <c r="A52" s="2" t="s">
        <v>256</v>
      </c>
      <c r="B52" s="2" t="s">
        <v>257</v>
      </c>
      <c r="C52" s="2" t="s">
        <v>111</v>
      </c>
      <c r="D52" s="6">
        <f>106922+304</f>
        <v>107226</v>
      </c>
      <c r="E52" s="6" t="s">
        <v>6</v>
      </c>
      <c r="F52" s="6">
        <f>4792+66+24</f>
        <v>4882</v>
      </c>
    </row>
    <row r="53" spans="1:6" x14ac:dyDescent="0.35">
      <c r="A53" s="2" t="s">
        <v>256</v>
      </c>
      <c r="B53" s="2" t="s">
        <v>257</v>
      </c>
      <c r="C53" s="2" t="s">
        <v>112</v>
      </c>
      <c r="D53" s="6">
        <f>106544+361</f>
        <v>106905</v>
      </c>
      <c r="E53" s="6" t="s">
        <v>6</v>
      </c>
      <c r="F53" s="6">
        <f>5102+116+16</f>
        <v>5234</v>
      </c>
    </row>
    <row r="54" spans="1:6" x14ac:dyDescent="0.35">
      <c r="A54" s="2" t="s">
        <v>256</v>
      </c>
      <c r="B54" s="2" t="s">
        <v>257</v>
      </c>
      <c r="C54" s="2" t="s">
        <v>113</v>
      </c>
      <c r="D54" s="6">
        <f>112795+319</f>
        <v>113114</v>
      </c>
      <c r="E54" s="6" t="s">
        <v>6</v>
      </c>
      <c r="F54" s="6">
        <f>5194+110+14</f>
        <v>5318</v>
      </c>
    </row>
    <row r="55" spans="1:6" x14ac:dyDescent="0.35">
      <c r="A55" s="2" t="s">
        <v>256</v>
      </c>
      <c r="B55" s="2" t="s">
        <v>257</v>
      </c>
      <c r="C55" s="2" t="s">
        <v>114</v>
      </c>
      <c r="D55" s="6">
        <f>111898+406</f>
        <v>112304</v>
      </c>
      <c r="E55" s="6" t="s">
        <v>6</v>
      </c>
      <c r="F55" s="6">
        <f>5628+162+8</f>
        <v>5798</v>
      </c>
    </row>
    <row r="56" spans="1:6" x14ac:dyDescent="0.35">
      <c r="A56" s="2" t="s">
        <v>256</v>
      </c>
      <c r="B56" s="2" t="s">
        <v>257</v>
      </c>
      <c r="C56" s="2" t="s">
        <v>115</v>
      </c>
      <c r="D56" s="6">
        <f>108724+403</f>
        <v>109127</v>
      </c>
      <c r="E56" s="6" t="s">
        <v>6</v>
      </c>
      <c r="F56" s="6">
        <f>5568+142+16</f>
        <v>5726</v>
      </c>
    </row>
    <row r="57" spans="1:6" x14ac:dyDescent="0.35">
      <c r="A57" s="2" t="s">
        <v>256</v>
      </c>
      <c r="B57" s="2" t="s">
        <v>257</v>
      </c>
      <c r="C57" s="2" t="s">
        <v>116</v>
      </c>
      <c r="D57" s="6">
        <f>101253+345</f>
        <v>101598</v>
      </c>
      <c r="E57" s="6" t="s">
        <v>6</v>
      </c>
      <c r="F57" s="6">
        <f>4858+110+24</f>
        <v>4992</v>
      </c>
    </row>
    <row r="58" spans="1:6" x14ac:dyDescent="0.35">
      <c r="A58" s="2" t="s">
        <v>256</v>
      </c>
      <c r="B58" s="2" t="s">
        <v>257</v>
      </c>
      <c r="C58" s="2" t="s">
        <v>117</v>
      </c>
      <c r="D58" s="6">
        <f>95465+342</f>
        <v>95807</v>
      </c>
      <c r="E58" s="6" t="s">
        <v>6</v>
      </c>
      <c r="F58" s="6">
        <f>4542+148+22</f>
        <v>4712</v>
      </c>
    </row>
    <row r="59" spans="1:6" x14ac:dyDescent="0.35">
      <c r="A59" s="2" t="s">
        <v>256</v>
      </c>
      <c r="B59" s="2" t="s">
        <v>257</v>
      </c>
      <c r="C59" s="2" t="s">
        <v>118</v>
      </c>
      <c r="D59" s="6">
        <f>89332+306</f>
        <v>89638</v>
      </c>
      <c r="E59" s="6" t="s">
        <v>6</v>
      </c>
      <c r="F59" s="6">
        <f>4510+92+12</f>
        <v>4614</v>
      </c>
    </row>
    <row r="60" spans="1:6" x14ac:dyDescent="0.35">
      <c r="A60" s="2" t="s">
        <v>256</v>
      </c>
      <c r="B60" s="2" t="s">
        <v>257</v>
      </c>
      <c r="C60" s="2" t="s">
        <v>119</v>
      </c>
      <c r="D60" s="6">
        <f>87652+299</f>
        <v>87951</v>
      </c>
      <c r="E60" s="6" t="s">
        <v>6</v>
      </c>
      <c r="F60" s="6">
        <f>4256+94+6</f>
        <v>4356</v>
      </c>
    </row>
    <row r="61" spans="1:6" x14ac:dyDescent="0.35">
      <c r="A61" s="2" t="s">
        <v>256</v>
      </c>
      <c r="B61" s="2" t="s">
        <v>257</v>
      </c>
      <c r="C61" s="2" t="s">
        <v>120</v>
      </c>
      <c r="D61" s="6">
        <f>87118+256</f>
        <v>87374</v>
      </c>
      <c r="E61" s="6" t="s">
        <v>6</v>
      </c>
      <c r="F61" s="6">
        <f>4570+100</f>
        <v>4670</v>
      </c>
    </row>
    <row r="62" spans="1:6" x14ac:dyDescent="0.35">
      <c r="A62" s="2" t="s">
        <v>256</v>
      </c>
      <c r="B62" s="2" t="s">
        <v>257</v>
      </c>
      <c r="C62" s="2" t="s">
        <v>121</v>
      </c>
      <c r="D62" s="6">
        <f>88299+284</f>
        <v>88583</v>
      </c>
      <c r="E62" s="6" t="s">
        <v>6</v>
      </c>
      <c r="F62" s="6">
        <f>4448+88+10</f>
        <v>4546</v>
      </c>
    </row>
    <row r="63" spans="1:6" x14ac:dyDescent="0.35">
      <c r="A63" s="2" t="s">
        <v>256</v>
      </c>
      <c r="B63" s="2" t="s">
        <v>257</v>
      </c>
      <c r="C63" s="2" t="s">
        <v>122</v>
      </c>
      <c r="D63" s="6">
        <f>84082+312</f>
        <v>84394</v>
      </c>
      <c r="E63" s="6" t="s">
        <v>6</v>
      </c>
      <c r="F63" s="6">
        <f>4350+76+12</f>
        <v>4438</v>
      </c>
    </row>
    <row r="64" spans="1:6" x14ac:dyDescent="0.35">
      <c r="A64" s="2" t="s">
        <v>256</v>
      </c>
      <c r="B64" s="2" t="s">
        <v>257</v>
      </c>
      <c r="C64" s="2" t="s">
        <v>123</v>
      </c>
      <c r="D64" s="6">
        <f>81945+277</f>
        <v>82222</v>
      </c>
      <c r="E64" s="6" t="s">
        <v>6</v>
      </c>
      <c r="F64" s="6">
        <f>4374+84+14</f>
        <v>4472</v>
      </c>
    </row>
    <row r="65" spans="1:6" x14ac:dyDescent="0.35">
      <c r="A65" s="2" t="s">
        <v>256</v>
      </c>
      <c r="B65" s="2" t="s">
        <v>257</v>
      </c>
      <c r="C65" s="2" t="s">
        <v>124</v>
      </c>
      <c r="D65" s="6">
        <f>79524+382</f>
        <v>79906</v>
      </c>
      <c r="E65" s="6" t="s">
        <v>6</v>
      </c>
      <c r="F65" s="6">
        <f>4092+104+16</f>
        <v>4212</v>
      </c>
    </row>
    <row r="66" spans="1:6" x14ac:dyDescent="0.35">
      <c r="E66" s="2"/>
    </row>
    <row r="67" spans="1:6" x14ac:dyDescent="0.35">
      <c r="E67" s="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A404-A240-43EC-828F-C63987D1FEF0}">
  <dimension ref="A1:F172"/>
  <sheetViews>
    <sheetView zoomScale="25" zoomScaleNormal="25" workbookViewId="0">
      <selection sqref="A1:F172"/>
    </sheetView>
  </sheetViews>
  <sheetFormatPr defaultRowHeight="14.5" x14ac:dyDescent="0.35"/>
  <cols>
    <col min="1" max="1" width="11.6328125" style="3" customWidth="1"/>
    <col min="2" max="2" width="11" style="3" customWidth="1"/>
    <col min="3" max="3" width="8.1796875" style="3" customWidth="1"/>
    <col min="4" max="4" width="14.36328125" style="3" customWidth="1"/>
    <col min="5" max="5" width="19.542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258</v>
      </c>
      <c r="B2" s="2" t="s">
        <v>259</v>
      </c>
      <c r="C2" s="2">
        <v>1850</v>
      </c>
      <c r="D2" s="2">
        <v>2280</v>
      </c>
      <c r="E2" s="2">
        <v>34</v>
      </c>
      <c r="F2" s="2" t="s">
        <v>6</v>
      </c>
    </row>
    <row r="3" spans="1:6" x14ac:dyDescent="0.35">
      <c r="A3" s="2" t="s">
        <v>258</v>
      </c>
      <c r="B3" s="2" t="s">
        <v>259</v>
      </c>
      <c r="C3" s="2">
        <v>1851</v>
      </c>
      <c r="D3" s="2">
        <v>2336</v>
      </c>
      <c r="E3" s="2">
        <v>20</v>
      </c>
      <c r="F3" s="2" t="s">
        <v>6</v>
      </c>
    </row>
    <row r="4" spans="1:6" x14ac:dyDescent="0.35">
      <c r="A4" s="2" t="s">
        <v>258</v>
      </c>
      <c r="B4" s="2" t="s">
        <v>259</v>
      </c>
      <c r="C4" s="2">
        <v>1852</v>
      </c>
      <c r="D4" s="2">
        <v>2357</v>
      </c>
      <c r="E4" s="2">
        <v>46</v>
      </c>
      <c r="F4" s="2" t="s">
        <v>6</v>
      </c>
    </row>
    <row r="5" spans="1:6" x14ac:dyDescent="0.35">
      <c r="A5" s="2" t="s">
        <v>258</v>
      </c>
      <c r="B5" s="2" t="s">
        <v>259</v>
      </c>
      <c r="C5" s="2">
        <v>1853</v>
      </c>
      <c r="D5" s="2" t="s">
        <v>6</v>
      </c>
      <c r="E5" s="2" t="s">
        <v>6</v>
      </c>
      <c r="F5" s="2" t="s">
        <v>6</v>
      </c>
    </row>
    <row r="6" spans="1:6" x14ac:dyDescent="0.35">
      <c r="A6" s="2" t="s">
        <v>258</v>
      </c>
      <c r="B6" s="2" t="s">
        <v>259</v>
      </c>
      <c r="C6" s="2">
        <v>1854</v>
      </c>
      <c r="D6" s="2">
        <v>2476</v>
      </c>
      <c r="E6" s="2">
        <v>39</v>
      </c>
      <c r="F6" s="2" t="s">
        <v>6</v>
      </c>
    </row>
    <row r="7" spans="1:6" x14ac:dyDescent="0.35">
      <c r="A7" s="2" t="s">
        <v>258</v>
      </c>
      <c r="B7" s="2" t="s">
        <v>259</v>
      </c>
      <c r="C7" s="2">
        <v>1855</v>
      </c>
      <c r="D7" s="2">
        <v>2423</v>
      </c>
      <c r="E7" s="2">
        <v>38</v>
      </c>
      <c r="F7" s="2" t="s">
        <v>6</v>
      </c>
    </row>
    <row r="8" spans="1:6" x14ac:dyDescent="0.35">
      <c r="A8" s="2" t="s">
        <v>258</v>
      </c>
      <c r="B8" s="2" t="s">
        <v>259</v>
      </c>
      <c r="C8" s="2">
        <v>1856</v>
      </c>
      <c r="D8" s="2">
        <v>2388</v>
      </c>
      <c r="E8" s="2">
        <v>43</v>
      </c>
      <c r="F8" s="2" t="s">
        <v>6</v>
      </c>
    </row>
    <row r="9" spans="1:6" x14ac:dyDescent="0.35">
      <c r="A9" s="2" t="s">
        <v>258</v>
      </c>
      <c r="B9" s="2" t="s">
        <v>259</v>
      </c>
      <c r="C9" s="2">
        <v>1857</v>
      </c>
      <c r="D9" s="2">
        <v>2685</v>
      </c>
      <c r="E9" s="2">
        <v>30</v>
      </c>
      <c r="F9" s="2" t="s">
        <v>6</v>
      </c>
    </row>
    <row r="10" spans="1:6" x14ac:dyDescent="0.35">
      <c r="A10" s="2" t="s">
        <v>258</v>
      </c>
      <c r="B10" s="2" t="s">
        <v>259</v>
      </c>
      <c r="C10" s="2">
        <v>1858</v>
      </c>
      <c r="D10" s="2">
        <v>2858</v>
      </c>
      <c r="E10" s="2">
        <v>38</v>
      </c>
      <c r="F10" s="2" t="s">
        <v>6</v>
      </c>
    </row>
    <row r="11" spans="1:6" x14ac:dyDescent="0.35">
      <c r="A11" s="2" t="s">
        <v>258</v>
      </c>
      <c r="B11" s="2" t="s">
        <v>259</v>
      </c>
      <c r="C11" s="2">
        <v>1859</v>
      </c>
      <c r="D11" s="2">
        <v>2585</v>
      </c>
      <c r="E11" s="2">
        <v>46</v>
      </c>
      <c r="F11" s="2" t="s">
        <v>6</v>
      </c>
    </row>
    <row r="12" spans="1:6" x14ac:dyDescent="0.35">
      <c r="A12" s="2" t="s">
        <v>258</v>
      </c>
      <c r="B12" s="2" t="s">
        <v>259</v>
      </c>
      <c r="C12" s="2">
        <v>1860</v>
      </c>
      <c r="D12" s="2">
        <v>2406</v>
      </c>
      <c r="E12" s="2">
        <v>27</v>
      </c>
      <c r="F12" s="2" t="s">
        <v>6</v>
      </c>
    </row>
    <row r="13" spans="1:6" x14ac:dyDescent="0.35">
      <c r="A13" s="2" t="s">
        <v>258</v>
      </c>
      <c r="B13" s="2" t="s">
        <v>259</v>
      </c>
      <c r="C13" s="2">
        <v>1861</v>
      </c>
      <c r="D13" s="2">
        <v>2450</v>
      </c>
      <c r="E13" s="2">
        <v>36</v>
      </c>
      <c r="F13" s="2" t="s">
        <v>6</v>
      </c>
    </row>
    <row r="14" spans="1:6" x14ac:dyDescent="0.35">
      <c r="A14" s="2" t="s">
        <v>258</v>
      </c>
      <c r="B14" s="2" t="s">
        <v>259</v>
      </c>
      <c r="C14" s="2">
        <v>1862</v>
      </c>
      <c r="D14" s="2">
        <v>2626</v>
      </c>
      <c r="E14" s="2">
        <v>32</v>
      </c>
      <c r="F14" s="2" t="s">
        <v>6</v>
      </c>
    </row>
    <row r="15" spans="1:6" x14ac:dyDescent="0.35">
      <c r="A15" s="2" t="s">
        <v>258</v>
      </c>
      <c r="B15" s="2" t="s">
        <v>259</v>
      </c>
      <c r="C15" s="2">
        <v>1863</v>
      </c>
      <c r="D15" s="2">
        <v>2572</v>
      </c>
      <c r="E15" s="2">
        <v>35</v>
      </c>
      <c r="F15" s="2" t="s">
        <v>6</v>
      </c>
    </row>
    <row r="16" spans="1:6" x14ac:dyDescent="0.35">
      <c r="A16" s="2" t="s">
        <v>258</v>
      </c>
      <c r="B16" s="2" t="s">
        <v>259</v>
      </c>
      <c r="C16" s="2">
        <v>1864</v>
      </c>
      <c r="D16" s="2">
        <v>2656</v>
      </c>
      <c r="E16" s="2">
        <v>52</v>
      </c>
      <c r="F16" s="2" t="s">
        <v>6</v>
      </c>
    </row>
    <row r="17" spans="1:6" x14ac:dyDescent="0.35">
      <c r="A17" s="2" t="s">
        <v>258</v>
      </c>
      <c r="B17" s="2" t="s">
        <v>259</v>
      </c>
      <c r="C17" s="2">
        <v>1865</v>
      </c>
      <c r="D17" s="2">
        <v>2677</v>
      </c>
      <c r="E17" s="2">
        <v>37</v>
      </c>
      <c r="F17" s="2" t="s">
        <v>6</v>
      </c>
    </row>
    <row r="18" spans="1:6" x14ac:dyDescent="0.35">
      <c r="A18" s="2" t="s">
        <v>258</v>
      </c>
      <c r="B18" s="2" t="s">
        <v>259</v>
      </c>
      <c r="C18" s="2">
        <v>1866</v>
      </c>
      <c r="D18" s="2">
        <v>2577</v>
      </c>
      <c r="E18" s="2">
        <v>41</v>
      </c>
      <c r="F18" s="2" t="s">
        <v>6</v>
      </c>
    </row>
    <row r="19" spans="1:6" x14ac:dyDescent="0.35">
      <c r="A19" s="2" t="s">
        <v>258</v>
      </c>
      <c r="B19" s="2" t="s">
        <v>259</v>
      </c>
      <c r="C19" s="2">
        <v>1867</v>
      </c>
      <c r="D19" s="2">
        <v>2645</v>
      </c>
      <c r="E19" s="2">
        <v>46</v>
      </c>
      <c r="F19" s="2" t="s">
        <v>6</v>
      </c>
    </row>
    <row r="20" spans="1:6" x14ac:dyDescent="0.35">
      <c r="A20" s="2" t="s">
        <v>258</v>
      </c>
      <c r="B20" s="2" t="s">
        <v>259</v>
      </c>
      <c r="C20" s="2">
        <v>1868</v>
      </c>
      <c r="D20" s="2">
        <v>2375</v>
      </c>
      <c r="E20" s="2">
        <v>37</v>
      </c>
      <c r="F20" s="2" t="s">
        <v>6</v>
      </c>
    </row>
    <row r="21" spans="1:6" x14ac:dyDescent="0.35">
      <c r="A21" s="2" t="s">
        <v>258</v>
      </c>
      <c r="B21" s="2" t="s">
        <v>259</v>
      </c>
      <c r="C21" s="2">
        <v>1869</v>
      </c>
      <c r="D21" s="2">
        <v>2107</v>
      </c>
      <c r="E21" s="2">
        <v>35</v>
      </c>
      <c r="F21" s="2" t="s">
        <v>6</v>
      </c>
    </row>
    <row r="22" spans="1:6" x14ac:dyDescent="0.35">
      <c r="A22" s="2" t="s">
        <v>258</v>
      </c>
      <c r="B22" s="2" t="s">
        <v>259</v>
      </c>
      <c r="C22" s="2">
        <v>1870</v>
      </c>
      <c r="D22" s="2">
        <v>2184</v>
      </c>
      <c r="E22" s="2">
        <v>46</v>
      </c>
      <c r="F22" s="2" t="s">
        <v>6</v>
      </c>
    </row>
    <row r="23" spans="1:6" x14ac:dyDescent="0.35">
      <c r="A23" s="2" t="s">
        <v>258</v>
      </c>
      <c r="B23" s="2" t="s">
        <v>259</v>
      </c>
      <c r="C23" s="2">
        <v>1871</v>
      </c>
      <c r="D23" s="2">
        <v>2190</v>
      </c>
      <c r="E23" s="2">
        <v>43</v>
      </c>
      <c r="F23" s="2" t="s">
        <v>6</v>
      </c>
    </row>
    <row r="24" spans="1:6" x14ac:dyDescent="0.35">
      <c r="A24" s="2" t="s">
        <v>258</v>
      </c>
      <c r="B24" s="2" t="s">
        <v>259</v>
      </c>
      <c r="C24" s="2">
        <v>1872</v>
      </c>
      <c r="D24" s="2">
        <v>2197</v>
      </c>
      <c r="E24" s="2">
        <v>34</v>
      </c>
      <c r="F24" s="2" t="s">
        <v>6</v>
      </c>
    </row>
    <row r="25" spans="1:6" x14ac:dyDescent="0.35">
      <c r="A25" s="2" t="s">
        <v>258</v>
      </c>
      <c r="B25" s="2" t="s">
        <v>259</v>
      </c>
      <c r="C25" s="2">
        <v>1873</v>
      </c>
      <c r="D25" s="2">
        <v>2365</v>
      </c>
      <c r="E25" s="2">
        <v>36</v>
      </c>
      <c r="F25" s="2" t="s">
        <v>6</v>
      </c>
    </row>
    <row r="26" spans="1:6" x14ac:dyDescent="0.35">
      <c r="A26" s="2" t="s">
        <v>258</v>
      </c>
      <c r="B26" s="2" t="s">
        <v>259</v>
      </c>
      <c r="C26" s="2">
        <v>1874</v>
      </c>
      <c r="D26" s="2">
        <v>2296</v>
      </c>
      <c r="E26" s="2">
        <v>25</v>
      </c>
      <c r="F26" s="2" t="s">
        <v>6</v>
      </c>
    </row>
    <row r="27" spans="1:6" x14ac:dyDescent="0.35">
      <c r="A27" s="2" t="s">
        <v>258</v>
      </c>
      <c r="B27" s="2" t="s">
        <v>259</v>
      </c>
      <c r="C27" s="2">
        <v>1875</v>
      </c>
      <c r="D27" s="2">
        <v>2254</v>
      </c>
      <c r="E27" s="2">
        <v>46</v>
      </c>
      <c r="F27" s="2" t="s">
        <v>6</v>
      </c>
    </row>
    <row r="28" spans="1:6" x14ac:dyDescent="0.35">
      <c r="A28" s="2" t="s">
        <v>258</v>
      </c>
      <c r="B28" s="2" t="s">
        <v>259</v>
      </c>
      <c r="C28" s="2">
        <v>1876</v>
      </c>
      <c r="D28" s="2">
        <v>2350</v>
      </c>
      <c r="E28" s="2">
        <v>37</v>
      </c>
      <c r="F28" s="2" t="s">
        <v>6</v>
      </c>
    </row>
    <row r="29" spans="1:6" x14ac:dyDescent="0.35">
      <c r="A29" s="2" t="s">
        <v>258</v>
      </c>
      <c r="B29" s="2" t="s">
        <v>259</v>
      </c>
      <c r="C29" s="2">
        <v>1877</v>
      </c>
      <c r="D29" s="2">
        <v>2178</v>
      </c>
      <c r="E29" s="2">
        <v>39</v>
      </c>
      <c r="F29" s="2" t="s">
        <v>6</v>
      </c>
    </row>
    <row r="30" spans="1:6" x14ac:dyDescent="0.35">
      <c r="A30" s="2" t="s">
        <v>258</v>
      </c>
      <c r="B30" s="2" t="s">
        <v>259</v>
      </c>
      <c r="C30" s="2">
        <v>1878</v>
      </c>
      <c r="D30" s="2">
        <v>2343</v>
      </c>
      <c r="E30" s="2">
        <v>47</v>
      </c>
      <c r="F30" s="2" t="s">
        <v>6</v>
      </c>
    </row>
    <row r="31" spans="1:6" x14ac:dyDescent="0.35">
      <c r="A31" s="2" t="s">
        <v>258</v>
      </c>
      <c r="B31" s="2" t="s">
        <v>259</v>
      </c>
      <c r="C31" s="2">
        <v>1879</v>
      </c>
      <c r="D31" s="2">
        <v>2260</v>
      </c>
      <c r="E31" s="2">
        <v>31</v>
      </c>
      <c r="F31" s="2" t="s">
        <v>6</v>
      </c>
    </row>
    <row r="32" spans="1:6" x14ac:dyDescent="0.35">
      <c r="A32" s="2" t="s">
        <v>258</v>
      </c>
      <c r="B32" s="2" t="s">
        <v>259</v>
      </c>
      <c r="C32" s="2">
        <v>1880</v>
      </c>
      <c r="D32" s="2">
        <v>2273</v>
      </c>
      <c r="E32" s="2">
        <v>34</v>
      </c>
      <c r="F32" s="2" t="s">
        <v>6</v>
      </c>
    </row>
    <row r="33" spans="1:6" x14ac:dyDescent="0.35">
      <c r="A33" s="2" t="s">
        <v>258</v>
      </c>
      <c r="B33" s="2" t="s">
        <v>259</v>
      </c>
      <c r="C33" s="2">
        <v>1881</v>
      </c>
      <c r="D33" s="2">
        <v>2323</v>
      </c>
      <c r="E33" s="2">
        <v>57</v>
      </c>
      <c r="F33" s="2" t="s">
        <v>6</v>
      </c>
    </row>
    <row r="34" spans="1:6" x14ac:dyDescent="0.35">
      <c r="A34" s="2" t="s">
        <v>258</v>
      </c>
      <c r="B34" s="2" t="s">
        <v>259</v>
      </c>
      <c r="C34" s="2">
        <v>1882</v>
      </c>
      <c r="D34" s="2">
        <v>2315</v>
      </c>
      <c r="E34" s="2">
        <v>36</v>
      </c>
      <c r="F34" s="2" t="s">
        <v>6</v>
      </c>
    </row>
    <row r="35" spans="1:6" x14ac:dyDescent="0.35">
      <c r="A35" s="2" t="s">
        <v>258</v>
      </c>
      <c r="B35" s="2" t="s">
        <v>259</v>
      </c>
      <c r="C35" s="2">
        <v>1883</v>
      </c>
      <c r="D35" s="2">
        <v>2119</v>
      </c>
      <c r="E35" s="2">
        <v>31</v>
      </c>
      <c r="F35" s="2" t="s">
        <v>6</v>
      </c>
    </row>
    <row r="36" spans="1:6" x14ac:dyDescent="0.35">
      <c r="A36" s="2" t="s">
        <v>258</v>
      </c>
      <c r="B36" s="2" t="s">
        <v>259</v>
      </c>
      <c r="C36" s="2">
        <v>1884</v>
      </c>
      <c r="D36" s="2">
        <v>2318</v>
      </c>
      <c r="E36" s="2">
        <v>32</v>
      </c>
      <c r="F36" s="2" t="s">
        <v>6</v>
      </c>
    </row>
    <row r="37" spans="1:6" x14ac:dyDescent="0.35">
      <c r="A37" s="2" t="s">
        <v>258</v>
      </c>
      <c r="B37" s="2" t="s">
        <v>259</v>
      </c>
      <c r="C37" s="2">
        <v>1885</v>
      </c>
      <c r="D37" s="2">
        <v>2253</v>
      </c>
      <c r="E37" s="2">
        <v>40</v>
      </c>
      <c r="F37" s="2" t="s">
        <v>6</v>
      </c>
    </row>
    <row r="38" spans="1:6" x14ac:dyDescent="0.35">
      <c r="A38" s="2" t="s">
        <v>258</v>
      </c>
      <c r="B38" s="2" t="s">
        <v>259</v>
      </c>
      <c r="C38" s="2">
        <v>1886</v>
      </c>
      <c r="D38" s="2">
        <v>2152</v>
      </c>
      <c r="E38" s="2">
        <v>31</v>
      </c>
      <c r="F38" s="2" t="s">
        <v>6</v>
      </c>
    </row>
    <row r="39" spans="1:6" x14ac:dyDescent="0.35">
      <c r="A39" s="2" t="s">
        <v>258</v>
      </c>
      <c r="B39" s="2" t="s">
        <v>259</v>
      </c>
      <c r="C39" s="2">
        <v>1887</v>
      </c>
      <c r="D39" s="2">
        <v>2010</v>
      </c>
      <c r="E39" s="2">
        <v>35</v>
      </c>
      <c r="F39" s="2" t="s">
        <v>6</v>
      </c>
    </row>
    <row r="40" spans="1:6" x14ac:dyDescent="0.35">
      <c r="A40" s="2" t="s">
        <v>258</v>
      </c>
      <c r="B40" s="2" t="s">
        <v>259</v>
      </c>
      <c r="C40" s="2">
        <v>1888</v>
      </c>
      <c r="D40" s="2">
        <v>1925</v>
      </c>
      <c r="E40" s="2">
        <v>33</v>
      </c>
      <c r="F40" s="2" t="s">
        <v>6</v>
      </c>
    </row>
    <row r="41" spans="1:6" x14ac:dyDescent="0.35">
      <c r="A41" s="2" t="s">
        <v>258</v>
      </c>
      <c r="B41" s="2" t="s">
        <v>259</v>
      </c>
      <c r="C41" s="2">
        <v>1889</v>
      </c>
      <c r="D41" s="2">
        <v>2169</v>
      </c>
      <c r="E41" s="2">
        <v>48</v>
      </c>
      <c r="F41" s="2" t="s">
        <v>6</v>
      </c>
    </row>
    <row r="42" spans="1:6" x14ac:dyDescent="0.35">
      <c r="A42" s="2" t="s">
        <v>258</v>
      </c>
      <c r="B42" s="2" t="s">
        <v>259</v>
      </c>
      <c r="C42" s="2">
        <v>1890</v>
      </c>
      <c r="D42" s="2">
        <v>2167</v>
      </c>
      <c r="E42" s="2">
        <v>49</v>
      </c>
      <c r="F42" s="2" t="s">
        <v>6</v>
      </c>
    </row>
    <row r="43" spans="1:6" x14ac:dyDescent="0.35">
      <c r="A43" s="2" t="s">
        <v>258</v>
      </c>
      <c r="B43" s="2" t="s">
        <v>259</v>
      </c>
      <c r="C43" s="2">
        <v>1891</v>
      </c>
      <c r="D43" s="2">
        <v>2343</v>
      </c>
      <c r="E43" s="2">
        <v>47</v>
      </c>
      <c r="F43" s="2" t="s">
        <v>6</v>
      </c>
    </row>
    <row r="44" spans="1:6" x14ac:dyDescent="0.35">
      <c r="A44" s="2" t="s">
        <v>258</v>
      </c>
      <c r="B44" s="2" t="s">
        <v>259</v>
      </c>
      <c r="C44" s="2">
        <v>1892</v>
      </c>
      <c r="D44" s="2">
        <v>2272</v>
      </c>
      <c r="E44" s="2">
        <v>39</v>
      </c>
      <c r="F44" s="2" t="s">
        <v>6</v>
      </c>
    </row>
    <row r="45" spans="1:6" x14ac:dyDescent="0.35">
      <c r="A45" s="2" t="s">
        <v>258</v>
      </c>
      <c r="B45" s="2" t="s">
        <v>259</v>
      </c>
      <c r="C45" s="2">
        <v>1893</v>
      </c>
      <c r="D45" s="2">
        <v>2316</v>
      </c>
      <c r="E45" s="2">
        <v>44</v>
      </c>
      <c r="F45" s="2" t="s">
        <v>6</v>
      </c>
    </row>
    <row r="46" spans="1:6" x14ac:dyDescent="0.35">
      <c r="A46" s="2" t="s">
        <v>258</v>
      </c>
      <c r="B46" s="2" t="s">
        <v>259</v>
      </c>
      <c r="C46" s="2">
        <v>1894</v>
      </c>
      <c r="D46" s="2">
        <v>2175</v>
      </c>
      <c r="E46" s="2">
        <v>38</v>
      </c>
      <c r="F46" s="2" t="s">
        <v>6</v>
      </c>
    </row>
    <row r="47" spans="1:6" x14ac:dyDescent="0.35">
      <c r="A47" s="2" t="s">
        <v>258</v>
      </c>
      <c r="B47" s="2" t="s">
        <v>259</v>
      </c>
      <c r="C47" s="2">
        <v>1895</v>
      </c>
      <c r="D47" s="2">
        <v>2479</v>
      </c>
      <c r="E47" s="2">
        <v>39</v>
      </c>
      <c r="F47" s="2" t="s">
        <v>6</v>
      </c>
    </row>
    <row r="48" spans="1:6" x14ac:dyDescent="0.35">
      <c r="A48" s="2" t="s">
        <v>258</v>
      </c>
      <c r="B48" s="2" t="s">
        <v>259</v>
      </c>
      <c r="C48" s="2">
        <v>1896</v>
      </c>
      <c r="D48" s="2">
        <v>2329</v>
      </c>
      <c r="E48" s="2">
        <v>47</v>
      </c>
      <c r="F48" s="2" t="s">
        <v>6</v>
      </c>
    </row>
    <row r="49" spans="1:6" x14ac:dyDescent="0.35">
      <c r="A49" s="2" t="s">
        <v>258</v>
      </c>
      <c r="B49" s="2" t="s">
        <v>259</v>
      </c>
      <c r="C49" s="2">
        <v>1897</v>
      </c>
      <c r="D49" s="2">
        <v>2376</v>
      </c>
      <c r="E49" s="2">
        <v>39</v>
      </c>
      <c r="F49" s="2" t="s">
        <v>6</v>
      </c>
    </row>
    <row r="50" spans="1:6" x14ac:dyDescent="0.35">
      <c r="A50" s="2" t="s">
        <v>258</v>
      </c>
      <c r="B50" s="2" t="s">
        <v>259</v>
      </c>
      <c r="C50" s="2">
        <v>1898</v>
      </c>
      <c r="D50" s="2">
        <v>2265</v>
      </c>
      <c r="E50" s="2">
        <v>45</v>
      </c>
      <c r="F50" s="2" t="s">
        <v>6</v>
      </c>
    </row>
    <row r="51" spans="1:6" x14ac:dyDescent="0.35">
      <c r="A51" s="2" t="s">
        <v>258</v>
      </c>
      <c r="B51" s="2" t="s">
        <v>259</v>
      </c>
      <c r="C51" s="2">
        <v>1899</v>
      </c>
      <c r="D51" s="2">
        <v>2246</v>
      </c>
      <c r="E51" s="2">
        <v>37</v>
      </c>
      <c r="F51" s="2" t="s">
        <v>6</v>
      </c>
    </row>
    <row r="52" spans="1:6" x14ac:dyDescent="0.35">
      <c r="A52" s="2" t="s">
        <v>258</v>
      </c>
      <c r="B52" s="2" t="s">
        <v>259</v>
      </c>
      <c r="C52" s="2">
        <v>1900</v>
      </c>
      <c r="D52" s="2">
        <v>2235</v>
      </c>
      <c r="E52" s="2">
        <v>35</v>
      </c>
      <c r="F52" s="2" t="s">
        <v>6</v>
      </c>
    </row>
    <row r="53" spans="1:6" x14ac:dyDescent="0.35">
      <c r="A53" s="2" t="s">
        <v>258</v>
      </c>
      <c r="B53" s="2" t="s">
        <v>259</v>
      </c>
      <c r="C53" s="2">
        <v>1901</v>
      </c>
      <c r="D53" s="2">
        <v>2193</v>
      </c>
      <c r="E53" s="2">
        <v>30</v>
      </c>
      <c r="F53" s="2" t="s">
        <v>6</v>
      </c>
    </row>
    <row r="54" spans="1:6" x14ac:dyDescent="0.35">
      <c r="A54" s="2" t="s">
        <v>258</v>
      </c>
      <c r="B54" s="2" t="s">
        <v>259</v>
      </c>
      <c r="C54" s="2">
        <v>1902</v>
      </c>
      <c r="D54" s="2">
        <v>2206</v>
      </c>
      <c r="E54" s="2">
        <v>42</v>
      </c>
      <c r="F54" s="2" t="s">
        <v>6</v>
      </c>
    </row>
    <row r="55" spans="1:6" x14ac:dyDescent="0.35">
      <c r="A55" s="2" t="s">
        <v>258</v>
      </c>
      <c r="B55" s="2" t="s">
        <v>259</v>
      </c>
      <c r="C55" s="2">
        <v>1903</v>
      </c>
      <c r="D55" s="2">
        <v>2259</v>
      </c>
      <c r="E55" s="2">
        <v>36</v>
      </c>
      <c r="F55" s="2" t="s">
        <v>6</v>
      </c>
    </row>
    <row r="56" spans="1:6" x14ac:dyDescent="0.35">
      <c r="A56" s="2" t="s">
        <v>258</v>
      </c>
      <c r="B56" s="2" t="s">
        <v>259</v>
      </c>
      <c r="C56" s="2">
        <v>1904</v>
      </c>
      <c r="D56" s="2">
        <v>2273</v>
      </c>
      <c r="E56" s="2">
        <v>42</v>
      </c>
      <c r="F56" s="2" t="s">
        <v>6</v>
      </c>
    </row>
    <row r="57" spans="1:6" x14ac:dyDescent="0.35">
      <c r="A57" s="2" t="s">
        <v>258</v>
      </c>
      <c r="B57" s="2" t="s">
        <v>259</v>
      </c>
      <c r="C57" s="2">
        <v>1905</v>
      </c>
      <c r="D57" s="2">
        <v>2278</v>
      </c>
      <c r="E57" s="2">
        <v>26</v>
      </c>
      <c r="F57" s="2" t="s">
        <v>6</v>
      </c>
    </row>
    <row r="58" spans="1:6" x14ac:dyDescent="0.35">
      <c r="A58" s="2" t="s">
        <v>258</v>
      </c>
      <c r="B58" s="2" t="s">
        <v>259</v>
      </c>
      <c r="C58" s="2">
        <v>1906</v>
      </c>
      <c r="D58" s="2">
        <v>2342</v>
      </c>
      <c r="E58" s="2">
        <v>38</v>
      </c>
      <c r="F58" s="2" t="s">
        <v>6</v>
      </c>
    </row>
    <row r="59" spans="1:6" x14ac:dyDescent="0.35">
      <c r="A59" s="2" t="s">
        <v>258</v>
      </c>
      <c r="B59" s="2" t="s">
        <v>259</v>
      </c>
      <c r="C59" s="2">
        <v>1907</v>
      </c>
      <c r="D59" s="2">
        <v>2264</v>
      </c>
      <c r="E59" s="2">
        <v>53</v>
      </c>
      <c r="F59" s="2" t="s">
        <v>6</v>
      </c>
    </row>
    <row r="60" spans="1:6" x14ac:dyDescent="0.35">
      <c r="A60" s="2" t="s">
        <v>258</v>
      </c>
      <c r="B60" s="2" t="s">
        <v>259</v>
      </c>
      <c r="C60" s="2">
        <v>1908</v>
      </c>
      <c r="D60" s="2">
        <v>2293</v>
      </c>
      <c r="E60" s="2">
        <v>27</v>
      </c>
      <c r="F60" s="2" t="s">
        <v>6</v>
      </c>
    </row>
    <row r="61" spans="1:6" x14ac:dyDescent="0.35">
      <c r="A61" s="2" t="s">
        <v>258</v>
      </c>
      <c r="B61" s="2" t="s">
        <v>259</v>
      </c>
      <c r="C61" s="2">
        <v>1909</v>
      </c>
      <c r="D61" s="2">
        <v>2259</v>
      </c>
      <c r="E61" s="2">
        <v>45</v>
      </c>
      <c r="F61" s="2" t="s">
        <v>6</v>
      </c>
    </row>
    <row r="62" spans="1:6" x14ac:dyDescent="0.35">
      <c r="A62" s="2" t="s">
        <v>258</v>
      </c>
      <c r="B62" s="2" t="s">
        <v>259</v>
      </c>
      <c r="C62" s="2">
        <v>1910</v>
      </c>
      <c r="D62" s="2">
        <v>2164</v>
      </c>
      <c r="E62" s="2">
        <v>35</v>
      </c>
      <c r="F62" s="2" t="s">
        <v>6</v>
      </c>
    </row>
    <row r="63" spans="1:6" x14ac:dyDescent="0.35">
      <c r="A63" s="2" t="s">
        <v>258</v>
      </c>
      <c r="B63" s="2" t="s">
        <v>259</v>
      </c>
      <c r="C63" s="2">
        <v>1911</v>
      </c>
      <c r="D63" s="2">
        <v>2194</v>
      </c>
      <c r="E63" s="2">
        <v>35</v>
      </c>
      <c r="F63" s="2" t="s">
        <v>6</v>
      </c>
    </row>
    <row r="64" spans="1:6" x14ac:dyDescent="0.35">
      <c r="A64" s="2" t="s">
        <v>258</v>
      </c>
      <c r="B64" s="2" t="s">
        <v>259</v>
      </c>
      <c r="C64" s="2">
        <v>1912</v>
      </c>
      <c r="D64" s="2">
        <v>2241</v>
      </c>
      <c r="E64" s="2">
        <v>33</v>
      </c>
      <c r="F64" s="2" t="s">
        <v>6</v>
      </c>
    </row>
    <row r="65" spans="1:6" x14ac:dyDescent="0.35">
      <c r="A65" s="2" t="s">
        <v>258</v>
      </c>
      <c r="B65" s="2" t="s">
        <v>259</v>
      </c>
      <c r="C65" s="2">
        <v>1913</v>
      </c>
      <c r="D65" s="2">
        <v>2229</v>
      </c>
      <c r="E65" s="2">
        <v>34</v>
      </c>
      <c r="F65" s="2" t="s">
        <v>6</v>
      </c>
    </row>
    <row r="66" spans="1:6" x14ac:dyDescent="0.35">
      <c r="A66" s="2" t="s">
        <v>258</v>
      </c>
      <c r="B66" s="2" t="s">
        <v>259</v>
      </c>
      <c r="C66" s="2">
        <v>1914</v>
      </c>
      <c r="D66" s="2">
        <v>2345</v>
      </c>
      <c r="E66" s="2">
        <v>25</v>
      </c>
      <c r="F66" s="2" t="s">
        <v>6</v>
      </c>
    </row>
    <row r="67" spans="1:6" x14ac:dyDescent="0.35">
      <c r="A67" s="2" t="s">
        <v>258</v>
      </c>
      <c r="B67" s="2" t="s">
        <v>259</v>
      </c>
      <c r="C67" s="2">
        <v>1915</v>
      </c>
      <c r="D67" s="2">
        <v>2443</v>
      </c>
      <c r="E67" s="2">
        <v>41</v>
      </c>
      <c r="F67" s="2" t="s">
        <v>6</v>
      </c>
    </row>
    <row r="68" spans="1:6" x14ac:dyDescent="0.35">
      <c r="A68" s="2" t="s">
        <v>258</v>
      </c>
      <c r="B68" s="2" t="s">
        <v>259</v>
      </c>
      <c r="C68" s="2">
        <v>1916</v>
      </c>
      <c r="D68" s="2">
        <v>2405</v>
      </c>
      <c r="E68" s="2">
        <v>32</v>
      </c>
      <c r="F68" s="2" t="s">
        <v>6</v>
      </c>
    </row>
    <row r="69" spans="1:6" x14ac:dyDescent="0.35">
      <c r="A69" s="2" t="s">
        <v>258</v>
      </c>
      <c r="B69" s="2" t="s">
        <v>259</v>
      </c>
      <c r="C69" s="2">
        <v>1917</v>
      </c>
      <c r="D69" s="2">
        <v>2399</v>
      </c>
      <c r="E69" s="2">
        <v>39</v>
      </c>
      <c r="F69" s="2" t="s">
        <v>6</v>
      </c>
    </row>
    <row r="70" spans="1:6" x14ac:dyDescent="0.35">
      <c r="A70" s="2" t="s">
        <v>258</v>
      </c>
      <c r="B70" s="2" t="s">
        <v>259</v>
      </c>
      <c r="C70" s="2">
        <v>1918</v>
      </c>
      <c r="D70" s="2">
        <v>2425</v>
      </c>
      <c r="E70" s="2">
        <v>47</v>
      </c>
      <c r="F70" s="2" t="s">
        <v>6</v>
      </c>
    </row>
    <row r="71" spans="1:6" x14ac:dyDescent="0.35">
      <c r="A71" s="2" t="s">
        <v>258</v>
      </c>
      <c r="B71" s="2" t="s">
        <v>259</v>
      </c>
      <c r="C71" s="2">
        <v>1919</v>
      </c>
      <c r="D71" s="2">
        <v>2330</v>
      </c>
      <c r="E71" s="2">
        <v>35</v>
      </c>
      <c r="F71" s="2" t="s">
        <v>6</v>
      </c>
    </row>
    <row r="72" spans="1:6" x14ac:dyDescent="0.35">
      <c r="A72" s="2" t="s">
        <v>258</v>
      </c>
      <c r="B72" s="2" t="s">
        <v>259</v>
      </c>
      <c r="C72" s="2">
        <v>1920</v>
      </c>
      <c r="D72" s="2">
        <v>2615</v>
      </c>
      <c r="E72" s="2">
        <v>42</v>
      </c>
      <c r="F72" s="2" t="s">
        <v>6</v>
      </c>
    </row>
    <row r="73" spans="1:6" x14ac:dyDescent="0.35">
      <c r="A73" s="2" t="s">
        <v>258</v>
      </c>
      <c r="B73" s="2" t="s">
        <v>259</v>
      </c>
      <c r="C73" s="2">
        <v>1921</v>
      </c>
      <c r="D73" s="2">
        <v>2595</v>
      </c>
      <c r="E73" s="2">
        <v>42</v>
      </c>
      <c r="F73" s="2" t="s">
        <v>6</v>
      </c>
    </row>
    <row r="74" spans="1:6" x14ac:dyDescent="0.35">
      <c r="A74" s="2" t="s">
        <v>258</v>
      </c>
      <c r="B74" s="2" t="s">
        <v>259</v>
      </c>
      <c r="C74" s="2">
        <v>1922</v>
      </c>
      <c r="D74" s="2">
        <v>2538</v>
      </c>
      <c r="E74" s="2">
        <v>30</v>
      </c>
      <c r="F74" s="2" t="s">
        <v>6</v>
      </c>
    </row>
    <row r="75" spans="1:6" x14ac:dyDescent="0.35">
      <c r="A75" s="2" t="s">
        <v>258</v>
      </c>
      <c r="B75" s="2" t="s">
        <v>259</v>
      </c>
      <c r="C75" s="2">
        <v>1923</v>
      </c>
      <c r="D75" s="2">
        <v>2590</v>
      </c>
      <c r="E75" s="2">
        <v>35</v>
      </c>
      <c r="F75" s="2" t="s">
        <v>6</v>
      </c>
    </row>
    <row r="76" spans="1:6" x14ac:dyDescent="0.35">
      <c r="A76" s="2" t="s">
        <v>258</v>
      </c>
      <c r="B76" s="2" t="s">
        <v>259</v>
      </c>
      <c r="C76" s="2">
        <v>1924</v>
      </c>
      <c r="D76" s="2">
        <v>2508</v>
      </c>
      <c r="E76" s="2">
        <v>42</v>
      </c>
      <c r="F76" s="2" t="s">
        <v>6</v>
      </c>
    </row>
    <row r="77" spans="1:6" x14ac:dyDescent="0.35">
      <c r="A77" s="2" t="s">
        <v>258</v>
      </c>
      <c r="B77" s="2" t="s">
        <v>259</v>
      </c>
      <c r="C77" s="2">
        <v>1925</v>
      </c>
      <c r="D77" s="2">
        <v>2557</v>
      </c>
      <c r="E77" s="2">
        <v>32</v>
      </c>
      <c r="F77" s="2" t="s">
        <v>6</v>
      </c>
    </row>
    <row r="78" spans="1:6" x14ac:dyDescent="0.35">
      <c r="A78" s="2" t="s">
        <v>258</v>
      </c>
      <c r="B78" s="2" t="s">
        <v>259</v>
      </c>
      <c r="C78" s="2">
        <v>1926</v>
      </c>
      <c r="D78" s="2">
        <v>2650</v>
      </c>
      <c r="E78" s="2">
        <v>48</v>
      </c>
      <c r="F78" s="2" t="s">
        <v>6</v>
      </c>
    </row>
    <row r="79" spans="1:6" x14ac:dyDescent="0.35">
      <c r="A79" s="2" t="s">
        <v>258</v>
      </c>
      <c r="B79" s="2" t="s">
        <v>259</v>
      </c>
      <c r="C79" s="2">
        <v>1927</v>
      </c>
      <c r="D79" s="2">
        <v>2631</v>
      </c>
      <c r="E79" s="2">
        <v>42</v>
      </c>
      <c r="F79" s="2" t="s">
        <v>6</v>
      </c>
    </row>
    <row r="80" spans="1:6" x14ac:dyDescent="0.35">
      <c r="A80" s="2" t="s">
        <v>258</v>
      </c>
      <c r="B80" s="2" t="s">
        <v>259</v>
      </c>
      <c r="C80" s="2">
        <v>1928</v>
      </c>
      <c r="D80" s="2">
        <v>2520</v>
      </c>
      <c r="E80" s="2">
        <v>40</v>
      </c>
      <c r="F80" s="2" t="s">
        <v>6</v>
      </c>
    </row>
    <row r="81" spans="1:6" x14ac:dyDescent="0.35">
      <c r="A81" s="2" t="s">
        <v>258</v>
      </c>
      <c r="B81" s="2" t="s">
        <v>259</v>
      </c>
      <c r="C81" s="2">
        <v>1929</v>
      </c>
      <c r="D81" s="2">
        <v>2638</v>
      </c>
      <c r="E81" s="2">
        <v>44</v>
      </c>
      <c r="F81" s="2" t="s">
        <v>6</v>
      </c>
    </row>
    <row r="82" spans="1:6" x14ac:dyDescent="0.35">
      <c r="A82" s="2" t="s">
        <v>258</v>
      </c>
      <c r="B82" s="2" t="s">
        <v>259</v>
      </c>
      <c r="C82" s="2">
        <v>1930</v>
      </c>
      <c r="D82" s="2">
        <v>2789</v>
      </c>
      <c r="E82" s="2">
        <v>41</v>
      </c>
      <c r="F82" s="2" t="s">
        <v>6</v>
      </c>
    </row>
    <row r="83" spans="1:6" x14ac:dyDescent="0.35">
      <c r="A83" s="2" t="s">
        <v>258</v>
      </c>
      <c r="B83" s="2" t="s">
        <v>259</v>
      </c>
      <c r="C83" s="2">
        <v>1931</v>
      </c>
      <c r="D83" s="2">
        <v>2800</v>
      </c>
      <c r="E83" s="2">
        <v>34</v>
      </c>
      <c r="F83" s="2" t="s">
        <v>6</v>
      </c>
    </row>
    <row r="84" spans="1:6" x14ac:dyDescent="0.35">
      <c r="A84" s="2" t="s">
        <v>258</v>
      </c>
      <c r="B84" s="2" t="s">
        <v>259</v>
      </c>
      <c r="C84" s="2">
        <v>1932</v>
      </c>
      <c r="D84" s="2">
        <v>2695</v>
      </c>
      <c r="E84" s="2">
        <v>27</v>
      </c>
      <c r="F84" s="2" t="s">
        <v>6</v>
      </c>
    </row>
    <row r="85" spans="1:6" x14ac:dyDescent="0.35">
      <c r="A85" s="2" t="s">
        <v>258</v>
      </c>
      <c r="B85" s="2" t="s">
        <v>259</v>
      </c>
      <c r="C85" s="2">
        <v>1933</v>
      </c>
      <c r="D85" s="2">
        <v>2515</v>
      </c>
      <c r="E85" s="2">
        <v>34</v>
      </c>
      <c r="F85" s="2" t="s">
        <v>6</v>
      </c>
    </row>
    <row r="86" spans="1:6" x14ac:dyDescent="0.35">
      <c r="A86" s="2" t="s">
        <v>258</v>
      </c>
      <c r="B86" s="2" t="s">
        <v>259</v>
      </c>
      <c r="C86" s="2">
        <v>1934</v>
      </c>
      <c r="D86" s="2">
        <v>2569</v>
      </c>
      <c r="E86" s="2">
        <v>42</v>
      </c>
      <c r="F86" s="2" t="s">
        <v>6</v>
      </c>
    </row>
    <row r="87" spans="1:6" x14ac:dyDescent="0.35">
      <c r="A87" s="2" t="s">
        <v>258</v>
      </c>
      <c r="B87" s="2" t="s">
        <v>259</v>
      </c>
      <c r="C87" s="2">
        <v>1935</v>
      </c>
      <c r="D87" s="2">
        <v>2558</v>
      </c>
      <c r="E87" s="2">
        <v>25</v>
      </c>
      <c r="F87" s="2" t="s">
        <v>6</v>
      </c>
    </row>
    <row r="88" spans="1:6" x14ac:dyDescent="0.35">
      <c r="A88" s="2" t="s">
        <v>258</v>
      </c>
      <c r="B88" s="2" t="s">
        <v>259</v>
      </c>
      <c r="C88" s="2">
        <v>1936</v>
      </c>
      <c r="D88" s="2">
        <v>2557</v>
      </c>
      <c r="E88" s="2">
        <v>24</v>
      </c>
      <c r="F88" s="2" t="s">
        <v>6</v>
      </c>
    </row>
    <row r="89" spans="1:6" x14ac:dyDescent="0.35">
      <c r="A89" s="2" t="s">
        <v>258</v>
      </c>
      <c r="B89" s="2" t="s">
        <v>259</v>
      </c>
      <c r="C89" s="2">
        <v>1937</v>
      </c>
      <c r="D89" s="2">
        <v>2387</v>
      </c>
      <c r="E89" s="2">
        <v>34</v>
      </c>
      <c r="F89" s="2" t="s">
        <v>6</v>
      </c>
    </row>
    <row r="90" spans="1:6" x14ac:dyDescent="0.35">
      <c r="A90" s="2" t="s">
        <v>258</v>
      </c>
      <c r="B90" s="2" t="s">
        <v>259</v>
      </c>
      <c r="C90" s="2">
        <v>1938</v>
      </c>
      <c r="D90" s="2">
        <v>2365</v>
      </c>
      <c r="E90" s="2">
        <v>34</v>
      </c>
      <c r="F90" s="2" t="s">
        <v>6</v>
      </c>
    </row>
    <row r="91" spans="1:6" x14ac:dyDescent="0.35">
      <c r="A91" s="2" t="s">
        <v>258</v>
      </c>
      <c r="B91" s="2" t="s">
        <v>259</v>
      </c>
      <c r="C91" s="2">
        <v>1939</v>
      </c>
      <c r="D91" s="2">
        <v>2328</v>
      </c>
      <c r="E91" s="2">
        <v>36</v>
      </c>
      <c r="F91" s="2" t="s">
        <v>6</v>
      </c>
    </row>
    <row r="92" spans="1:6" x14ac:dyDescent="0.35">
      <c r="A92" s="2" t="s">
        <v>258</v>
      </c>
      <c r="B92" s="2" t="s">
        <v>259</v>
      </c>
      <c r="C92" s="2">
        <v>1940</v>
      </c>
      <c r="D92" s="2">
        <v>2481</v>
      </c>
      <c r="E92" s="2">
        <v>25</v>
      </c>
      <c r="F92" s="2" t="s">
        <v>6</v>
      </c>
    </row>
    <row r="93" spans="1:6" x14ac:dyDescent="0.35">
      <c r="A93" s="2" t="s">
        <v>258</v>
      </c>
      <c r="B93" s="2" t="s">
        <v>259</v>
      </c>
      <c r="C93" s="2">
        <v>1941</v>
      </c>
      <c r="D93" s="2">
        <v>2621</v>
      </c>
      <c r="E93" s="2">
        <v>33</v>
      </c>
      <c r="F93" s="2" t="s">
        <v>6</v>
      </c>
    </row>
    <row r="94" spans="1:6" x14ac:dyDescent="0.35">
      <c r="A94" s="2" t="s">
        <v>258</v>
      </c>
      <c r="B94" s="2" t="s">
        <v>259</v>
      </c>
      <c r="C94" s="2">
        <v>1942</v>
      </c>
      <c r="D94" s="2">
        <v>3003</v>
      </c>
      <c r="E94" s="2">
        <v>39</v>
      </c>
      <c r="F94" s="2" t="s">
        <v>6</v>
      </c>
    </row>
    <row r="95" spans="1:6" x14ac:dyDescent="0.35">
      <c r="A95" s="2" t="s">
        <v>258</v>
      </c>
      <c r="B95" s="2" t="s">
        <v>259</v>
      </c>
      <c r="C95" s="2">
        <v>1943</v>
      </c>
      <c r="D95" s="2">
        <v>3126</v>
      </c>
      <c r="E95" s="2">
        <v>56</v>
      </c>
      <c r="F95" s="2" t="s">
        <v>6</v>
      </c>
    </row>
    <row r="96" spans="1:6" x14ac:dyDescent="0.35">
      <c r="A96" s="2" t="s">
        <v>258</v>
      </c>
      <c r="B96" s="2" t="s">
        <v>259</v>
      </c>
      <c r="C96" s="2">
        <v>1944</v>
      </c>
      <c r="D96" s="2">
        <v>3225</v>
      </c>
      <c r="E96" s="2">
        <v>41</v>
      </c>
      <c r="F96" s="2" t="s">
        <v>6</v>
      </c>
    </row>
    <row r="97" spans="1:6" x14ac:dyDescent="0.35">
      <c r="A97" s="2" t="s">
        <v>258</v>
      </c>
      <c r="B97" s="2" t="s">
        <v>259</v>
      </c>
      <c r="C97" s="2">
        <v>1945</v>
      </c>
      <c r="D97" s="2">
        <v>3425</v>
      </c>
      <c r="E97" s="2">
        <v>37</v>
      </c>
      <c r="F97" s="2" t="s">
        <v>6</v>
      </c>
    </row>
    <row r="98" spans="1:6" x14ac:dyDescent="0.35">
      <c r="A98" s="2" t="s">
        <v>258</v>
      </c>
      <c r="B98" s="2" t="s">
        <v>259</v>
      </c>
      <c r="C98" s="2">
        <v>1946</v>
      </c>
      <c r="D98" s="2">
        <v>3426</v>
      </c>
      <c r="E98" s="2">
        <v>39</v>
      </c>
      <c r="F98" s="2" t="s">
        <v>6</v>
      </c>
    </row>
    <row r="99" spans="1:6" x14ac:dyDescent="0.35">
      <c r="A99" s="2" t="s">
        <v>258</v>
      </c>
      <c r="B99" s="2" t="s">
        <v>259</v>
      </c>
      <c r="C99" s="2">
        <v>1947</v>
      </c>
      <c r="D99" s="2">
        <v>3657</v>
      </c>
      <c r="E99" s="2">
        <v>51</v>
      </c>
      <c r="F99" s="2" t="s">
        <v>6</v>
      </c>
    </row>
    <row r="100" spans="1:6" x14ac:dyDescent="0.35">
      <c r="A100" s="2" t="s">
        <v>258</v>
      </c>
      <c r="B100" s="2" t="s">
        <v>259</v>
      </c>
      <c r="C100" s="2">
        <v>1948</v>
      </c>
      <c r="D100" s="2">
        <v>3805</v>
      </c>
      <c r="E100" s="2">
        <v>47</v>
      </c>
      <c r="F100" s="2" t="s">
        <v>6</v>
      </c>
    </row>
    <row r="101" spans="1:6" x14ac:dyDescent="0.35">
      <c r="A101" s="2" t="s">
        <v>258</v>
      </c>
      <c r="B101" s="2" t="s">
        <v>259</v>
      </c>
      <c r="C101" s="2">
        <v>1949</v>
      </c>
      <c r="D101" s="2">
        <v>3876</v>
      </c>
      <c r="E101" s="2">
        <v>36</v>
      </c>
      <c r="F101" s="2" t="s">
        <v>6</v>
      </c>
    </row>
    <row r="102" spans="1:6" x14ac:dyDescent="0.35">
      <c r="A102" s="2" t="s">
        <v>258</v>
      </c>
      <c r="B102" s="2" t="s">
        <v>259</v>
      </c>
      <c r="C102" s="2">
        <v>1950</v>
      </c>
      <c r="D102" s="2">
        <v>4075</v>
      </c>
      <c r="E102" s="2">
        <v>42</v>
      </c>
      <c r="F102" s="2" t="s">
        <v>6</v>
      </c>
    </row>
    <row r="103" spans="1:6" x14ac:dyDescent="0.35">
      <c r="A103" s="2" t="s">
        <v>258</v>
      </c>
      <c r="B103" s="2" t="s">
        <v>259</v>
      </c>
      <c r="C103" s="2" t="s">
        <v>56</v>
      </c>
      <c r="D103" s="2">
        <v>3977</v>
      </c>
      <c r="E103" s="2">
        <v>42</v>
      </c>
      <c r="F103" s="2">
        <v>84</v>
      </c>
    </row>
    <row r="104" spans="1:6" x14ac:dyDescent="0.35">
      <c r="A104" s="2" t="s">
        <v>258</v>
      </c>
      <c r="B104" s="2" t="s">
        <v>259</v>
      </c>
      <c r="C104" s="2" t="s">
        <v>57</v>
      </c>
      <c r="D104" s="2">
        <v>4063</v>
      </c>
      <c r="E104" s="2">
        <v>45</v>
      </c>
      <c r="F104" s="2">
        <v>90</v>
      </c>
    </row>
    <row r="105" spans="1:6" x14ac:dyDescent="0.35">
      <c r="A105" s="2" t="s">
        <v>258</v>
      </c>
      <c r="B105" s="2" t="s">
        <v>259</v>
      </c>
      <c r="C105" s="2" t="s">
        <v>58</v>
      </c>
      <c r="D105" s="2">
        <v>4223</v>
      </c>
      <c r="E105" s="2">
        <v>45</v>
      </c>
      <c r="F105" s="2">
        <v>90</v>
      </c>
    </row>
    <row r="106" spans="1:6" x14ac:dyDescent="0.35">
      <c r="A106" s="2" t="s">
        <v>258</v>
      </c>
      <c r="B106" s="2" t="s">
        <v>259</v>
      </c>
      <c r="C106" s="2" t="s">
        <v>59</v>
      </c>
      <c r="D106" s="2">
        <v>4267</v>
      </c>
      <c r="E106" s="2">
        <v>40</v>
      </c>
      <c r="F106" s="2">
        <v>80</v>
      </c>
    </row>
    <row r="107" spans="1:6" x14ac:dyDescent="0.35">
      <c r="A107" s="2" t="s">
        <v>258</v>
      </c>
      <c r="B107" s="2" t="s">
        <v>259</v>
      </c>
      <c r="C107" s="2" t="s">
        <v>60</v>
      </c>
      <c r="D107" s="2">
        <v>4459</v>
      </c>
      <c r="E107" s="2">
        <v>53</v>
      </c>
      <c r="F107" s="2">
        <v>106</v>
      </c>
    </row>
    <row r="108" spans="1:6" x14ac:dyDescent="0.35">
      <c r="A108" s="2" t="s">
        <v>258</v>
      </c>
      <c r="B108" s="2" t="s">
        <v>259</v>
      </c>
      <c r="C108" s="2" t="s">
        <v>61</v>
      </c>
      <c r="D108" s="2">
        <v>4566</v>
      </c>
      <c r="E108" s="2">
        <v>51</v>
      </c>
      <c r="F108" s="2">
        <v>102</v>
      </c>
    </row>
    <row r="109" spans="1:6" x14ac:dyDescent="0.35">
      <c r="A109" s="2" t="s">
        <v>258</v>
      </c>
      <c r="B109" s="2" t="s">
        <v>259</v>
      </c>
      <c r="C109" s="2" t="s">
        <v>62</v>
      </c>
      <c r="D109" s="2">
        <v>4703</v>
      </c>
      <c r="E109" s="2">
        <v>42</v>
      </c>
      <c r="F109" s="2">
        <v>84</v>
      </c>
    </row>
    <row r="110" spans="1:6" x14ac:dyDescent="0.35">
      <c r="A110" s="2" t="s">
        <v>258</v>
      </c>
      <c r="B110" s="2" t="s">
        <v>259</v>
      </c>
      <c r="C110" s="2" t="s">
        <v>63</v>
      </c>
      <c r="D110" s="2">
        <v>4620</v>
      </c>
      <c r="E110" s="2">
        <v>42</v>
      </c>
      <c r="F110" s="2">
        <v>84</v>
      </c>
    </row>
    <row r="111" spans="1:6" x14ac:dyDescent="0.35">
      <c r="A111" s="2" t="s">
        <v>258</v>
      </c>
      <c r="B111" s="2" t="s">
        <v>259</v>
      </c>
      <c r="C111" s="2" t="s">
        <v>64</v>
      </c>
      <c r="D111" s="2">
        <v>4795</v>
      </c>
      <c r="E111" s="2">
        <v>48</v>
      </c>
      <c r="F111" s="2">
        <v>96</v>
      </c>
    </row>
    <row r="112" spans="1:6" x14ac:dyDescent="0.35">
      <c r="A112" s="2" t="s">
        <v>258</v>
      </c>
      <c r="B112" s="2" t="s">
        <v>259</v>
      </c>
      <c r="C112" s="2" t="s">
        <v>65</v>
      </c>
      <c r="D112" s="2">
        <v>4870</v>
      </c>
      <c r="E112" s="2">
        <v>53</v>
      </c>
      <c r="F112" s="2">
        <v>106</v>
      </c>
    </row>
    <row r="113" spans="1:6" x14ac:dyDescent="0.35">
      <c r="A113" s="2" t="s">
        <v>258</v>
      </c>
      <c r="B113" s="2" t="s">
        <v>259</v>
      </c>
      <c r="C113" s="2" t="s">
        <v>66</v>
      </c>
      <c r="D113" s="2">
        <v>4534</v>
      </c>
      <c r="E113" s="2">
        <v>50</v>
      </c>
      <c r="F113" s="2">
        <v>100</v>
      </c>
    </row>
    <row r="114" spans="1:6" x14ac:dyDescent="0.35">
      <c r="A114" s="2" t="s">
        <v>258</v>
      </c>
      <c r="B114" s="2" t="s">
        <v>259</v>
      </c>
      <c r="C114" s="2" t="s">
        <v>67</v>
      </c>
      <c r="D114" s="2">
        <v>4693</v>
      </c>
      <c r="E114" s="2">
        <v>38</v>
      </c>
      <c r="F114" s="2">
        <v>76</v>
      </c>
    </row>
    <row r="115" spans="1:6" x14ac:dyDescent="0.35">
      <c r="A115" s="2" t="s">
        <v>258</v>
      </c>
      <c r="B115" s="2" t="s">
        <v>259</v>
      </c>
      <c r="C115" s="2" t="s">
        <v>68</v>
      </c>
      <c r="D115" s="2">
        <v>4795</v>
      </c>
      <c r="E115" s="2">
        <v>45</v>
      </c>
      <c r="F115" s="2">
        <v>90</v>
      </c>
    </row>
    <row r="116" spans="1:6" x14ac:dyDescent="0.35">
      <c r="A116" s="2" t="s">
        <v>258</v>
      </c>
      <c r="B116" s="2" t="s">
        <v>259</v>
      </c>
      <c r="C116" s="2" t="s">
        <v>69</v>
      </c>
      <c r="D116" s="2">
        <v>4708</v>
      </c>
      <c r="E116" s="2">
        <v>67</v>
      </c>
      <c r="F116" s="2">
        <v>134</v>
      </c>
    </row>
    <row r="117" spans="1:6" x14ac:dyDescent="0.35">
      <c r="A117" s="2" t="s">
        <v>258</v>
      </c>
      <c r="B117" s="2" t="s">
        <v>259</v>
      </c>
      <c r="C117" s="2" t="s">
        <v>70</v>
      </c>
      <c r="D117" s="2">
        <v>4666</v>
      </c>
      <c r="E117" s="2">
        <v>63</v>
      </c>
      <c r="F117" s="2">
        <v>126</v>
      </c>
    </row>
    <row r="118" spans="1:6" x14ac:dyDescent="0.35">
      <c r="A118" s="2" t="s">
        <v>258</v>
      </c>
      <c r="B118" s="2" t="s">
        <v>259</v>
      </c>
      <c r="C118" s="2" t="s">
        <v>71</v>
      </c>
      <c r="D118" s="2">
        <v>4667</v>
      </c>
      <c r="E118" s="2">
        <v>40</v>
      </c>
      <c r="F118" s="2">
        <v>80</v>
      </c>
    </row>
    <row r="119" spans="1:6" x14ac:dyDescent="0.35">
      <c r="A119" s="2" t="s">
        <v>258</v>
      </c>
      <c r="B119" s="2" t="s">
        <v>259</v>
      </c>
      <c r="C119" s="2" t="s">
        <v>72</v>
      </c>
      <c r="D119" s="2">
        <v>4370</v>
      </c>
      <c r="E119" s="2">
        <v>39</v>
      </c>
      <c r="F119" s="2">
        <v>78</v>
      </c>
    </row>
    <row r="120" spans="1:6" x14ac:dyDescent="0.35">
      <c r="A120" s="2" t="s">
        <v>258</v>
      </c>
      <c r="B120" s="2" t="s">
        <v>259</v>
      </c>
      <c r="C120" s="2" t="s">
        <v>73</v>
      </c>
      <c r="D120" s="2">
        <v>4193</v>
      </c>
      <c r="E120" s="2">
        <v>43</v>
      </c>
      <c r="F120" s="2">
        <v>86</v>
      </c>
    </row>
    <row r="121" spans="1:6" x14ac:dyDescent="0.35">
      <c r="A121" s="2" t="s">
        <v>258</v>
      </c>
      <c r="B121" s="2" t="s">
        <v>259</v>
      </c>
      <c r="C121" s="2" t="s">
        <v>74</v>
      </c>
      <c r="D121" s="2">
        <v>4186</v>
      </c>
      <c r="E121" s="2">
        <v>38</v>
      </c>
      <c r="F121" s="2">
        <v>76</v>
      </c>
    </row>
    <row r="122" spans="1:6" x14ac:dyDescent="0.35">
      <c r="A122" s="2" t="s">
        <v>258</v>
      </c>
      <c r="B122" s="2" t="s">
        <v>259</v>
      </c>
      <c r="C122" s="2" t="s">
        <v>75</v>
      </c>
      <c r="D122" s="2">
        <v>4002</v>
      </c>
      <c r="E122" s="2">
        <v>29</v>
      </c>
      <c r="F122" s="2">
        <v>58</v>
      </c>
    </row>
    <row r="123" spans="1:6" x14ac:dyDescent="0.35">
      <c r="A123" s="2" t="s">
        <v>258</v>
      </c>
      <c r="B123" s="2" t="s">
        <v>259</v>
      </c>
      <c r="C123" s="2" t="s">
        <v>76</v>
      </c>
      <c r="D123" s="2">
        <v>4235</v>
      </c>
      <c r="E123" s="2">
        <v>40</v>
      </c>
      <c r="F123" s="2">
        <v>80</v>
      </c>
    </row>
    <row r="124" spans="1:6" x14ac:dyDescent="0.35">
      <c r="A124" s="2" t="s">
        <v>258</v>
      </c>
      <c r="B124" s="2" t="s">
        <v>259</v>
      </c>
      <c r="C124" s="2" t="s">
        <v>77</v>
      </c>
      <c r="D124" s="2">
        <v>4652</v>
      </c>
      <c r="E124" s="2">
        <v>37</v>
      </c>
      <c r="F124" s="2">
        <v>74</v>
      </c>
    </row>
    <row r="125" spans="1:6" x14ac:dyDescent="0.35">
      <c r="A125" s="2" t="s">
        <v>258</v>
      </c>
      <c r="B125" s="2" t="s">
        <v>259</v>
      </c>
      <c r="C125" s="2" t="s">
        <v>78</v>
      </c>
      <c r="D125" s="2">
        <v>4549</v>
      </c>
      <c r="E125" s="2">
        <v>46</v>
      </c>
      <c r="F125" s="2">
        <v>92</v>
      </c>
    </row>
    <row r="126" spans="1:6" x14ac:dyDescent="0.35">
      <c r="A126" s="2" t="s">
        <v>258</v>
      </c>
      <c r="B126" s="2" t="s">
        <v>259</v>
      </c>
      <c r="C126" s="2" t="s">
        <v>79</v>
      </c>
      <c r="D126" s="2">
        <v>4240</v>
      </c>
      <c r="E126" s="2">
        <v>35</v>
      </c>
      <c r="F126" s="2">
        <v>70</v>
      </c>
    </row>
    <row r="127" spans="1:6" x14ac:dyDescent="0.35">
      <c r="A127" s="2" t="s">
        <v>258</v>
      </c>
      <c r="B127" s="2" t="s">
        <v>259</v>
      </c>
      <c r="C127" s="2" t="s">
        <v>80</v>
      </c>
      <c r="D127" s="2">
        <v>4322</v>
      </c>
      <c r="E127" s="2">
        <v>46</v>
      </c>
      <c r="F127" s="2">
        <v>92</v>
      </c>
    </row>
    <row r="128" spans="1:6" x14ac:dyDescent="0.35">
      <c r="A128" s="2" t="s">
        <v>258</v>
      </c>
      <c r="B128" s="2" t="s">
        <v>259</v>
      </c>
      <c r="C128" s="2" t="s">
        <v>81</v>
      </c>
      <c r="D128" s="2">
        <v>4268</v>
      </c>
      <c r="E128" s="2">
        <v>25</v>
      </c>
      <c r="F128" s="2">
        <v>50</v>
      </c>
    </row>
    <row r="129" spans="1:6" x14ac:dyDescent="0.35">
      <c r="A129" s="2" t="s">
        <v>258</v>
      </c>
      <c r="B129" s="2" t="s">
        <v>259</v>
      </c>
      <c r="C129" s="2" t="s">
        <v>82</v>
      </c>
      <c r="D129" s="2">
        <v>3944</v>
      </c>
      <c r="E129" s="2">
        <v>37</v>
      </c>
      <c r="F129" s="2">
        <v>74</v>
      </c>
    </row>
    <row r="130" spans="1:6" x14ac:dyDescent="0.35">
      <c r="A130" s="2" t="s">
        <v>258</v>
      </c>
      <c r="B130" s="2" t="s">
        <v>259</v>
      </c>
      <c r="C130" s="2" t="s">
        <v>83</v>
      </c>
      <c r="D130" s="2">
        <v>4103</v>
      </c>
      <c r="E130" s="2">
        <v>43</v>
      </c>
      <c r="F130" s="2">
        <v>86</v>
      </c>
    </row>
    <row r="131" spans="1:6" x14ac:dyDescent="0.35">
      <c r="A131" s="2" t="s">
        <v>258</v>
      </c>
      <c r="B131" s="2" t="s">
        <v>259</v>
      </c>
      <c r="C131" s="2" t="s">
        <v>84</v>
      </c>
      <c r="D131" s="2">
        <v>4416</v>
      </c>
      <c r="E131" s="2">
        <v>38</v>
      </c>
      <c r="F131" s="2">
        <v>76</v>
      </c>
    </row>
    <row r="132" spans="1:6" x14ac:dyDescent="0.35">
      <c r="A132" s="2" t="s">
        <v>258</v>
      </c>
      <c r="B132" s="2" t="s">
        <v>259</v>
      </c>
      <c r="C132" s="2" t="s">
        <v>85</v>
      </c>
      <c r="D132" s="2">
        <v>4471</v>
      </c>
      <c r="E132" s="2">
        <v>39</v>
      </c>
      <c r="F132" s="2">
        <v>78</v>
      </c>
    </row>
    <row r="133" spans="1:6" x14ac:dyDescent="0.35">
      <c r="A133" s="2" t="s">
        <v>258</v>
      </c>
      <c r="B133" s="2" t="s">
        <v>259</v>
      </c>
      <c r="C133" s="2" t="s">
        <v>86</v>
      </c>
      <c r="D133" s="2">
        <v>4280</v>
      </c>
      <c r="E133" s="2">
        <v>43</v>
      </c>
      <c r="F133" s="2">
        <v>86</v>
      </c>
    </row>
    <row r="134" spans="1:6" x14ac:dyDescent="0.35">
      <c r="A134" s="2" t="s">
        <v>258</v>
      </c>
      <c r="B134" s="2" t="s">
        <v>259</v>
      </c>
      <c r="C134" s="2" t="s">
        <v>87</v>
      </c>
      <c r="D134" s="2">
        <v>4268</v>
      </c>
      <c r="E134" s="2">
        <v>43</v>
      </c>
      <c r="F134" s="2">
        <v>86</v>
      </c>
    </row>
    <row r="135" spans="1:6" x14ac:dyDescent="0.35">
      <c r="A135" s="2" t="s">
        <v>258</v>
      </c>
      <c r="B135" s="2" t="s">
        <v>259</v>
      </c>
      <c r="C135" s="2" t="s">
        <v>88</v>
      </c>
      <c r="D135" s="2">
        <v>4310</v>
      </c>
      <c r="E135" s="2">
        <v>36</v>
      </c>
      <c r="F135" s="2">
        <v>72</v>
      </c>
    </row>
    <row r="136" spans="1:6" x14ac:dyDescent="0.35">
      <c r="A136" s="2" t="s">
        <v>258</v>
      </c>
      <c r="B136" s="2" t="s">
        <v>259</v>
      </c>
      <c r="C136" s="2" t="s">
        <v>89</v>
      </c>
      <c r="D136" s="2">
        <v>4036</v>
      </c>
      <c r="E136" s="2">
        <v>47</v>
      </c>
      <c r="F136" s="2">
        <v>94</v>
      </c>
    </row>
    <row r="137" spans="1:6" x14ac:dyDescent="0.35">
      <c r="A137" s="2" t="s">
        <v>258</v>
      </c>
      <c r="B137" s="2" t="s">
        <v>259</v>
      </c>
      <c r="C137" s="2" t="s">
        <v>90</v>
      </c>
      <c r="D137" s="2">
        <v>3762</v>
      </c>
      <c r="E137" s="2">
        <v>47</v>
      </c>
      <c r="F137" s="2">
        <v>94</v>
      </c>
    </row>
    <row r="138" spans="1:6" x14ac:dyDescent="0.35">
      <c r="A138" s="2" t="s">
        <v>258</v>
      </c>
      <c r="B138" s="2" t="s">
        <v>259</v>
      </c>
      <c r="C138" s="2" t="s">
        <v>91</v>
      </c>
      <c r="D138" s="2">
        <v>3829</v>
      </c>
      <c r="E138" s="2">
        <v>35</v>
      </c>
      <c r="F138" s="2">
        <v>70</v>
      </c>
    </row>
    <row r="139" spans="1:6" x14ac:dyDescent="0.35">
      <c r="A139" s="2" t="s">
        <v>258</v>
      </c>
      <c r="B139" s="2" t="s">
        <v>259</v>
      </c>
      <c r="C139" s="2" t="s">
        <v>92</v>
      </c>
      <c r="D139" s="2">
        <v>4146</v>
      </c>
      <c r="E139" s="2">
        <v>31</v>
      </c>
      <c r="F139" s="2">
        <v>62</v>
      </c>
    </row>
    <row r="140" spans="1:6" x14ac:dyDescent="0.35">
      <c r="A140" s="2" t="s">
        <v>258</v>
      </c>
      <c r="B140" s="2" t="s">
        <v>259</v>
      </c>
      <c r="C140" s="2" t="s">
        <v>93</v>
      </c>
      <c r="D140" s="2">
        <v>4604</v>
      </c>
      <c r="E140" s="2">
        <v>40</v>
      </c>
      <c r="F140" s="2">
        <v>80</v>
      </c>
    </row>
    <row r="141" spans="1:6" x14ac:dyDescent="0.35">
      <c r="A141" s="2" t="s">
        <v>258</v>
      </c>
      <c r="B141" s="2" t="s">
        <v>259</v>
      </c>
      <c r="C141" s="2" t="s">
        <v>94</v>
      </c>
      <c r="D141" s="2">
        <v>4481</v>
      </c>
      <c r="E141" s="2">
        <v>41</v>
      </c>
      <c r="F141" s="2">
        <v>82</v>
      </c>
    </row>
    <row r="142" spans="1:6" x14ac:dyDescent="0.35">
      <c r="A142" s="2" t="s">
        <v>258</v>
      </c>
      <c r="B142" s="2" t="s">
        <v>259</v>
      </c>
      <c r="C142" s="2" t="s">
        <v>95</v>
      </c>
      <c r="D142" s="2">
        <v>4682</v>
      </c>
      <c r="E142" s="2">
        <v>48</v>
      </c>
      <c r="F142" s="2">
        <v>96</v>
      </c>
    </row>
    <row r="143" spans="1:6" x14ac:dyDescent="0.35">
      <c r="A143" s="2" t="s">
        <v>258</v>
      </c>
      <c r="B143" s="2" t="s">
        <v>259</v>
      </c>
      <c r="C143" s="2" t="s">
        <v>96</v>
      </c>
      <c r="D143" s="2">
        <v>4412</v>
      </c>
      <c r="E143" s="2">
        <v>67</v>
      </c>
      <c r="F143" s="2">
        <v>134</v>
      </c>
    </row>
    <row r="144" spans="1:6" x14ac:dyDescent="0.35">
      <c r="A144" s="2" t="s">
        <v>258</v>
      </c>
      <c r="B144" s="2" t="s">
        <v>259</v>
      </c>
      <c r="C144" s="2" t="s">
        <v>97</v>
      </c>
      <c r="D144" s="2">
        <v>4471</v>
      </c>
      <c r="E144" s="2">
        <v>71</v>
      </c>
      <c r="F144" s="2">
        <v>142</v>
      </c>
    </row>
    <row r="145" spans="1:6" x14ac:dyDescent="0.35">
      <c r="A145" s="2" t="s">
        <v>258</v>
      </c>
      <c r="B145" s="2" t="s">
        <v>259</v>
      </c>
      <c r="C145" s="2" t="s">
        <v>98</v>
      </c>
      <c r="D145" s="2">
        <v>4496</v>
      </c>
      <c r="E145" s="2">
        <v>62</v>
      </c>
      <c r="F145" s="2">
        <v>124</v>
      </c>
    </row>
    <row r="146" spans="1:6" x14ac:dyDescent="0.35">
      <c r="A146" s="2" t="s">
        <v>258</v>
      </c>
      <c r="B146" s="2" t="s">
        <v>259</v>
      </c>
      <c r="C146" s="2" t="s">
        <v>99</v>
      </c>
      <c r="D146" s="2">
        <v>4281</v>
      </c>
      <c r="E146" s="2">
        <v>79</v>
      </c>
      <c r="F146" s="2">
        <v>158</v>
      </c>
    </row>
    <row r="147" spans="1:6" x14ac:dyDescent="0.35">
      <c r="A147" s="2" t="s">
        <v>258</v>
      </c>
      <c r="B147" s="2" t="s">
        <v>259</v>
      </c>
      <c r="C147" s="2" t="s">
        <v>100</v>
      </c>
      <c r="D147" s="2">
        <v>4118</v>
      </c>
      <c r="E147" s="2">
        <v>82</v>
      </c>
      <c r="F147" s="2">
        <v>164</v>
      </c>
    </row>
    <row r="148" spans="1:6" x14ac:dyDescent="0.35">
      <c r="A148" s="2" t="s">
        <v>258</v>
      </c>
      <c r="B148" s="2" t="s">
        <v>259</v>
      </c>
      <c r="C148" s="2" t="s">
        <v>101</v>
      </c>
      <c r="D148" s="2">
        <v>4209</v>
      </c>
      <c r="E148" s="2">
        <v>67</v>
      </c>
      <c r="F148" s="2">
        <v>134</v>
      </c>
    </row>
    <row r="149" spans="1:6" x14ac:dyDescent="0.35">
      <c r="A149" s="2" t="s">
        <v>258</v>
      </c>
      <c r="B149" s="2" t="s">
        <v>259</v>
      </c>
      <c r="C149" s="2" t="s">
        <v>102</v>
      </c>
      <c r="D149" s="2">
        <v>3986</v>
      </c>
      <c r="E149" s="2">
        <v>83</v>
      </c>
      <c r="F149" s="2">
        <v>166</v>
      </c>
    </row>
    <row r="150" spans="1:6" x14ac:dyDescent="0.35">
      <c r="A150" s="2" t="s">
        <v>258</v>
      </c>
      <c r="B150" s="2" t="s">
        <v>259</v>
      </c>
      <c r="C150" s="2" t="s">
        <v>103</v>
      </c>
      <c r="D150" s="2">
        <v>4025</v>
      </c>
      <c r="E150" s="2">
        <v>75</v>
      </c>
      <c r="F150" s="2">
        <v>150</v>
      </c>
    </row>
    <row r="151" spans="1:6" x14ac:dyDescent="0.35">
      <c r="A151" s="2" t="s">
        <v>258</v>
      </c>
      <c r="B151" s="2" t="s">
        <v>259</v>
      </c>
      <c r="C151" s="2" t="s">
        <v>104</v>
      </c>
      <c r="D151" s="2">
        <v>3945</v>
      </c>
      <c r="E151" s="2">
        <v>81</v>
      </c>
      <c r="F151" s="2">
        <v>162</v>
      </c>
    </row>
    <row r="152" spans="1:6" x14ac:dyDescent="0.35">
      <c r="A152" s="2" t="s">
        <v>258</v>
      </c>
      <c r="B152" s="2" t="s">
        <v>259</v>
      </c>
      <c r="C152" s="2" t="s">
        <v>105</v>
      </c>
      <c r="D152" s="2">
        <v>4178</v>
      </c>
      <c r="E152" s="2">
        <v>73</v>
      </c>
      <c r="F152" s="2">
        <v>146</v>
      </c>
    </row>
    <row r="153" spans="1:6" x14ac:dyDescent="0.35">
      <c r="A153" s="2" t="s">
        <v>258</v>
      </c>
      <c r="B153" s="2" t="s">
        <v>259</v>
      </c>
      <c r="C153" s="2" t="s">
        <v>106</v>
      </c>
      <c r="D153" s="2">
        <v>3963</v>
      </c>
      <c r="E153" s="2">
        <v>68</v>
      </c>
      <c r="F153" s="2">
        <v>136</v>
      </c>
    </row>
    <row r="154" spans="1:6" x14ac:dyDescent="0.35">
      <c r="A154" s="2" t="s">
        <v>258</v>
      </c>
      <c r="B154" s="2" t="s">
        <v>259</v>
      </c>
      <c r="C154" s="2" t="s">
        <v>107</v>
      </c>
      <c r="D154" s="2">
        <v>3882</v>
      </c>
      <c r="E154" s="2">
        <v>81</v>
      </c>
      <c r="F154" s="2">
        <v>162</v>
      </c>
    </row>
    <row r="155" spans="1:6" x14ac:dyDescent="0.35">
      <c r="A155" s="2" t="s">
        <v>258</v>
      </c>
      <c r="B155" s="2" t="s">
        <v>259</v>
      </c>
      <c r="C155" s="2" t="s">
        <v>108</v>
      </c>
      <c r="D155" s="2">
        <v>3993</v>
      </c>
      <c r="E155" s="2">
        <v>74</v>
      </c>
      <c r="F155" s="2">
        <v>148</v>
      </c>
    </row>
    <row r="156" spans="1:6" x14ac:dyDescent="0.35">
      <c r="A156" s="2" t="s">
        <v>258</v>
      </c>
      <c r="B156" s="2" t="s">
        <v>259</v>
      </c>
      <c r="C156" s="2" t="s">
        <v>109</v>
      </c>
      <c r="D156" s="2">
        <v>4097</v>
      </c>
      <c r="E156" s="2">
        <v>76</v>
      </c>
      <c r="F156" s="2">
        <v>152</v>
      </c>
    </row>
    <row r="157" spans="1:6" x14ac:dyDescent="0.35">
      <c r="A157" s="2" t="s">
        <v>258</v>
      </c>
      <c r="B157" s="2" t="s">
        <v>259</v>
      </c>
      <c r="C157" s="2" t="s">
        <v>110</v>
      </c>
      <c r="D157" s="2">
        <v>4147</v>
      </c>
      <c r="E157" s="2">
        <v>66</v>
      </c>
      <c r="F157" s="2">
        <v>132</v>
      </c>
    </row>
    <row r="158" spans="1:6" x14ac:dyDescent="0.35">
      <c r="A158" s="2" t="s">
        <v>258</v>
      </c>
      <c r="B158" s="2" t="s">
        <v>259</v>
      </c>
      <c r="C158" s="2" t="s">
        <v>111</v>
      </c>
      <c r="D158" s="2">
        <v>4243</v>
      </c>
      <c r="E158" s="2">
        <v>92</v>
      </c>
      <c r="F158" s="2">
        <v>184</v>
      </c>
    </row>
    <row r="159" spans="1:6" x14ac:dyDescent="0.35">
      <c r="A159" s="2" t="s">
        <v>258</v>
      </c>
      <c r="B159" s="2" t="s">
        <v>259</v>
      </c>
      <c r="C159" s="2" t="s">
        <v>112</v>
      </c>
      <c r="D159" s="2">
        <v>4404</v>
      </c>
      <c r="E159" s="2">
        <v>77</v>
      </c>
      <c r="F159" s="2">
        <v>154</v>
      </c>
    </row>
    <row r="160" spans="1:6" x14ac:dyDescent="0.35">
      <c r="A160" s="2" t="s">
        <v>258</v>
      </c>
      <c r="B160" s="2" t="s">
        <v>259</v>
      </c>
      <c r="C160" s="2" t="s">
        <v>113</v>
      </c>
      <c r="D160" s="2">
        <v>4687</v>
      </c>
      <c r="E160" s="2">
        <v>78</v>
      </c>
      <c r="F160" s="2">
        <v>156</v>
      </c>
    </row>
    <row r="161" spans="1:6" x14ac:dyDescent="0.35">
      <c r="A161" s="2" t="s">
        <v>258</v>
      </c>
      <c r="B161" s="2" t="s">
        <v>259</v>
      </c>
      <c r="C161" s="2" t="s">
        <v>114</v>
      </c>
      <c r="D161" s="2">
        <v>4889</v>
      </c>
      <c r="E161" s="2">
        <v>73</v>
      </c>
      <c r="F161" s="2">
        <v>146</v>
      </c>
    </row>
    <row r="162" spans="1:6" x14ac:dyDescent="0.35">
      <c r="A162" s="2" t="s">
        <v>258</v>
      </c>
      <c r="B162" s="2" t="s">
        <v>259</v>
      </c>
      <c r="C162" s="2" t="s">
        <v>115</v>
      </c>
      <c r="D162" s="2">
        <v>4782</v>
      </c>
      <c r="E162" s="2">
        <v>67</v>
      </c>
      <c r="F162" s="2">
        <v>134</v>
      </c>
    </row>
    <row r="163" spans="1:6" x14ac:dyDescent="0.35">
      <c r="A163" s="2" t="s">
        <v>258</v>
      </c>
      <c r="B163" s="2" t="s">
        <v>259</v>
      </c>
      <c r="C163" s="2" t="s">
        <v>116</v>
      </c>
      <c r="D163" s="2">
        <v>4378</v>
      </c>
      <c r="E163" s="2">
        <v>59</v>
      </c>
      <c r="F163" s="2">
        <v>118</v>
      </c>
    </row>
    <row r="164" spans="1:6" x14ac:dyDescent="0.35">
      <c r="A164" s="2" t="s">
        <v>258</v>
      </c>
      <c r="B164" s="2" t="s">
        <v>259</v>
      </c>
      <c r="C164" s="2" t="s">
        <v>117</v>
      </c>
      <c r="D164" s="2">
        <v>4409</v>
      </c>
      <c r="E164" s="2">
        <v>67</v>
      </c>
      <c r="F164" s="2">
        <v>134</v>
      </c>
    </row>
    <row r="165" spans="1:6" x14ac:dyDescent="0.35">
      <c r="A165" s="2" t="s">
        <v>258</v>
      </c>
      <c r="B165" s="2" t="s">
        <v>259</v>
      </c>
      <c r="C165" s="2" t="s">
        <v>118</v>
      </c>
      <c r="D165" s="2">
        <v>4193</v>
      </c>
      <c r="E165" s="2">
        <v>64</v>
      </c>
      <c r="F165" s="2">
        <v>128</v>
      </c>
    </row>
    <row r="166" spans="1:6" x14ac:dyDescent="0.35">
      <c r="A166" s="2" t="s">
        <v>258</v>
      </c>
      <c r="B166" s="2" t="s">
        <v>259</v>
      </c>
      <c r="C166" s="2" t="s">
        <v>119</v>
      </c>
      <c r="D166" s="2">
        <v>4246</v>
      </c>
      <c r="E166" s="2">
        <v>70</v>
      </c>
      <c r="F166" s="2">
        <v>140</v>
      </c>
    </row>
    <row r="167" spans="1:6" x14ac:dyDescent="0.35">
      <c r="A167" s="2" t="s">
        <v>258</v>
      </c>
      <c r="B167" s="2" t="s">
        <v>259</v>
      </c>
      <c r="C167" s="2" t="s">
        <v>120</v>
      </c>
      <c r="D167" s="2">
        <v>3992</v>
      </c>
      <c r="E167" s="2">
        <v>71</v>
      </c>
      <c r="F167" s="2">
        <v>142</v>
      </c>
    </row>
    <row r="168" spans="1:6" x14ac:dyDescent="0.35">
      <c r="A168" s="2" t="s">
        <v>258</v>
      </c>
      <c r="B168" s="2" t="s">
        <v>259</v>
      </c>
      <c r="C168" s="2" t="s">
        <v>121</v>
      </c>
      <c r="D168" s="2">
        <v>3904</v>
      </c>
      <c r="E168" s="2">
        <v>67</v>
      </c>
      <c r="F168" s="2">
        <v>134</v>
      </c>
    </row>
    <row r="169" spans="1:6" x14ac:dyDescent="0.35">
      <c r="A169" s="2" t="s">
        <v>258</v>
      </c>
      <c r="B169" s="2" t="s">
        <v>259</v>
      </c>
      <c r="C169" s="2" t="s">
        <v>122</v>
      </c>
      <c r="D169" s="2">
        <v>3968</v>
      </c>
      <c r="E169" s="2" t="s">
        <v>6</v>
      </c>
      <c r="F169" s="2">
        <v>107</v>
      </c>
    </row>
    <row r="170" spans="1:6" x14ac:dyDescent="0.35">
      <c r="A170" s="2" t="s">
        <v>258</v>
      </c>
      <c r="B170" s="2" t="s">
        <v>259</v>
      </c>
      <c r="C170" s="2" t="s">
        <v>123</v>
      </c>
      <c r="D170" s="2">
        <v>4123</v>
      </c>
      <c r="E170" s="2" t="s">
        <v>6</v>
      </c>
      <c r="F170" s="2">
        <v>110</v>
      </c>
    </row>
    <row r="171" spans="1:6" x14ac:dyDescent="0.35">
      <c r="A171" s="2" t="s">
        <v>258</v>
      </c>
      <c r="B171" s="2" t="s">
        <v>259</v>
      </c>
      <c r="C171" s="2" t="s">
        <v>124</v>
      </c>
      <c r="D171" s="2">
        <v>4329</v>
      </c>
      <c r="E171" s="2" t="s">
        <v>6</v>
      </c>
      <c r="F171" s="2">
        <v>134</v>
      </c>
    </row>
    <row r="172" spans="1:6" x14ac:dyDescent="0.35">
      <c r="A172" s="4" t="s">
        <v>258</v>
      </c>
      <c r="B172" s="2" t="s">
        <v>259</v>
      </c>
      <c r="C172" s="3">
        <v>2020</v>
      </c>
      <c r="D172" s="3">
        <v>4415</v>
      </c>
      <c r="E172" s="4" t="s">
        <v>6</v>
      </c>
      <c r="F172" s="3">
        <v>106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E0F9-D93C-485B-A134-A206A2A99C15}">
  <dimension ref="A1:F158"/>
  <sheetViews>
    <sheetView zoomScale="55" zoomScaleNormal="55" workbookViewId="0">
      <selection sqref="A1:F153"/>
    </sheetView>
  </sheetViews>
  <sheetFormatPr defaultRowHeight="14.5" x14ac:dyDescent="0.35"/>
  <cols>
    <col min="1" max="1" width="11.08984375" style="6" customWidth="1"/>
    <col min="2" max="2" width="11" style="6" customWidth="1"/>
    <col min="3" max="3" width="7.7265625" style="6" customWidth="1"/>
    <col min="4" max="4" width="14.08984375" style="6" customWidth="1"/>
    <col min="5" max="5" width="19.1796875" style="6" customWidth="1"/>
    <col min="6" max="6" width="17.7265625" style="6" customWidth="1"/>
  </cols>
  <sheetData>
    <row r="1" spans="1:6" ht="26.5" x14ac:dyDescent="0.35">
      <c r="A1" s="20" t="s">
        <v>0</v>
      </c>
      <c r="B1" s="20" t="s">
        <v>1</v>
      </c>
      <c r="C1" s="20" t="s">
        <v>2</v>
      </c>
      <c r="D1" s="20" t="s">
        <v>9</v>
      </c>
      <c r="E1" s="20" t="s">
        <v>7</v>
      </c>
      <c r="F1" s="20" t="s">
        <v>8</v>
      </c>
    </row>
    <row r="2" spans="1:6" x14ac:dyDescent="0.35">
      <c r="A2" s="6" t="s">
        <v>260</v>
      </c>
      <c r="B2" s="6" t="s">
        <v>261</v>
      </c>
      <c r="C2" s="6" t="s">
        <v>196</v>
      </c>
      <c r="D2" s="6">
        <v>900858</v>
      </c>
      <c r="E2" s="6">
        <v>10269</v>
      </c>
      <c r="F2" s="6" t="s">
        <v>6</v>
      </c>
    </row>
    <row r="3" spans="1:6" x14ac:dyDescent="0.35">
      <c r="A3" s="6" t="s">
        <v>260</v>
      </c>
      <c r="B3" s="6" t="s">
        <v>261</v>
      </c>
      <c r="C3" s="6" t="s">
        <v>197</v>
      </c>
      <c r="D3" s="6">
        <v>958338</v>
      </c>
      <c r="E3" s="6">
        <v>8513</v>
      </c>
      <c r="F3" s="6" t="s">
        <v>6</v>
      </c>
    </row>
    <row r="4" spans="1:6" x14ac:dyDescent="0.35">
      <c r="A4" s="6" t="s">
        <v>260</v>
      </c>
      <c r="B4" s="6" t="s">
        <v>261</v>
      </c>
      <c r="C4" s="6" t="s">
        <v>198</v>
      </c>
      <c r="D4" s="6">
        <v>954353</v>
      </c>
      <c r="E4" s="6">
        <v>10701</v>
      </c>
      <c r="F4" s="6" t="s">
        <v>6</v>
      </c>
    </row>
    <row r="5" spans="1:6" x14ac:dyDescent="0.35">
      <c r="A5" s="6" t="s">
        <v>260</v>
      </c>
      <c r="B5" s="6" t="s">
        <v>261</v>
      </c>
      <c r="C5" s="6" t="s">
        <v>199</v>
      </c>
      <c r="D5" s="6">
        <v>962945</v>
      </c>
      <c r="E5" s="6">
        <v>11553</v>
      </c>
      <c r="F5" s="6" t="s">
        <v>6</v>
      </c>
    </row>
    <row r="6" spans="1:6" x14ac:dyDescent="0.35">
      <c r="A6" s="6" t="s">
        <v>260</v>
      </c>
      <c r="B6" s="6" t="s">
        <v>261</v>
      </c>
      <c r="C6" s="6" t="s">
        <v>200</v>
      </c>
      <c r="D6" s="6">
        <v>1025542</v>
      </c>
      <c r="E6" s="6">
        <v>12101</v>
      </c>
      <c r="F6" s="6" t="s">
        <v>6</v>
      </c>
    </row>
    <row r="7" spans="1:6" x14ac:dyDescent="0.35">
      <c r="A7" s="6" t="s">
        <v>260</v>
      </c>
      <c r="B7" s="6" t="s">
        <v>261</v>
      </c>
      <c r="C7" s="6" t="s">
        <v>201</v>
      </c>
      <c r="D7" s="6">
        <v>989944</v>
      </c>
      <c r="E7" s="6">
        <v>11551</v>
      </c>
      <c r="F7" s="6" t="s">
        <v>6</v>
      </c>
    </row>
    <row r="8" spans="1:6" x14ac:dyDescent="0.35">
      <c r="A8" s="6" t="s">
        <v>260</v>
      </c>
      <c r="B8" s="6" t="s">
        <v>261</v>
      </c>
      <c r="C8" s="6" t="s">
        <v>202</v>
      </c>
      <c r="D8" s="6">
        <v>955216</v>
      </c>
      <c r="E8" s="6">
        <v>11500</v>
      </c>
      <c r="F8" s="6" t="s">
        <v>6</v>
      </c>
    </row>
    <row r="9" spans="1:6" x14ac:dyDescent="0.35">
      <c r="A9" s="6" t="s">
        <v>260</v>
      </c>
      <c r="B9" s="6" t="s">
        <v>261</v>
      </c>
      <c r="C9" s="6" t="s">
        <v>203</v>
      </c>
      <c r="D9" s="6">
        <v>1038637</v>
      </c>
      <c r="E9" s="6">
        <v>13063</v>
      </c>
      <c r="F9" s="6" t="s">
        <v>6</v>
      </c>
    </row>
    <row r="10" spans="1:6" x14ac:dyDescent="0.35">
      <c r="A10" s="6" t="s">
        <v>260</v>
      </c>
      <c r="B10" s="6" t="s">
        <v>261</v>
      </c>
      <c r="C10" s="6" t="s">
        <v>204</v>
      </c>
      <c r="D10" s="6">
        <v>1089440</v>
      </c>
      <c r="E10" s="6">
        <v>13438</v>
      </c>
      <c r="F10" s="6" t="s">
        <v>6</v>
      </c>
    </row>
    <row r="11" spans="1:6" x14ac:dyDescent="0.35">
      <c r="A11" s="6" t="s">
        <v>260</v>
      </c>
      <c r="B11" s="6" t="s">
        <v>261</v>
      </c>
      <c r="C11" s="6" t="s">
        <v>205</v>
      </c>
      <c r="D11" s="6">
        <v>1035193</v>
      </c>
      <c r="E11" s="6">
        <v>12373</v>
      </c>
      <c r="F11" s="6" t="s">
        <v>6</v>
      </c>
    </row>
    <row r="12" spans="1:6" x14ac:dyDescent="0.35">
      <c r="A12" s="6" t="s">
        <v>260</v>
      </c>
      <c r="B12" s="6" t="s">
        <v>261</v>
      </c>
      <c r="C12" s="6" t="s">
        <v>206</v>
      </c>
      <c r="D12" s="6">
        <v>1018838</v>
      </c>
      <c r="E12" s="6">
        <v>12244</v>
      </c>
      <c r="F12" s="6" t="s">
        <v>6</v>
      </c>
    </row>
    <row r="13" spans="1:6" x14ac:dyDescent="0.35">
      <c r="A13" s="6" t="s">
        <v>260</v>
      </c>
      <c r="B13" s="6" t="s">
        <v>261</v>
      </c>
      <c r="C13" s="6" t="s">
        <v>207</v>
      </c>
      <c r="D13" s="6">
        <v>1070525</v>
      </c>
      <c r="E13" s="6">
        <v>13354</v>
      </c>
      <c r="F13" s="6" t="s">
        <v>6</v>
      </c>
    </row>
    <row r="14" spans="1:6" x14ac:dyDescent="0.35">
      <c r="A14" s="6" t="s">
        <v>260</v>
      </c>
      <c r="B14" s="6" t="s">
        <v>261</v>
      </c>
      <c r="C14" s="6" t="s">
        <v>208</v>
      </c>
      <c r="D14" s="6">
        <v>964917</v>
      </c>
      <c r="E14" s="6">
        <v>11485</v>
      </c>
      <c r="F14" s="6" t="s">
        <v>6</v>
      </c>
    </row>
    <row r="15" spans="1:6" x14ac:dyDescent="0.35">
      <c r="A15" s="6" t="s">
        <v>260</v>
      </c>
      <c r="B15" s="6" t="s">
        <v>261</v>
      </c>
      <c r="C15" s="6" t="s">
        <v>209</v>
      </c>
      <c r="D15" s="6">
        <v>1087353</v>
      </c>
      <c r="E15" s="6">
        <v>14244</v>
      </c>
      <c r="F15" s="6" t="s">
        <v>6</v>
      </c>
    </row>
    <row r="16" spans="1:6" x14ac:dyDescent="0.35">
      <c r="A16" s="6" t="s">
        <v>260</v>
      </c>
      <c r="B16" s="6" t="s">
        <v>261</v>
      </c>
      <c r="C16" s="6" t="s">
        <v>210</v>
      </c>
      <c r="D16" s="6">
        <v>1069455</v>
      </c>
      <c r="E16" s="6">
        <v>13264</v>
      </c>
      <c r="F16" s="6" t="s">
        <v>6</v>
      </c>
    </row>
    <row r="17" spans="1:6" x14ac:dyDescent="0.35">
      <c r="A17" s="6" t="s">
        <v>260</v>
      </c>
      <c r="B17" s="6" t="s">
        <v>261</v>
      </c>
      <c r="C17" s="6" t="s">
        <v>211</v>
      </c>
      <c r="D17" s="6">
        <v>1082468</v>
      </c>
      <c r="E17" s="6">
        <v>12886</v>
      </c>
      <c r="F17" s="6" t="s">
        <v>6</v>
      </c>
    </row>
    <row r="18" spans="1:6" x14ac:dyDescent="0.35">
      <c r="A18" s="6" t="s">
        <v>260</v>
      </c>
      <c r="B18" s="6" t="s">
        <v>261</v>
      </c>
      <c r="C18" s="6" t="s">
        <v>212</v>
      </c>
      <c r="D18" s="6">
        <v>1141121</v>
      </c>
      <c r="E18" s="6">
        <v>13647</v>
      </c>
      <c r="F18" s="6" t="s">
        <v>6</v>
      </c>
    </row>
    <row r="19" spans="1:6" x14ac:dyDescent="0.35">
      <c r="A19" s="6" t="s">
        <v>260</v>
      </c>
      <c r="B19" s="6" t="s">
        <v>261</v>
      </c>
      <c r="C19" s="6" t="s">
        <v>213</v>
      </c>
      <c r="D19" s="6">
        <v>1138357</v>
      </c>
      <c r="E19" s="6">
        <v>13223</v>
      </c>
      <c r="F19" s="6" t="s">
        <v>6</v>
      </c>
    </row>
    <row r="20" spans="1:6" x14ac:dyDescent="0.35">
      <c r="A20" s="6" t="s">
        <v>260</v>
      </c>
      <c r="B20" s="6" t="s">
        <v>261</v>
      </c>
      <c r="C20" s="6" t="s">
        <v>214</v>
      </c>
      <c r="D20" s="6">
        <v>1100087</v>
      </c>
      <c r="E20" s="6">
        <v>12766</v>
      </c>
      <c r="F20" s="6" t="s">
        <v>6</v>
      </c>
    </row>
    <row r="21" spans="1:6" x14ac:dyDescent="0.35">
      <c r="A21" s="6" t="s">
        <v>260</v>
      </c>
      <c r="B21" s="6" t="s">
        <v>261</v>
      </c>
      <c r="C21" s="6" t="s">
        <v>215</v>
      </c>
      <c r="D21" s="6">
        <v>1167340</v>
      </c>
      <c r="E21" s="6">
        <v>13765</v>
      </c>
      <c r="F21" s="6" t="s">
        <v>6</v>
      </c>
    </row>
    <row r="22" spans="1:6" x14ac:dyDescent="0.35">
      <c r="A22" s="6" t="s">
        <v>260</v>
      </c>
      <c r="B22" s="6" t="s">
        <v>261</v>
      </c>
      <c r="C22" s="6" t="s">
        <v>216</v>
      </c>
      <c r="D22" s="6">
        <v>1134951</v>
      </c>
      <c r="E22" s="6">
        <v>13066</v>
      </c>
      <c r="F22" s="6" t="s">
        <v>6</v>
      </c>
    </row>
    <row r="23" spans="1:6" x14ac:dyDescent="0.35">
      <c r="A23" s="6" t="s">
        <v>260</v>
      </c>
      <c r="B23" s="6" t="s">
        <v>261</v>
      </c>
      <c r="C23" s="6" t="s">
        <v>217</v>
      </c>
      <c r="D23" s="6">
        <v>1165891</v>
      </c>
      <c r="E23" s="6">
        <v>13384</v>
      </c>
      <c r="F23" s="6" t="s">
        <v>6</v>
      </c>
    </row>
    <row r="24" spans="1:6" x14ac:dyDescent="0.35">
      <c r="A24" s="6" t="s">
        <v>260</v>
      </c>
      <c r="B24" s="6" t="s">
        <v>261</v>
      </c>
      <c r="C24" s="6" t="s">
        <v>218</v>
      </c>
      <c r="D24" s="6">
        <v>1099076</v>
      </c>
      <c r="E24" s="6">
        <v>12817</v>
      </c>
      <c r="F24" s="6" t="s">
        <v>6</v>
      </c>
    </row>
    <row r="25" spans="1:6" x14ac:dyDescent="0.35">
      <c r="A25" s="6" t="s">
        <v>260</v>
      </c>
      <c r="B25" s="6" t="s">
        <v>261</v>
      </c>
      <c r="C25" s="6" t="s">
        <v>219</v>
      </c>
      <c r="D25" s="6">
        <v>1148495</v>
      </c>
      <c r="E25" s="6">
        <v>13754</v>
      </c>
      <c r="F25" s="6" t="s">
        <v>6</v>
      </c>
    </row>
    <row r="26" spans="1:6" x14ac:dyDescent="0.35">
      <c r="A26" s="6" t="s">
        <v>260</v>
      </c>
      <c r="B26" s="6" t="s">
        <v>261</v>
      </c>
      <c r="C26" s="6" t="s">
        <v>220</v>
      </c>
      <c r="D26" s="6">
        <v>1128729</v>
      </c>
      <c r="E26" s="6">
        <v>13073</v>
      </c>
      <c r="F26" s="6" t="s">
        <v>6</v>
      </c>
    </row>
    <row r="27" spans="1:6" x14ac:dyDescent="0.35">
      <c r="A27" s="6" t="s">
        <v>260</v>
      </c>
      <c r="B27" s="6" t="s">
        <v>261</v>
      </c>
      <c r="C27" s="6" t="s">
        <v>221</v>
      </c>
      <c r="D27" s="6">
        <v>1144704</v>
      </c>
      <c r="E27" s="6">
        <v>13699</v>
      </c>
      <c r="F27" s="6" t="s">
        <v>6</v>
      </c>
    </row>
    <row r="28" spans="1:6" x14ac:dyDescent="0.35">
      <c r="A28" s="6" t="s">
        <v>260</v>
      </c>
      <c r="B28" s="6" t="s">
        <v>261</v>
      </c>
      <c r="C28" s="6" t="s">
        <v>222</v>
      </c>
      <c r="D28" s="6">
        <v>1121887</v>
      </c>
      <c r="E28" s="6">
        <v>13417</v>
      </c>
      <c r="F28" s="6" t="s">
        <v>6</v>
      </c>
    </row>
    <row r="29" spans="1:6" x14ac:dyDescent="0.35">
      <c r="A29" s="6" t="s">
        <v>260</v>
      </c>
      <c r="B29" s="6" t="s">
        <v>261</v>
      </c>
      <c r="C29" s="6" t="s">
        <v>223</v>
      </c>
      <c r="D29" s="6">
        <v>1112403</v>
      </c>
      <c r="E29" s="6">
        <v>12590</v>
      </c>
      <c r="F29" s="6" t="s">
        <v>6</v>
      </c>
    </row>
    <row r="30" spans="1:6" x14ac:dyDescent="0.35">
      <c r="A30" s="6" t="s">
        <v>260</v>
      </c>
      <c r="B30" s="6" t="s">
        <v>261</v>
      </c>
      <c r="C30" s="6" t="s">
        <v>224</v>
      </c>
      <c r="D30" s="6">
        <v>1115858</v>
      </c>
      <c r="E30" s="6">
        <v>12761</v>
      </c>
      <c r="F30" s="6" t="s">
        <v>6</v>
      </c>
    </row>
    <row r="31" spans="1:6" x14ac:dyDescent="0.35">
      <c r="A31" s="6" t="s">
        <v>260</v>
      </c>
      <c r="B31" s="6" t="s">
        <v>261</v>
      </c>
      <c r="C31" s="6" t="s">
        <v>225</v>
      </c>
      <c r="D31" s="6">
        <v>1122206</v>
      </c>
      <c r="E31" s="6">
        <v>13124</v>
      </c>
      <c r="F31" s="6" t="s">
        <v>6</v>
      </c>
    </row>
    <row r="32" spans="1:6" x14ac:dyDescent="0.35">
      <c r="A32" s="6" t="s">
        <v>260</v>
      </c>
      <c r="B32" s="6" t="s">
        <v>261</v>
      </c>
      <c r="C32" s="6" t="s">
        <v>226</v>
      </c>
      <c r="D32" s="6">
        <v>1089771</v>
      </c>
      <c r="E32" s="6">
        <v>12412</v>
      </c>
      <c r="F32" s="6" t="s">
        <v>6</v>
      </c>
    </row>
    <row r="33" spans="1:6" x14ac:dyDescent="0.35">
      <c r="A33" s="6" t="s">
        <v>260</v>
      </c>
      <c r="B33" s="6" t="s">
        <v>261</v>
      </c>
      <c r="C33" s="6" t="s">
        <v>227</v>
      </c>
      <c r="D33" s="6">
        <v>1107898</v>
      </c>
      <c r="E33" s="6">
        <v>12992</v>
      </c>
      <c r="F33" s="6" t="s">
        <v>6</v>
      </c>
    </row>
    <row r="34" spans="1:6" x14ac:dyDescent="0.35">
      <c r="A34" s="6" t="s">
        <v>260</v>
      </c>
      <c r="B34" s="6" t="s">
        <v>261</v>
      </c>
      <c r="C34" s="6" t="s">
        <v>228</v>
      </c>
      <c r="D34" s="6">
        <v>1087205</v>
      </c>
      <c r="E34" s="6">
        <v>12701</v>
      </c>
      <c r="F34" s="6" t="s">
        <v>6</v>
      </c>
    </row>
    <row r="35" spans="1:6" x14ac:dyDescent="0.35">
      <c r="A35" s="6" t="s">
        <v>260</v>
      </c>
      <c r="B35" s="6" t="s">
        <v>261</v>
      </c>
      <c r="C35" s="6" t="s">
        <v>229</v>
      </c>
      <c r="D35" s="6">
        <v>1077977</v>
      </c>
      <c r="E35" s="6">
        <v>12750</v>
      </c>
      <c r="F35" s="6" t="s">
        <v>6</v>
      </c>
    </row>
    <row r="36" spans="1:6" x14ac:dyDescent="0.35">
      <c r="A36" s="6" t="s">
        <v>260</v>
      </c>
      <c r="B36" s="6" t="s">
        <v>261</v>
      </c>
      <c r="C36" s="6" t="s">
        <v>230</v>
      </c>
      <c r="D36" s="6">
        <v>1114248</v>
      </c>
      <c r="E36" s="6">
        <v>13459</v>
      </c>
      <c r="F36" s="6" t="s">
        <v>6</v>
      </c>
    </row>
    <row r="37" spans="1:6" x14ac:dyDescent="0.35">
      <c r="A37" s="6" t="s">
        <v>260</v>
      </c>
      <c r="B37" s="6" t="s">
        <v>261</v>
      </c>
      <c r="C37" s="6" t="s">
        <v>231</v>
      </c>
      <c r="D37" s="6">
        <v>1063081</v>
      </c>
      <c r="E37" s="6">
        <v>12595</v>
      </c>
      <c r="F37" s="6" t="s">
        <v>6</v>
      </c>
    </row>
    <row r="38" spans="1:6" x14ac:dyDescent="0.35">
      <c r="A38" s="6" t="s">
        <v>260</v>
      </c>
      <c r="B38" s="6" t="s">
        <v>261</v>
      </c>
      <c r="C38" s="6" t="s">
        <v>232</v>
      </c>
      <c r="D38" s="6">
        <v>1107320</v>
      </c>
      <c r="E38" s="6">
        <v>13376</v>
      </c>
      <c r="F38" s="6" t="s">
        <v>6</v>
      </c>
    </row>
    <row r="39" spans="1:6" x14ac:dyDescent="0.35">
      <c r="A39" s="6" t="s">
        <v>260</v>
      </c>
      <c r="B39" s="6" t="s">
        <v>261</v>
      </c>
      <c r="C39" s="6" t="s">
        <v>233</v>
      </c>
      <c r="D39" s="6">
        <f>N39-L39</f>
        <v>0</v>
      </c>
      <c r="E39" s="6">
        <v>12976</v>
      </c>
      <c r="F39" s="6" t="s">
        <v>6</v>
      </c>
    </row>
    <row r="40" spans="1:6" x14ac:dyDescent="0.35">
      <c r="A40" s="6" t="s">
        <v>260</v>
      </c>
      <c r="B40" s="6" t="s">
        <v>261</v>
      </c>
      <c r="C40" s="6" t="s">
        <v>234</v>
      </c>
      <c r="D40" s="6">
        <v>1092814</v>
      </c>
      <c r="E40" s="6">
        <v>12938</v>
      </c>
      <c r="F40" s="6" t="s">
        <v>6</v>
      </c>
    </row>
    <row r="41" spans="1:6" x14ac:dyDescent="0.35">
      <c r="A41" s="6" t="s">
        <v>260</v>
      </c>
      <c r="B41" s="6" t="s">
        <v>261</v>
      </c>
      <c r="C41" s="6" t="s">
        <v>235</v>
      </c>
      <c r="D41" s="6">
        <v>1084260</v>
      </c>
      <c r="E41" s="6">
        <v>12794</v>
      </c>
      <c r="F41" s="6" t="s">
        <v>6</v>
      </c>
    </row>
    <row r="42" spans="1:6" x14ac:dyDescent="0.35">
      <c r="A42" s="6" t="s">
        <v>260</v>
      </c>
      <c r="B42" s="6" t="s">
        <v>261</v>
      </c>
      <c r="C42" s="6" t="s">
        <v>236</v>
      </c>
      <c r="D42" s="6">
        <v>1162302</v>
      </c>
      <c r="E42" s="6">
        <v>13722</v>
      </c>
      <c r="F42" s="6" t="s">
        <v>6</v>
      </c>
    </row>
    <row r="43" spans="1:6" x14ac:dyDescent="0.35">
      <c r="A43" s="6" t="s">
        <v>260</v>
      </c>
      <c r="B43" s="6" t="s">
        <v>261</v>
      </c>
      <c r="C43" s="6" t="s">
        <v>237</v>
      </c>
      <c r="D43" s="6">
        <v>1139506</v>
      </c>
      <c r="E43" s="6">
        <v>13072</v>
      </c>
      <c r="F43" s="6" t="s">
        <v>6</v>
      </c>
    </row>
    <row r="44" spans="1:6" x14ac:dyDescent="0.35">
      <c r="A44" s="6" t="s">
        <v>260</v>
      </c>
      <c r="B44" s="6" t="s">
        <v>261</v>
      </c>
      <c r="C44" s="6" t="s">
        <v>238</v>
      </c>
      <c r="D44" s="6">
        <v>1167505</v>
      </c>
      <c r="E44" s="6">
        <v>13368</v>
      </c>
      <c r="F44" s="6" t="s">
        <v>6</v>
      </c>
    </row>
    <row r="45" spans="1:6" x14ac:dyDescent="0.35">
      <c r="A45" s="6" t="s">
        <v>260</v>
      </c>
      <c r="B45" s="6" t="s">
        <v>261</v>
      </c>
      <c r="C45" s="6" t="s">
        <v>239</v>
      </c>
      <c r="D45" s="6">
        <v>1115233</v>
      </c>
      <c r="E45" s="6">
        <v>12669</v>
      </c>
      <c r="F45" s="6" t="s">
        <v>6</v>
      </c>
    </row>
    <row r="46" spans="1:6" x14ac:dyDescent="0.35">
      <c r="A46" s="6" t="s">
        <v>260</v>
      </c>
      <c r="B46" s="6" t="s">
        <v>261</v>
      </c>
      <c r="C46" s="6" t="s">
        <v>240</v>
      </c>
      <c r="D46" s="6">
        <v>1154230</v>
      </c>
      <c r="E46" s="6">
        <v>13438</v>
      </c>
      <c r="F46" s="6" t="s">
        <v>6</v>
      </c>
    </row>
    <row r="47" spans="1:6" x14ac:dyDescent="0.35">
      <c r="A47" s="6" t="s">
        <v>260</v>
      </c>
      <c r="B47" s="6" t="s">
        <v>261</v>
      </c>
      <c r="C47" s="6" t="s">
        <v>241</v>
      </c>
      <c r="D47" s="6">
        <v>1142621</v>
      </c>
      <c r="E47" s="6">
        <v>13131</v>
      </c>
      <c r="F47" s="6" t="s">
        <v>6</v>
      </c>
    </row>
    <row r="48" spans="1:6" x14ac:dyDescent="0.35">
      <c r="A48" s="6" t="s">
        <v>260</v>
      </c>
      <c r="B48" s="6" t="s">
        <v>261</v>
      </c>
      <c r="C48" s="6" t="s">
        <v>242</v>
      </c>
      <c r="D48" s="6">
        <v>1134931</v>
      </c>
      <c r="E48" s="6">
        <v>13149</v>
      </c>
      <c r="F48" s="6" t="s">
        <v>6</v>
      </c>
    </row>
    <row r="49" spans="1:6" x14ac:dyDescent="0.35">
      <c r="A49" s="6" t="s">
        <v>260</v>
      </c>
      <c r="B49" s="6" t="s">
        <v>261</v>
      </c>
      <c r="C49" s="6" t="s">
        <v>243</v>
      </c>
      <c r="D49" s="6">
        <v>1130263</v>
      </c>
      <c r="E49" s="6">
        <v>12850</v>
      </c>
      <c r="F49" s="6" t="s">
        <v>6</v>
      </c>
    </row>
    <row r="50" spans="1:6" x14ac:dyDescent="0.35">
      <c r="A50" s="6" t="s">
        <v>260</v>
      </c>
      <c r="B50" s="6" t="s">
        <v>261</v>
      </c>
      <c r="C50" s="6" t="s">
        <v>244</v>
      </c>
      <c r="D50" s="6">
        <v>899104</v>
      </c>
      <c r="E50" s="6">
        <v>9712</v>
      </c>
      <c r="F50" s="6" t="s">
        <v>6</v>
      </c>
    </row>
    <row r="51" spans="1:6" x14ac:dyDescent="0.35">
      <c r="A51" s="6" t="s">
        <v>260</v>
      </c>
      <c r="B51" s="6" t="s">
        <v>261</v>
      </c>
      <c r="C51" s="6" t="s">
        <v>245</v>
      </c>
      <c r="D51" s="6">
        <v>705007</v>
      </c>
      <c r="E51" s="6">
        <v>7867</v>
      </c>
      <c r="F51" s="6" t="s">
        <v>6</v>
      </c>
    </row>
    <row r="52" spans="1:6" x14ac:dyDescent="0.35">
      <c r="A52" s="6" t="s">
        <v>260</v>
      </c>
      <c r="B52" s="6" t="s">
        <v>261</v>
      </c>
      <c r="C52" s="6" t="s">
        <v>246</v>
      </c>
      <c r="D52" s="6">
        <v>656981</v>
      </c>
      <c r="E52" s="6">
        <v>7682</v>
      </c>
      <c r="F52" s="6" t="s">
        <v>6</v>
      </c>
    </row>
    <row r="53" spans="1:6" x14ac:dyDescent="0.35">
      <c r="A53" s="6" t="s">
        <v>260</v>
      </c>
      <c r="B53" s="6" t="s">
        <v>261</v>
      </c>
      <c r="C53" s="6" t="s">
        <v>24</v>
      </c>
      <c r="D53" s="6">
        <v>784870</v>
      </c>
      <c r="E53" s="6">
        <v>10875</v>
      </c>
      <c r="F53" s="6" t="s">
        <v>6</v>
      </c>
    </row>
    <row r="54" spans="1:6" x14ac:dyDescent="0.35">
      <c r="A54" s="6" t="s">
        <v>260</v>
      </c>
      <c r="B54" s="6" t="s">
        <v>261</v>
      </c>
      <c r="C54" s="6" t="s">
        <v>25</v>
      </c>
      <c r="D54" s="6">
        <v>1180619</v>
      </c>
      <c r="E54" s="6">
        <v>14685</v>
      </c>
      <c r="F54" s="6" t="s">
        <v>6</v>
      </c>
    </row>
    <row r="55" spans="1:6" x14ac:dyDescent="0.35">
      <c r="A55" s="6" t="s">
        <v>260</v>
      </c>
      <c r="B55" s="6" t="s">
        <v>261</v>
      </c>
      <c r="C55" s="6" t="s">
        <v>26</v>
      </c>
      <c r="D55" s="6">
        <v>1145402</v>
      </c>
      <c r="E55" s="6">
        <v>13127</v>
      </c>
      <c r="F55" s="6" t="s">
        <v>6</v>
      </c>
    </row>
    <row r="56" spans="1:6" x14ac:dyDescent="0.35">
      <c r="A56" s="6" t="s">
        <v>260</v>
      </c>
      <c r="B56" s="6" t="s">
        <v>261</v>
      </c>
      <c r="C56" s="6" t="s">
        <v>27</v>
      </c>
      <c r="D56" s="6">
        <v>1153355</v>
      </c>
      <c r="E56" s="6">
        <v>13290</v>
      </c>
      <c r="F56" s="6" t="s">
        <v>6</v>
      </c>
    </row>
    <row r="57" spans="1:6" x14ac:dyDescent="0.35">
      <c r="A57" s="6" t="s">
        <v>260</v>
      </c>
      <c r="B57" s="6" t="s">
        <v>261</v>
      </c>
      <c r="C57" s="6" t="s">
        <v>28</v>
      </c>
      <c r="D57" s="6">
        <v>1131866</v>
      </c>
      <c r="E57" s="6">
        <v>12949</v>
      </c>
      <c r="F57" s="6" t="s">
        <v>6</v>
      </c>
    </row>
    <row r="58" spans="1:6" x14ac:dyDescent="0.35">
      <c r="A58" s="6" t="s">
        <v>260</v>
      </c>
      <c r="B58" s="6" t="s">
        <v>261</v>
      </c>
      <c r="C58" s="6" t="s">
        <v>29</v>
      </c>
      <c r="D58" s="6">
        <v>1145743</v>
      </c>
      <c r="E58" s="6">
        <v>13556</v>
      </c>
      <c r="F58" s="6" t="s">
        <v>6</v>
      </c>
    </row>
    <row r="59" spans="1:6" x14ac:dyDescent="0.35">
      <c r="A59" s="6" t="s">
        <v>260</v>
      </c>
      <c r="B59" s="6" t="s">
        <v>261</v>
      </c>
      <c r="C59" s="6" t="s">
        <v>30</v>
      </c>
      <c r="D59" s="6">
        <v>1130748</v>
      </c>
      <c r="E59" s="6">
        <v>13354</v>
      </c>
      <c r="F59" s="6" t="s">
        <v>6</v>
      </c>
    </row>
    <row r="60" spans="1:6" x14ac:dyDescent="0.35">
      <c r="A60" s="6" t="s">
        <v>260</v>
      </c>
      <c r="B60" s="6" t="s">
        <v>261</v>
      </c>
      <c r="C60" s="6" t="s">
        <v>31</v>
      </c>
      <c r="D60" s="6">
        <v>1112517</v>
      </c>
      <c r="E60" s="6">
        <v>12783</v>
      </c>
      <c r="F60" s="6" t="s">
        <v>6</v>
      </c>
    </row>
    <row r="61" spans="1:6" x14ac:dyDescent="0.35">
      <c r="A61" s="6" t="s">
        <v>260</v>
      </c>
      <c r="B61" s="6" t="s">
        <v>261</v>
      </c>
      <c r="C61" s="6" t="s">
        <v>32</v>
      </c>
      <c r="D61" s="6">
        <v>1108165</v>
      </c>
      <c r="E61" s="6">
        <v>13496</v>
      </c>
      <c r="F61" s="6" t="s">
        <v>6</v>
      </c>
    </row>
    <row r="62" spans="1:6" x14ac:dyDescent="0.35">
      <c r="A62" s="6" t="s">
        <v>260</v>
      </c>
      <c r="B62" s="6" t="s">
        <v>261</v>
      </c>
      <c r="C62" s="6" t="s">
        <v>33</v>
      </c>
      <c r="D62" s="6">
        <v>1086171</v>
      </c>
      <c r="E62" s="6">
        <v>12669</v>
      </c>
      <c r="F62" s="6" t="s">
        <v>6</v>
      </c>
    </row>
    <row r="63" spans="1:6" x14ac:dyDescent="0.35">
      <c r="A63" s="6" t="s">
        <v>260</v>
      </c>
      <c r="B63" s="6" t="s">
        <v>261</v>
      </c>
      <c r="C63" s="6" t="s">
        <v>34</v>
      </c>
      <c r="D63" s="6">
        <v>1049611</v>
      </c>
      <c r="E63" s="6">
        <v>12918</v>
      </c>
      <c r="F63" s="6" t="s">
        <v>6</v>
      </c>
    </row>
    <row r="64" spans="1:6" x14ac:dyDescent="0.35">
      <c r="A64" s="6" t="s">
        <v>260</v>
      </c>
      <c r="B64" s="6" t="s">
        <v>261</v>
      </c>
      <c r="C64" s="6" t="s">
        <v>35</v>
      </c>
      <c r="D64" s="6">
        <v>1101430</v>
      </c>
      <c r="E64" s="6">
        <v>15305</v>
      </c>
      <c r="F64" s="6" t="s">
        <v>6</v>
      </c>
    </row>
    <row r="65" spans="1:6" x14ac:dyDescent="0.35">
      <c r="A65" s="6" t="s">
        <v>260</v>
      </c>
      <c r="B65" s="6" t="s">
        <v>261</v>
      </c>
      <c r="C65" s="6" t="s">
        <v>36</v>
      </c>
      <c r="D65" s="6">
        <v>1034125</v>
      </c>
      <c r="E65" s="6">
        <v>13999</v>
      </c>
      <c r="F65" s="6" t="s">
        <v>6</v>
      </c>
    </row>
    <row r="66" spans="1:6" x14ac:dyDescent="0.35">
      <c r="A66" s="6" t="s">
        <v>260</v>
      </c>
      <c r="B66" s="6" t="s">
        <v>261</v>
      </c>
      <c r="C66" s="6" t="s">
        <v>37</v>
      </c>
      <c r="D66" s="6">
        <v>998574</v>
      </c>
      <c r="E66" s="6">
        <v>13408</v>
      </c>
      <c r="F66" s="6" t="s">
        <v>6</v>
      </c>
    </row>
    <row r="67" spans="1:6" x14ac:dyDescent="0.35">
      <c r="A67" s="6" t="s">
        <v>260</v>
      </c>
      <c r="B67" s="6" t="s">
        <v>261</v>
      </c>
      <c r="C67" s="6" t="s">
        <v>38</v>
      </c>
      <c r="D67" s="6">
        <v>1002820</v>
      </c>
      <c r="E67" s="6">
        <v>13991</v>
      </c>
      <c r="F67" s="6" t="s">
        <v>6</v>
      </c>
    </row>
    <row r="68" spans="1:6" x14ac:dyDescent="0.35">
      <c r="A68" s="6" t="s">
        <v>260</v>
      </c>
      <c r="B68" s="6" t="s">
        <v>261</v>
      </c>
      <c r="C68" s="6" t="s">
        <v>39</v>
      </c>
      <c r="D68" s="6">
        <v>1000113</v>
      </c>
      <c r="E68" s="6">
        <v>13345</v>
      </c>
      <c r="F68" s="6" t="s">
        <v>6</v>
      </c>
    </row>
    <row r="69" spans="1:6" x14ac:dyDescent="0.35">
      <c r="A69" s="6" t="s">
        <v>260</v>
      </c>
      <c r="B69" s="6" t="s">
        <v>261</v>
      </c>
      <c r="C69" s="6" t="s">
        <v>40</v>
      </c>
      <c r="D69" s="6">
        <v>1002679</v>
      </c>
      <c r="E69" s="6">
        <v>13700</v>
      </c>
      <c r="F69" s="6" t="s">
        <v>6</v>
      </c>
    </row>
    <row r="70" spans="1:6" x14ac:dyDescent="0.35">
      <c r="A70" s="6" t="s">
        <v>260</v>
      </c>
      <c r="B70" s="6" t="s">
        <v>261</v>
      </c>
      <c r="C70" s="6" t="s">
        <v>41</v>
      </c>
      <c r="D70" s="6">
        <v>968149</v>
      </c>
      <c r="E70" s="6">
        <v>13145</v>
      </c>
      <c r="F70" s="6" t="s">
        <v>6</v>
      </c>
    </row>
    <row r="71" spans="1:6" x14ac:dyDescent="0.35">
      <c r="A71" s="6" t="s">
        <v>260</v>
      </c>
      <c r="B71" s="6" t="s">
        <v>261</v>
      </c>
      <c r="C71" s="6" t="s">
        <v>42</v>
      </c>
      <c r="D71" s="6">
        <v>996840</v>
      </c>
      <c r="E71" s="6">
        <v>13571</v>
      </c>
      <c r="F71" s="6" t="s">
        <v>6</v>
      </c>
    </row>
    <row r="72" spans="1:6" x14ac:dyDescent="0.35">
      <c r="A72" s="6" t="s">
        <v>260</v>
      </c>
      <c r="B72" s="6" t="s">
        <v>261</v>
      </c>
      <c r="C72" s="6" t="s">
        <v>43</v>
      </c>
      <c r="D72" s="6">
        <v>1042845</v>
      </c>
      <c r="E72" s="6">
        <v>14040</v>
      </c>
      <c r="F72" s="6" t="s">
        <v>6</v>
      </c>
    </row>
    <row r="73" spans="1:6" x14ac:dyDescent="0.35">
      <c r="A73" s="6" t="s">
        <v>260</v>
      </c>
      <c r="B73" s="6" t="s">
        <v>261</v>
      </c>
      <c r="C73" s="6" t="s">
        <v>44</v>
      </c>
      <c r="D73" s="6">
        <v>1044144</v>
      </c>
      <c r="E73" s="6">
        <v>14591</v>
      </c>
      <c r="F73" s="6" t="s">
        <v>6</v>
      </c>
    </row>
    <row r="74" spans="1:6" x14ac:dyDescent="0.35">
      <c r="A74" s="6" t="s">
        <v>260</v>
      </c>
      <c r="B74" s="6" t="s">
        <v>261</v>
      </c>
      <c r="C74" s="6" t="s">
        <v>45</v>
      </c>
      <c r="D74" s="6">
        <v>1050187</v>
      </c>
      <c r="E74" s="6">
        <v>14032</v>
      </c>
      <c r="F74" s="6" t="s">
        <v>6</v>
      </c>
    </row>
    <row r="75" spans="1:6" x14ac:dyDescent="0.35">
      <c r="A75" s="6" t="s">
        <v>260</v>
      </c>
      <c r="B75" s="6" t="s">
        <v>261</v>
      </c>
      <c r="C75" s="6" t="s">
        <v>46</v>
      </c>
      <c r="D75" s="6">
        <v>939517</v>
      </c>
      <c r="E75" s="6">
        <v>12686</v>
      </c>
      <c r="F75" s="6" t="s">
        <v>6</v>
      </c>
    </row>
    <row r="76" spans="1:6" x14ac:dyDescent="0.35">
      <c r="A76" s="6" t="s">
        <v>260</v>
      </c>
      <c r="B76" s="6" t="s">
        <v>261</v>
      </c>
      <c r="C76" s="6" t="s">
        <v>47</v>
      </c>
      <c r="D76" s="6">
        <v>926717</v>
      </c>
      <c r="E76" s="6">
        <v>12847</v>
      </c>
      <c r="F76" s="6" t="s">
        <v>6</v>
      </c>
    </row>
    <row r="77" spans="1:6" x14ac:dyDescent="0.35">
      <c r="A77" s="6" t="s">
        <v>260</v>
      </c>
      <c r="B77" s="6" t="s">
        <v>261</v>
      </c>
      <c r="C77" s="6" t="s">
        <v>48</v>
      </c>
      <c r="D77" s="6">
        <v>882916</v>
      </c>
      <c r="E77" s="6">
        <v>12290</v>
      </c>
      <c r="F77" s="6" t="s">
        <v>6</v>
      </c>
    </row>
    <row r="78" spans="1:6" x14ac:dyDescent="0.35">
      <c r="A78" s="6" t="s">
        <v>260</v>
      </c>
      <c r="B78" s="6" t="s">
        <v>261</v>
      </c>
      <c r="C78" s="6" t="s">
        <v>49</v>
      </c>
      <c r="D78" s="6">
        <v>816275</v>
      </c>
      <c r="E78" s="6">
        <v>10492</v>
      </c>
      <c r="F78" s="6" t="s">
        <v>6</v>
      </c>
    </row>
    <row r="79" spans="1:6" x14ac:dyDescent="0.35">
      <c r="A79" s="6" t="s">
        <v>260</v>
      </c>
      <c r="B79" s="6" t="s">
        <v>261</v>
      </c>
      <c r="C79" s="6" t="s">
        <v>50</v>
      </c>
      <c r="D79" s="6">
        <v>819714</v>
      </c>
      <c r="E79" s="6">
        <v>10736</v>
      </c>
      <c r="F79" s="6" t="s">
        <v>6</v>
      </c>
    </row>
    <row r="80" spans="1:6" x14ac:dyDescent="0.35">
      <c r="A80" s="6" t="s">
        <v>260</v>
      </c>
      <c r="B80" s="6" t="s">
        <v>261</v>
      </c>
      <c r="C80" s="6" t="s">
        <v>51</v>
      </c>
      <c r="D80" s="6">
        <v>1039273</v>
      </c>
      <c r="E80" s="6">
        <v>13975</v>
      </c>
      <c r="F80" s="6" t="s">
        <v>6</v>
      </c>
    </row>
    <row r="81" spans="1:6" x14ac:dyDescent="0.35">
      <c r="A81" s="6" t="s">
        <v>260</v>
      </c>
      <c r="B81" s="6" t="s">
        <v>261</v>
      </c>
      <c r="C81" s="6" t="s">
        <v>52</v>
      </c>
      <c r="D81" s="6">
        <v>1017142</v>
      </c>
      <c r="E81" s="6">
        <v>13266</v>
      </c>
      <c r="F81" s="6" t="s">
        <v>6</v>
      </c>
    </row>
    <row r="82" spans="1:6" x14ac:dyDescent="0.35">
      <c r="A82" s="6" t="s">
        <v>260</v>
      </c>
      <c r="B82" s="6" t="s">
        <v>261</v>
      </c>
      <c r="C82" s="6" t="s">
        <v>53</v>
      </c>
      <c r="D82" s="6">
        <v>1013278</v>
      </c>
      <c r="E82" s="6">
        <v>13089</v>
      </c>
      <c r="F82" s="6" t="s">
        <v>6</v>
      </c>
    </row>
    <row r="83" spans="1:6" x14ac:dyDescent="0.35">
      <c r="A83" s="6" t="s">
        <v>260</v>
      </c>
      <c r="B83" s="6" t="s">
        <v>261</v>
      </c>
      <c r="C83" s="6" t="s">
        <v>54</v>
      </c>
      <c r="D83" s="6">
        <v>944018</v>
      </c>
      <c r="E83" s="6">
        <v>11754</v>
      </c>
      <c r="F83" s="6" t="s">
        <v>6</v>
      </c>
    </row>
    <row r="84" spans="1:6" x14ac:dyDescent="0.35">
      <c r="A84" s="6" t="s">
        <v>260</v>
      </c>
      <c r="B84" s="6" t="s">
        <v>261</v>
      </c>
      <c r="C84" s="6" t="s">
        <v>55</v>
      </c>
      <c r="D84" s="6">
        <v>915132</v>
      </c>
      <c r="E84" s="6">
        <v>11651</v>
      </c>
      <c r="F84" s="6" t="s">
        <v>6</v>
      </c>
    </row>
    <row r="85" spans="1:6" x14ac:dyDescent="0.35">
      <c r="A85" s="6" t="s">
        <v>260</v>
      </c>
      <c r="B85" s="6" t="s">
        <v>261</v>
      </c>
      <c r="C85" s="6" t="s">
        <v>56</v>
      </c>
      <c r="D85" s="6">
        <v>866501</v>
      </c>
      <c r="E85" s="6">
        <v>10794</v>
      </c>
      <c r="F85" s="6" t="s">
        <v>6</v>
      </c>
    </row>
    <row r="86" spans="1:6" x14ac:dyDescent="0.35">
      <c r="A86" s="6" t="s">
        <v>260</v>
      </c>
      <c r="B86" s="6" t="s">
        <v>261</v>
      </c>
      <c r="C86" s="6" t="s">
        <v>57</v>
      </c>
      <c r="D86" s="6">
        <v>848969</v>
      </c>
      <c r="E86" s="6">
        <v>10974</v>
      </c>
      <c r="F86" s="6" t="s">
        <v>6</v>
      </c>
    </row>
    <row r="87" spans="1:6" x14ac:dyDescent="0.35">
      <c r="A87" s="6" t="s">
        <v>260</v>
      </c>
      <c r="B87" s="6" t="s">
        <v>261</v>
      </c>
      <c r="C87" s="6" t="s">
        <v>58</v>
      </c>
      <c r="D87" s="6">
        <v>842982</v>
      </c>
      <c r="E87" s="6">
        <v>10862</v>
      </c>
      <c r="F87" s="6" t="s">
        <v>6</v>
      </c>
    </row>
    <row r="88" spans="1:6" x14ac:dyDescent="0.35">
      <c r="A88" s="6" t="s">
        <v>260</v>
      </c>
      <c r="B88" s="6" t="s">
        <v>261</v>
      </c>
      <c r="C88" s="6" t="s">
        <v>59</v>
      </c>
      <c r="D88" s="6">
        <v>874473</v>
      </c>
      <c r="E88" s="6">
        <v>11108</v>
      </c>
      <c r="F88" s="6" t="s">
        <v>6</v>
      </c>
    </row>
    <row r="89" spans="1:6" x14ac:dyDescent="0.35">
      <c r="A89" s="6" t="s">
        <v>260</v>
      </c>
      <c r="B89" s="6" t="s">
        <v>261</v>
      </c>
      <c r="C89" s="6" t="s">
        <v>60</v>
      </c>
      <c r="D89" s="6">
        <v>872270</v>
      </c>
      <c r="E89" s="6">
        <v>11032</v>
      </c>
      <c r="F89" s="6" t="s">
        <v>6</v>
      </c>
    </row>
    <row r="90" spans="1:6" x14ac:dyDescent="0.35">
      <c r="A90" s="6" t="s">
        <v>260</v>
      </c>
      <c r="B90" s="6" t="s">
        <v>261</v>
      </c>
      <c r="C90" s="6" t="s">
        <v>61</v>
      </c>
      <c r="D90" s="6">
        <v>875631</v>
      </c>
      <c r="E90" s="6">
        <v>11040</v>
      </c>
      <c r="F90" s="6" t="s">
        <v>6</v>
      </c>
    </row>
    <row r="91" spans="1:6" x14ac:dyDescent="0.35">
      <c r="A91" s="6" t="s">
        <v>260</v>
      </c>
      <c r="B91" s="6" t="s">
        <v>261</v>
      </c>
      <c r="C91" s="6" t="s">
        <v>62</v>
      </c>
      <c r="D91" s="6">
        <v>880557</v>
      </c>
      <c r="E91" s="6">
        <v>11289</v>
      </c>
      <c r="F91" s="6" t="s">
        <v>6</v>
      </c>
    </row>
    <row r="92" spans="1:6" x14ac:dyDescent="0.35">
      <c r="A92" s="6" t="s">
        <v>260</v>
      </c>
      <c r="B92" s="6" t="s">
        <v>261</v>
      </c>
      <c r="C92" s="6" t="s">
        <v>63</v>
      </c>
      <c r="D92" s="6">
        <v>870953</v>
      </c>
      <c r="E92" s="6">
        <v>11192</v>
      </c>
      <c r="F92" s="6" t="s">
        <v>6</v>
      </c>
    </row>
    <row r="93" spans="1:6" x14ac:dyDescent="0.35">
      <c r="A93" s="6" t="s">
        <v>260</v>
      </c>
      <c r="B93" s="6" t="s">
        <v>261</v>
      </c>
      <c r="C93" s="6" t="s">
        <v>64</v>
      </c>
      <c r="D93" s="6">
        <v>901743</v>
      </c>
      <c r="E93" s="6">
        <v>11105</v>
      </c>
      <c r="F93" s="6" t="s">
        <v>6</v>
      </c>
    </row>
    <row r="94" spans="1:6" x14ac:dyDescent="0.35">
      <c r="A94" s="6" t="s">
        <v>260</v>
      </c>
      <c r="B94" s="6" t="s">
        <v>261</v>
      </c>
      <c r="C94" s="6" t="s">
        <v>65</v>
      </c>
      <c r="D94" s="6">
        <v>910914</v>
      </c>
      <c r="E94" s="6">
        <v>10889</v>
      </c>
      <c r="F94" s="6" t="s">
        <v>6</v>
      </c>
    </row>
    <row r="95" spans="1:6" x14ac:dyDescent="0.35">
      <c r="A95" s="6" t="s">
        <v>260</v>
      </c>
      <c r="B95" s="6" t="s">
        <v>261</v>
      </c>
      <c r="C95" s="6" t="s">
        <v>66</v>
      </c>
      <c r="D95" s="6">
        <v>929511</v>
      </c>
      <c r="E95" s="6">
        <v>10992</v>
      </c>
      <c r="F95" s="6" t="s">
        <v>6</v>
      </c>
    </row>
    <row r="96" spans="1:6" x14ac:dyDescent="0.35">
      <c r="A96" s="6" t="s">
        <v>260</v>
      </c>
      <c r="B96" s="6" t="s">
        <v>261</v>
      </c>
      <c r="C96" s="6" t="s">
        <v>67</v>
      </c>
      <c r="D96" s="6">
        <v>936630</v>
      </c>
      <c r="E96" s="6">
        <v>11081</v>
      </c>
      <c r="F96" s="6" t="s">
        <v>6</v>
      </c>
    </row>
    <row r="97" spans="1:6" x14ac:dyDescent="0.35">
      <c r="A97" s="6" t="s">
        <v>260</v>
      </c>
      <c r="B97" s="6" t="s">
        <v>261</v>
      </c>
      <c r="C97" s="6" t="s">
        <v>68</v>
      </c>
      <c r="D97" s="6">
        <v>959077</v>
      </c>
      <c r="E97" s="6">
        <v>11184</v>
      </c>
      <c r="F97" s="6" t="s">
        <v>6</v>
      </c>
    </row>
    <row r="98" spans="1:6" x14ac:dyDescent="0.35">
      <c r="A98" s="6" t="s">
        <v>260</v>
      </c>
      <c r="B98" s="6" t="s">
        <v>261</v>
      </c>
      <c r="C98" s="6" t="s">
        <v>69</v>
      </c>
      <c r="D98" s="6">
        <v>1013718</v>
      </c>
      <c r="E98" s="6">
        <v>11772</v>
      </c>
      <c r="F98" s="6" t="s">
        <v>6</v>
      </c>
    </row>
    <row r="99" spans="1:6" x14ac:dyDescent="0.35">
      <c r="A99" s="6" t="s">
        <v>260</v>
      </c>
      <c r="B99" s="6" t="s">
        <v>261</v>
      </c>
      <c r="C99" s="6" t="s">
        <v>70</v>
      </c>
      <c r="D99" s="6">
        <v>987916</v>
      </c>
      <c r="E99" s="6">
        <v>11121</v>
      </c>
      <c r="F99" s="6" t="s">
        <v>6</v>
      </c>
    </row>
    <row r="100" spans="1:6" x14ac:dyDescent="0.35">
      <c r="A100" s="6" t="s">
        <v>260</v>
      </c>
      <c r="B100" s="6" t="s">
        <v>261</v>
      </c>
      <c r="C100" s="6" t="s">
        <v>71</v>
      </c>
      <c r="D100" s="6">
        <v>977156</v>
      </c>
      <c r="E100" s="6">
        <v>10880</v>
      </c>
      <c r="F100" s="6" t="s">
        <v>6</v>
      </c>
    </row>
    <row r="101" spans="1:6" x14ac:dyDescent="0.35">
      <c r="A101" s="6" t="s">
        <v>260</v>
      </c>
      <c r="B101" s="6" t="s">
        <v>261</v>
      </c>
      <c r="C101" s="6" t="s">
        <v>72</v>
      </c>
      <c r="D101" s="6">
        <v>944972</v>
      </c>
      <c r="E101" s="6">
        <v>10418</v>
      </c>
      <c r="F101" s="6" t="s">
        <v>6</v>
      </c>
    </row>
    <row r="102" spans="1:6" x14ac:dyDescent="0.35">
      <c r="A102" s="6" t="s">
        <v>260</v>
      </c>
      <c r="B102" s="6" t="s">
        <v>261</v>
      </c>
      <c r="C102" s="6" t="s">
        <v>73</v>
      </c>
      <c r="D102" s="6">
        <v>926265</v>
      </c>
      <c r="E102" s="6">
        <v>9930</v>
      </c>
      <c r="F102" s="6" t="s">
        <v>6</v>
      </c>
    </row>
    <row r="103" spans="1:6" x14ac:dyDescent="0.35">
      <c r="A103" s="6" t="s">
        <v>260</v>
      </c>
      <c r="B103" s="6" t="s">
        <v>261</v>
      </c>
      <c r="C103" s="6" t="s">
        <v>74</v>
      </c>
      <c r="D103" s="6">
        <v>927127</v>
      </c>
      <c r="E103" s="6">
        <v>10051</v>
      </c>
      <c r="F103" s="6" t="s">
        <v>6</v>
      </c>
    </row>
    <row r="104" spans="1:6" x14ac:dyDescent="0.35">
      <c r="A104" s="6" t="s">
        <v>260</v>
      </c>
      <c r="B104" s="6" t="s">
        <v>261</v>
      </c>
      <c r="C104" s="6" t="s">
        <v>75</v>
      </c>
      <c r="D104" s="6">
        <v>896945</v>
      </c>
      <c r="E104" s="6">
        <v>9166</v>
      </c>
      <c r="F104" s="6" t="s">
        <v>6</v>
      </c>
    </row>
    <row r="105" spans="1:6" x14ac:dyDescent="0.35">
      <c r="A105" s="6" t="s">
        <v>260</v>
      </c>
      <c r="B105" s="6" t="s">
        <v>261</v>
      </c>
      <c r="C105" s="6" t="s">
        <v>76</v>
      </c>
      <c r="D105" s="6">
        <v>900905</v>
      </c>
      <c r="E105" s="6">
        <v>9217</v>
      </c>
      <c r="F105" s="6" t="s">
        <v>6</v>
      </c>
    </row>
    <row r="106" spans="1:6" x14ac:dyDescent="0.35">
      <c r="A106" s="6" t="s">
        <v>260</v>
      </c>
      <c r="B106" s="6" t="s">
        <v>261</v>
      </c>
      <c r="C106" s="6" t="s">
        <v>77</v>
      </c>
      <c r="D106" s="6">
        <v>884330</v>
      </c>
      <c r="E106" s="6">
        <v>8037</v>
      </c>
      <c r="F106" s="6" t="s">
        <v>6</v>
      </c>
    </row>
    <row r="107" spans="1:6" x14ac:dyDescent="0.35">
      <c r="A107" s="6" t="s">
        <v>260</v>
      </c>
      <c r="B107" s="6" t="s">
        <v>261</v>
      </c>
      <c r="C107" s="6" t="s">
        <v>78</v>
      </c>
      <c r="D107" s="6">
        <v>869120</v>
      </c>
      <c r="E107" s="6">
        <v>8423</v>
      </c>
      <c r="F107" s="6" t="s">
        <v>6</v>
      </c>
    </row>
    <row r="108" spans="1:6" x14ac:dyDescent="0.35">
      <c r="A108" s="6" t="s">
        <v>260</v>
      </c>
      <c r="B108" s="6" t="s">
        <v>261</v>
      </c>
      <c r="C108" s="6" t="s">
        <v>79</v>
      </c>
      <c r="D108" s="6">
        <v>862918</v>
      </c>
      <c r="E108" s="6">
        <v>8205</v>
      </c>
      <c r="F108" s="6" t="s">
        <v>6</v>
      </c>
    </row>
    <row r="109" spans="1:6" x14ac:dyDescent="0.35">
      <c r="A109" s="6" t="s">
        <v>260</v>
      </c>
      <c r="B109" s="6" t="s">
        <v>261</v>
      </c>
      <c r="C109" s="6" t="s">
        <v>80</v>
      </c>
      <c r="D109" s="6">
        <v>820970</v>
      </c>
      <c r="E109" s="6">
        <v>7982</v>
      </c>
      <c r="F109" s="6" t="s">
        <v>6</v>
      </c>
    </row>
    <row r="110" spans="1:6" x14ac:dyDescent="0.35">
      <c r="A110" s="6" t="s">
        <v>260</v>
      </c>
      <c r="B110" s="6" t="s">
        <v>261</v>
      </c>
      <c r="C110" s="6" t="s">
        <v>81</v>
      </c>
      <c r="D110" s="6">
        <v>775106</v>
      </c>
      <c r="E110" s="6">
        <v>7328</v>
      </c>
      <c r="F110" s="6" t="s">
        <v>6</v>
      </c>
    </row>
    <row r="111" spans="1:6" x14ac:dyDescent="0.35">
      <c r="A111" s="6" t="s">
        <v>260</v>
      </c>
      <c r="B111" s="6" t="s">
        <v>261</v>
      </c>
      <c r="C111" s="6" t="s">
        <v>82</v>
      </c>
      <c r="D111" s="6">
        <v>734483</v>
      </c>
      <c r="E111" s="6">
        <v>6806</v>
      </c>
      <c r="F111" s="6" t="s">
        <v>6</v>
      </c>
    </row>
    <row r="112" spans="1:6" x14ac:dyDescent="0.35">
      <c r="A112" s="6" t="s">
        <v>260</v>
      </c>
      <c r="B112" s="6" t="s">
        <v>261</v>
      </c>
      <c r="C112" s="6" t="s">
        <v>83</v>
      </c>
      <c r="D112" s="6">
        <v>702404</v>
      </c>
      <c r="E112" s="6">
        <v>6447</v>
      </c>
      <c r="F112" s="6" t="s">
        <v>6</v>
      </c>
    </row>
    <row r="113" spans="1:6" x14ac:dyDescent="0.35">
      <c r="A113" s="6" t="s">
        <v>260</v>
      </c>
      <c r="B113" s="6" t="s">
        <v>261</v>
      </c>
      <c r="C113" s="6" t="s">
        <v>84</v>
      </c>
      <c r="D113" s="6">
        <v>664190</v>
      </c>
      <c r="E113" s="6">
        <v>5823</v>
      </c>
      <c r="F113" s="6" t="s">
        <v>6</v>
      </c>
    </row>
    <row r="114" spans="1:6" x14ac:dyDescent="0.35">
      <c r="A114" s="6" t="s">
        <v>260</v>
      </c>
      <c r="B114" s="6" t="s">
        <v>261</v>
      </c>
      <c r="C114" s="6" t="s">
        <v>85</v>
      </c>
      <c r="D114" s="6">
        <v>633966</v>
      </c>
      <c r="E114" s="6">
        <v>5797</v>
      </c>
      <c r="F114" s="6" t="s">
        <v>6</v>
      </c>
    </row>
    <row r="115" spans="1:6" x14ac:dyDescent="0.35">
      <c r="A115" s="6" t="s">
        <v>260</v>
      </c>
      <c r="B115" s="6" t="s">
        <v>261</v>
      </c>
      <c r="C115" s="6" t="s">
        <v>86</v>
      </c>
      <c r="D115" s="6">
        <v>616080</v>
      </c>
      <c r="E115" s="6">
        <v>5777</v>
      </c>
      <c r="F115" s="6" t="s">
        <v>6</v>
      </c>
    </row>
    <row r="116" spans="1:6" x14ac:dyDescent="0.35">
      <c r="A116" s="6" t="s">
        <v>260</v>
      </c>
      <c r="B116" s="6" t="s">
        <v>261</v>
      </c>
      <c r="C116" s="6" t="s">
        <v>87</v>
      </c>
      <c r="D116" s="6">
        <v>612274</v>
      </c>
      <c r="E116" s="6">
        <v>5670</v>
      </c>
      <c r="F116" s="6" t="s">
        <v>6</v>
      </c>
    </row>
    <row r="117" spans="1:6" x14ac:dyDescent="0.35">
      <c r="A117" s="6" t="s">
        <v>260</v>
      </c>
      <c r="B117" s="6" t="s">
        <v>261</v>
      </c>
      <c r="C117" s="6" t="s">
        <v>88</v>
      </c>
      <c r="D117" s="6">
        <v>594726</v>
      </c>
      <c r="E117" s="6">
        <v>5657</v>
      </c>
      <c r="F117" s="6" t="s">
        <v>6</v>
      </c>
    </row>
    <row r="118" spans="1:6" x14ac:dyDescent="0.35">
      <c r="A118" s="6" t="s">
        <v>260</v>
      </c>
      <c r="B118" s="6" t="s">
        <v>261</v>
      </c>
      <c r="C118" s="6" t="s">
        <v>89</v>
      </c>
      <c r="D118" s="6">
        <v>580885</v>
      </c>
      <c r="E118" s="6">
        <v>5451</v>
      </c>
      <c r="F118" s="6" t="s">
        <v>6</v>
      </c>
    </row>
    <row r="119" spans="1:6" x14ac:dyDescent="0.35">
      <c r="A119" s="6" t="s">
        <v>260</v>
      </c>
      <c r="B119" s="6" t="s">
        <v>261</v>
      </c>
      <c r="C119" s="6" t="s">
        <v>90</v>
      </c>
      <c r="D119" s="6">
        <v>570352</v>
      </c>
      <c r="E119" s="6">
        <v>5300</v>
      </c>
      <c r="F119" s="6" t="s">
        <v>6</v>
      </c>
    </row>
    <row r="120" spans="1:6" x14ac:dyDescent="0.35">
      <c r="A120" s="6" t="s">
        <v>260</v>
      </c>
      <c r="B120" s="6" t="s">
        <v>261</v>
      </c>
      <c r="C120" s="6" t="s">
        <v>91</v>
      </c>
      <c r="D120" s="6">
        <v>548227</v>
      </c>
      <c r="E120" s="6">
        <v>5243</v>
      </c>
      <c r="F120" s="6" t="s">
        <v>6</v>
      </c>
    </row>
    <row r="121" spans="1:6" x14ac:dyDescent="0.35">
      <c r="A121" s="6" t="s">
        <v>260</v>
      </c>
      <c r="B121" s="6" t="s">
        <v>261</v>
      </c>
      <c r="C121" s="6" t="s">
        <v>92</v>
      </c>
      <c r="D121" s="6">
        <v>544196</v>
      </c>
      <c r="E121" s="6">
        <v>5246</v>
      </c>
      <c r="F121" s="6" t="s">
        <v>6</v>
      </c>
    </row>
    <row r="122" spans="1:6" x14ac:dyDescent="0.35">
      <c r="A122" s="6" t="s">
        <v>260</v>
      </c>
      <c r="B122" s="6" t="s">
        <v>261</v>
      </c>
      <c r="C122" s="6" t="s">
        <v>93</v>
      </c>
      <c r="D122" s="6">
        <v>561565</v>
      </c>
      <c r="E122" s="6">
        <v>5601</v>
      </c>
      <c r="F122" s="6" t="s">
        <v>6</v>
      </c>
    </row>
    <row r="123" spans="1:6" x14ac:dyDescent="0.35">
      <c r="A123" s="6" t="s">
        <v>260</v>
      </c>
      <c r="B123" s="6" t="s">
        <v>261</v>
      </c>
      <c r="C123" s="6" t="s">
        <v>94</v>
      </c>
      <c r="D123" s="6">
        <v>552022</v>
      </c>
      <c r="E123" s="6">
        <v>5675</v>
      </c>
      <c r="F123" s="6" t="s">
        <v>6</v>
      </c>
    </row>
    <row r="124" spans="1:6" x14ac:dyDescent="0.35">
      <c r="A124" s="6" t="s">
        <v>260</v>
      </c>
      <c r="B124" s="6" t="s">
        <v>261</v>
      </c>
      <c r="C124" s="6" t="s">
        <v>95</v>
      </c>
      <c r="D124" s="6">
        <v>560780</v>
      </c>
      <c r="E124" s="6">
        <v>5467</v>
      </c>
      <c r="F124" s="6" t="s">
        <v>6</v>
      </c>
    </row>
    <row r="125" spans="1:6" x14ac:dyDescent="0.35">
      <c r="A125" s="6" t="s">
        <v>260</v>
      </c>
      <c r="B125" s="6" t="s">
        <v>261</v>
      </c>
      <c r="C125" s="6" t="s">
        <v>96</v>
      </c>
      <c r="D125" s="6">
        <v>553597</v>
      </c>
      <c r="E125" s="6">
        <v>5809</v>
      </c>
      <c r="F125" s="6" t="s">
        <v>6</v>
      </c>
    </row>
    <row r="126" spans="1:6" x14ac:dyDescent="0.35">
      <c r="A126" s="6" t="s">
        <v>260</v>
      </c>
      <c r="B126" s="6" t="s">
        <v>261</v>
      </c>
      <c r="C126" s="6" t="s">
        <v>97</v>
      </c>
      <c r="D126" s="6">
        <v>558570</v>
      </c>
      <c r="E126" s="6">
        <v>5686</v>
      </c>
      <c r="F126" s="6" t="s">
        <v>6</v>
      </c>
    </row>
    <row r="127" spans="1:6" x14ac:dyDescent="0.35">
      <c r="A127" s="6" t="s">
        <v>260</v>
      </c>
      <c r="B127" s="6" t="s">
        <v>261</v>
      </c>
      <c r="C127" s="6" t="s">
        <v>98</v>
      </c>
      <c r="D127" s="6">
        <v>539932</v>
      </c>
      <c r="E127" s="6">
        <v>5741</v>
      </c>
      <c r="F127" s="6" t="s">
        <v>6</v>
      </c>
    </row>
    <row r="128" spans="1:6" x14ac:dyDescent="0.35">
      <c r="A128" s="6" t="s">
        <v>260</v>
      </c>
      <c r="B128" s="6" t="s">
        <v>261</v>
      </c>
      <c r="C128" s="6" t="s">
        <v>99</v>
      </c>
      <c r="D128" s="6">
        <v>523340</v>
      </c>
      <c r="E128" s="6">
        <v>5694</v>
      </c>
      <c r="F128" s="6" t="s">
        <v>6</v>
      </c>
    </row>
    <row r="129" spans="1:6" x14ac:dyDescent="0.35">
      <c r="A129" s="6" t="s">
        <v>260</v>
      </c>
      <c r="B129" s="6" t="s">
        <v>261</v>
      </c>
      <c r="C129" s="6" t="s">
        <v>100</v>
      </c>
      <c r="D129" s="6">
        <v>515548</v>
      </c>
      <c r="E129" s="6">
        <v>5885</v>
      </c>
      <c r="F129" s="6" t="s">
        <v>6</v>
      </c>
    </row>
    <row r="130" spans="1:6" x14ac:dyDescent="0.35">
      <c r="A130" s="6" t="s">
        <v>260</v>
      </c>
      <c r="B130" s="6" t="s">
        <v>261</v>
      </c>
      <c r="C130" s="6" t="s">
        <v>101</v>
      </c>
      <c r="D130" s="6">
        <v>517995</v>
      </c>
      <c r="E130" s="6">
        <v>5847</v>
      </c>
      <c r="F130" s="6" t="s">
        <v>6</v>
      </c>
    </row>
    <row r="131" spans="1:6" x14ac:dyDescent="0.35">
      <c r="A131" s="6" t="s">
        <v>260</v>
      </c>
      <c r="B131" s="6" t="s">
        <v>261</v>
      </c>
      <c r="C131" s="6" t="s">
        <v>102</v>
      </c>
      <c r="D131" s="6">
        <v>523528</v>
      </c>
      <c r="E131" s="6" t="s">
        <v>6</v>
      </c>
      <c r="F131" s="6" t="s">
        <v>6</v>
      </c>
    </row>
    <row r="132" spans="1:6" x14ac:dyDescent="0.35">
      <c r="A132" s="6" t="s">
        <v>260</v>
      </c>
      <c r="B132" s="6" t="s">
        <v>261</v>
      </c>
      <c r="C132" s="6" t="s">
        <v>103</v>
      </c>
      <c r="D132" s="6">
        <v>520518</v>
      </c>
      <c r="E132" s="6" t="s">
        <v>6</v>
      </c>
      <c r="F132" s="6" t="s">
        <v>6</v>
      </c>
    </row>
    <row r="133" spans="1:6" x14ac:dyDescent="0.35">
      <c r="A133" s="6" t="s">
        <v>260</v>
      </c>
      <c r="B133" s="6" t="s">
        <v>6</v>
      </c>
      <c r="C133" s="6" t="s">
        <v>104</v>
      </c>
      <c r="D133" s="6" t="s">
        <v>6</v>
      </c>
      <c r="E133" s="6" t="s">
        <v>6</v>
      </c>
      <c r="F133" s="6" t="s">
        <v>6</v>
      </c>
    </row>
    <row r="134" spans="1:6" x14ac:dyDescent="0.35">
      <c r="A134" s="6" t="s">
        <v>260</v>
      </c>
      <c r="B134" s="6" t="s">
        <v>6</v>
      </c>
      <c r="C134" s="6" t="s">
        <v>105</v>
      </c>
      <c r="D134" s="6" t="s">
        <v>6</v>
      </c>
      <c r="E134" s="6" t="s">
        <v>6</v>
      </c>
      <c r="F134" s="6" t="s">
        <v>6</v>
      </c>
    </row>
    <row r="135" spans="1:6" x14ac:dyDescent="0.35">
      <c r="A135" s="6" t="s">
        <v>260</v>
      </c>
      <c r="B135" s="6" t="s">
        <v>6</v>
      </c>
      <c r="C135" s="6" t="s">
        <v>106</v>
      </c>
      <c r="D135" s="6" t="s">
        <v>6</v>
      </c>
      <c r="E135" s="6" t="s">
        <v>6</v>
      </c>
      <c r="F135" s="6" t="s">
        <v>6</v>
      </c>
    </row>
    <row r="136" spans="1:6" x14ac:dyDescent="0.35">
      <c r="A136" s="6" t="s">
        <v>260</v>
      </c>
      <c r="B136" s="6" t="s">
        <v>262</v>
      </c>
      <c r="C136" s="6" t="s">
        <v>107</v>
      </c>
      <c r="D136" s="6" t="s">
        <v>6</v>
      </c>
      <c r="E136" s="6" t="s">
        <v>6</v>
      </c>
      <c r="F136" s="6" t="s">
        <v>6</v>
      </c>
    </row>
    <row r="137" spans="1:6" x14ac:dyDescent="0.35">
      <c r="A137" s="6" t="s">
        <v>260</v>
      </c>
      <c r="B137" s="6" t="s">
        <v>262</v>
      </c>
      <c r="C137" s="6" t="s">
        <v>108</v>
      </c>
      <c r="D137" s="6" t="s">
        <v>6</v>
      </c>
      <c r="E137" s="6" t="s">
        <v>6</v>
      </c>
      <c r="F137" s="6" t="s">
        <v>6</v>
      </c>
    </row>
    <row r="138" spans="1:6" x14ac:dyDescent="0.35">
      <c r="A138" s="6" t="s">
        <v>260</v>
      </c>
      <c r="B138" s="6" t="s">
        <v>262</v>
      </c>
      <c r="C138" s="6" t="s">
        <v>109</v>
      </c>
      <c r="D138" s="6" t="s">
        <v>6</v>
      </c>
      <c r="E138" s="6" t="s">
        <v>6</v>
      </c>
      <c r="F138" s="6" t="s">
        <v>6</v>
      </c>
    </row>
    <row r="139" spans="1:6" x14ac:dyDescent="0.35">
      <c r="A139" s="6" t="s">
        <v>260</v>
      </c>
      <c r="B139" s="6" t="s">
        <v>262</v>
      </c>
      <c r="C139" s="6" t="s">
        <v>110</v>
      </c>
      <c r="D139" s="6" t="s">
        <v>6</v>
      </c>
      <c r="E139" s="6" t="s">
        <v>6</v>
      </c>
      <c r="F139" s="6" t="s">
        <v>6</v>
      </c>
    </row>
    <row r="140" spans="1:6" x14ac:dyDescent="0.35">
      <c r="A140" s="6" t="s">
        <v>260</v>
      </c>
      <c r="B140" s="6" t="s">
        <v>262</v>
      </c>
      <c r="C140" s="6" t="s">
        <v>111</v>
      </c>
      <c r="D140" s="6" t="s">
        <v>6</v>
      </c>
      <c r="E140" s="6" t="s">
        <v>6</v>
      </c>
      <c r="F140" s="6" t="s">
        <v>6</v>
      </c>
    </row>
    <row r="141" spans="1:6" x14ac:dyDescent="0.35">
      <c r="A141" s="6" t="s">
        <v>260</v>
      </c>
      <c r="B141" s="6" t="s">
        <v>262</v>
      </c>
      <c r="C141" s="6" t="s">
        <v>112</v>
      </c>
      <c r="D141" s="6" t="s">
        <v>6</v>
      </c>
      <c r="E141" s="6" t="s">
        <v>6</v>
      </c>
      <c r="F141" s="6" t="s">
        <v>6</v>
      </c>
    </row>
    <row r="142" spans="1:6" x14ac:dyDescent="0.35">
      <c r="A142" s="6" t="s">
        <v>260</v>
      </c>
      <c r="B142" s="6" t="s">
        <v>262</v>
      </c>
      <c r="C142" s="6" t="s">
        <v>113</v>
      </c>
      <c r="D142" s="6" t="s">
        <v>6</v>
      </c>
      <c r="E142" s="6" t="s">
        <v>6</v>
      </c>
      <c r="F142" s="6" t="s">
        <v>6</v>
      </c>
    </row>
    <row r="143" spans="1:6" x14ac:dyDescent="0.35">
      <c r="A143" s="6" t="s">
        <v>260</v>
      </c>
      <c r="B143" s="6" t="s">
        <v>262</v>
      </c>
      <c r="C143" s="6" t="s">
        <v>114</v>
      </c>
      <c r="D143" s="6" t="s">
        <v>6</v>
      </c>
      <c r="E143" s="6" t="s">
        <v>6</v>
      </c>
      <c r="F143" s="6" t="s">
        <v>6</v>
      </c>
    </row>
    <row r="144" spans="1:6" x14ac:dyDescent="0.35">
      <c r="A144" s="6" t="s">
        <v>260</v>
      </c>
      <c r="B144" s="6" t="s">
        <v>262</v>
      </c>
      <c r="C144" s="6" t="s">
        <v>115</v>
      </c>
      <c r="D144" s="6" t="s">
        <v>6</v>
      </c>
      <c r="E144" s="6" t="s">
        <v>6</v>
      </c>
      <c r="F144" s="6" t="s">
        <v>6</v>
      </c>
    </row>
    <row r="145" spans="1:6" x14ac:dyDescent="0.35">
      <c r="A145" s="6" t="s">
        <v>260</v>
      </c>
      <c r="B145" s="6" t="s">
        <v>262</v>
      </c>
      <c r="C145" s="6" t="s">
        <v>116</v>
      </c>
      <c r="D145" s="6" t="s">
        <v>6</v>
      </c>
      <c r="E145" s="6" t="s">
        <v>6</v>
      </c>
      <c r="F145" s="6" t="s">
        <v>6</v>
      </c>
    </row>
    <row r="146" spans="1:6" x14ac:dyDescent="0.35">
      <c r="A146" s="6" t="s">
        <v>260</v>
      </c>
      <c r="B146" s="6" t="s">
        <v>262</v>
      </c>
      <c r="C146" s="6" t="s">
        <v>117</v>
      </c>
      <c r="D146" s="6" t="s">
        <v>6</v>
      </c>
      <c r="E146" s="6" t="s">
        <v>6</v>
      </c>
      <c r="F146" s="6" t="s">
        <v>6</v>
      </c>
    </row>
    <row r="147" spans="1:6" x14ac:dyDescent="0.35">
      <c r="A147" s="6" t="s">
        <v>260</v>
      </c>
      <c r="B147" s="6" t="s">
        <v>262</v>
      </c>
      <c r="C147" s="6" t="s">
        <v>118</v>
      </c>
      <c r="D147" s="6" t="s">
        <v>6</v>
      </c>
      <c r="E147" s="6" t="s">
        <v>6</v>
      </c>
      <c r="F147" s="6" t="s">
        <v>6</v>
      </c>
    </row>
    <row r="148" spans="1:6" x14ac:dyDescent="0.35">
      <c r="A148" s="6" t="s">
        <v>260</v>
      </c>
      <c r="B148" s="6" t="s">
        <v>262</v>
      </c>
      <c r="C148" s="6" t="s">
        <v>119</v>
      </c>
      <c r="D148" s="6" t="s">
        <v>6</v>
      </c>
      <c r="E148" s="6" t="s">
        <v>6</v>
      </c>
      <c r="F148" s="6" t="s">
        <v>6</v>
      </c>
    </row>
    <row r="149" spans="1:6" x14ac:dyDescent="0.35">
      <c r="A149" s="6" t="s">
        <v>260</v>
      </c>
      <c r="B149" s="6" t="s">
        <v>262</v>
      </c>
      <c r="C149" s="6" t="s">
        <v>120</v>
      </c>
      <c r="D149" s="6" t="s">
        <v>6</v>
      </c>
      <c r="E149" s="6" t="s">
        <v>6</v>
      </c>
      <c r="F149" s="6" t="s">
        <v>6</v>
      </c>
    </row>
    <row r="150" spans="1:6" x14ac:dyDescent="0.35">
      <c r="A150" s="6" t="s">
        <v>260</v>
      </c>
      <c r="B150" s="6" t="s">
        <v>262</v>
      </c>
      <c r="C150" s="6" t="s">
        <v>121</v>
      </c>
      <c r="D150" s="6" t="s">
        <v>6</v>
      </c>
      <c r="E150" s="6" t="s">
        <v>6</v>
      </c>
      <c r="F150" s="6" t="s">
        <v>6</v>
      </c>
    </row>
    <row r="151" spans="1:6" x14ac:dyDescent="0.35">
      <c r="A151" s="6" t="s">
        <v>260</v>
      </c>
      <c r="B151" s="6" t="s">
        <v>262</v>
      </c>
      <c r="C151" s="6" t="s">
        <v>122</v>
      </c>
      <c r="D151" s="6" t="s">
        <v>6</v>
      </c>
      <c r="E151" s="6" t="s">
        <v>6</v>
      </c>
      <c r="F151" s="6" t="s">
        <v>6</v>
      </c>
    </row>
    <row r="152" spans="1:6" x14ac:dyDescent="0.35">
      <c r="A152" s="6" t="s">
        <v>260</v>
      </c>
      <c r="B152" s="6" t="s">
        <v>262</v>
      </c>
      <c r="C152" s="6" t="s">
        <v>123</v>
      </c>
      <c r="D152" s="6" t="s">
        <v>6</v>
      </c>
      <c r="E152" s="6" t="s">
        <v>6</v>
      </c>
      <c r="F152" s="6" t="s">
        <v>6</v>
      </c>
    </row>
    <row r="153" spans="1:6" x14ac:dyDescent="0.35">
      <c r="A153" s="6" t="s">
        <v>260</v>
      </c>
      <c r="B153" s="6" t="s">
        <v>262</v>
      </c>
      <c r="C153" s="6" t="s">
        <v>124</v>
      </c>
      <c r="D153" s="6" t="s">
        <v>6</v>
      </c>
      <c r="E153" s="6" t="s">
        <v>6</v>
      </c>
      <c r="F153" s="6" t="s">
        <v>6</v>
      </c>
    </row>
    <row r="156" spans="1:6" x14ac:dyDescent="0.35">
      <c r="D156" s="21"/>
    </row>
    <row r="157" spans="1:6" x14ac:dyDescent="0.35">
      <c r="D157" s="21"/>
    </row>
    <row r="158" spans="1:6" x14ac:dyDescent="0.35">
      <c r="D158" s="2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2B65-4C03-4C3D-86DC-236E1AF9391E}">
  <dimension ref="A1:F98"/>
  <sheetViews>
    <sheetView zoomScale="40" zoomScaleNormal="40" workbookViewId="0">
      <selection sqref="A1:F98"/>
    </sheetView>
  </sheetViews>
  <sheetFormatPr defaultRowHeight="14.5" x14ac:dyDescent="0.35"/>
  <cols>
    <col min="1" max="1" width="14.453125" style="3" customWidth="1"/>
    <col min="2" max="2" width="16.453125" style="6" customWidth="1"/>
    <col min="3" max="3" width="7.453125" style="3" customWidth="1"/>
    <col min="4" max="4" width="12.6328125" style="3" customWidth="1"/>
    <col min="5" max="5" width="17.26953125" style="3" customWidth="1"/>
    <col min="6" max="6" width="15.54296875" style="3" customWidth="1"/>
  </cols>
  <sheetData>
    <row r="1" spans="1:6" ht="26.5" x14ac:dyDescent="0.35">
      <c r="A1" s="1" t="s">
        <v>0</v>
      </c>
      <c r="B1" s="20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6" t="s">
        <v>263</v>
      </c>
      <c r="B2" s="6" t="s">
        <v>4</v>
      </c>
      <c r="C2" s="3">
        <v>1923</v>
      </c>
      <c r="D2" s="6" t="s">
        <v>6</v>
      </c>
      <c r="E2" s="6" t="s">
        <v>6</v>
      </c>
      <c r="F2" s="6" t="s">
        <v>6</v>
      </c>
    </row>
    <row r="3" spans="1:6" x14ac:dyDescent="0.35">
      <c r="A3" s="6" t="s">
        <v>263</v>
      </c>
      <c r="B3" s="6" t="s">
        <v>4</v>
      </c>
      <c r="C3" s="3">
        <v>1924</v>
      </c>
      <c r="D3" s="6" t="s">
        <v>6</v>
      </c>
      <c r="E3" s="6" t="s">
        <v>6</v>
      </c>
      <c r="F3" s="6" t="s">
        <v>6</v>
      </c>
    </row>
    <row r="4" spans="1:6" x14ac:dyDescent="0.35">
      <c r="A4" s="6" t="s">
        <v>263</v>
      </c>
      <c r="B4" s="6" t="s">
        <v>4</v>
      </c>
      <c r="C4" s="3">
        <v>1925</v>
      </c>
      <c r="D4" s="6" t="s">
        <v>6</v>
      </c>
      <c r="E4" s="6" t="s">
        <v>6</v>
      </c>
      <c r="F4" s="6" t="s">
        <v>6</v>
      </c>
    </row>
    <row r="5" spans="1:6" x14ac:dyDescent="0.35">
      <c r="A5" s="6" t="s">
        <v>263</v>
      </c>
      <c r="B5" s="6" t="s">
        <v>4</v>
      </c>
      <c r="C5" s="3">
        <v>1926</v>
      </c>
      <c r="D5" s="6" t="s">
        <v>6</v>
      </c>
      <c r="E5" s="6" t="s">
        <v>6</v>
      </c>
      <c r="F5" s="6" t="s">
        <v>6</v>
      </c>
    </row>
    <row r="6" spans="1:6" x14ac:dyDescent="0.35">
      <c r="A6" s="6" t="s">
        <v>263</v>
      </c>
      <c r="B6" s="6" t="s">
        <v>4</v>
      </c>
      <c r="C6" s="3">
        <v>1927</v>
      </c>
      <c r="D6" s="6" t="s">
        <v>6</v>
      </c>
      <c r="E6" s="6" t="s">
        <v>6</v>
      </c>
      <c r="F6" s="6" t="s">
        <v>6</v>
      </c>
    </row>
    <row r="7" spans="1:6" x14ac:dyDescent="0.35">
      <c r="A7" s="6" t="s">
        <v>263</v>
      </c>
      <c r="B7" s="6" t="s">
        <v>4</v>
      </c>
      <c r="C7" s="3">
        <v>1928</v>
      </c>
      <c r="D7" s="6" t="s">
        <v>6</v>
      </c>
      <c r="E7" s="6" t="s">
        <v>6</v>
      </c>
      <c r="F7" s="6" t="s">
        <v>6</v>
      </c>
    </row>
    <row r="8" spans="1:6" x14ac:dyDescent="0.35">
      <c r="A8" s="6" t="s">
        <v>263</v>
      </c>
      <c r="B8" s="6" t="s">
        <v>4</v>
      </c>
      <c r="C8" s="3">
        <v>1929</v>
      </c>
      <c r="D8" s="6" t="s">
        <v>6</v>
      </c>
      <c r="E8" s="6" t="s">
        <v>6</v>
      </c>
      <c r="F8" s="6" t="s">
        <v>6</v>
      </c>
    </row>
    <row r="9" spans="1:6" x14ac:dyDescent="0.35">
      <c r="A9" s="6" t="s">
        <v>263</v>
      </c>
      <c r="B9" s="6" t="s">
        <v>4</v>
      </c>
      <c r="C9" s="3">
        <v>1930</v>
      </c>
      <c r="D9" s="6" t="s">
        <v>6</v>
      </c>
      <c r="E9" s="6" t="s">
        <v>6</v>
      </c>
      <c r="F9" s="6" t="s">
        <v>6</v>
      </c>
    </row>
    <row r="10" spans="1:6" x14ac:dyDescent="0.35">
      <c r="A10" s="6" t="s">
        <v>263</v>
      </c>
      <c r="B10" s="6" t="s">
        <v>4</v>
      </c>
      <c r="C10" s="3">
        <v>1931</v>
      </c>
      <c r="D10" s="6" t="s">
        <v>6</v>
      </c>
      <c r="E10" s="6" t="s">
        <v>6</v>
      </c>
      <c r="F10" s="6" t="s">
        <v>6</v>
      </c>
    </row>
    <row r="11" spans="1:6" x14ac:dyDescent="0.35">
      <c r="A11" s="6" t="s">
        <v>263</v>
      </c>
      <c r="B11" s="6" t="s">
        <v>4</v>
      </c>
      <c r="C11" s="3">
        <v>1932</v>
      </c>
      <c r="D11" s="6" t="s">
        <v>6</v>
      </c>
      <c r="E11" s="6" t="s">
        <v>6</v>
      </c>
      <c r="F11" s="6" t="s">
        <v>6</v>
      </c>
    </row>
    <row r="12" spans="1:6" x14ac:dyDescent="0.35">
      <c r="A12" s="6" t="s">
        <v>263</v>
      </c>
      <c r="B12" s="6" t="s">
        <v>4</v>
      </c>
      <c r="C12" s="3">
        <v>1933</v>
      </c>
      <c r="D12" s="6" t="s">
        <v>6</v>
      </c>
      <c r="E12" s="6" t="s">
        <v>6</v>
      </c>
      <c r="F12" s="6" t="s">
        <v>6</v>
      </c>
    </row>
    <row r="13" spans="1:6" x14ac:dyDescent="0.35">
      <c r="A13" s="6" t="s">
        <v>263</v>
      </c>
      <c r="B13" s="6" t="s">
        <v>4</v>
      </c>
      <c r="C13" s="3">
        <v>1934</v>
      </c>
      <c r="D13" s="6" t="s">
        <v>6</v>
      </c>
      <c r="E13" s="6" t="s">
        <v>6</v>
      </c>
      <c r="F13" s="6" t="s">
        <v>6</v>
      </c>
    </row>
    <row r="14" spans="1:6" x14ac:dyDescent="0.35">
      <c r="A14" s="6" t="s">
        <v>263</v>
      </c>
      <c r="B14" s="6" t="s">
        <v>4</v>
      </c>
      <c r="C14" s="3">
        <v>1935</v>
      </c>
      <c r="D14" s="6" t="s">
        <v>6</v>
      </c>
      <c r="E14" s="6" t="s">
        <v>6</v>
      </c>
      <c r="F14" s="6" t="s">
        <v>6</v>
      </c>
    </row>
    <row r="15" spans="1:6" x14ac:dyDescent="0.35">
      <c r="A15" s="6" t="s">
        <v>263</v>
      </c>
      <c r="B15" s="6" t="s">
        <v>4</v>
      </c>
      <c r="C15" s="3">
        <v>1936</v>
      </c>
      <c r="D15" s="6" t="s">
        <v>6</v>
      </c>
      <c r="E15" s="6" t="s">
        <v>6</v>
      </c>
      <c r="F15" s="6" t="s">
        <v>6</v>
      </c>
    </row>
    <row r="16" spans="1:6" x14ac:dyDescent="0.35">
      <c r="A16" s="6" t="s">
        <v>263</v>
      </c>
      <c r="B16" s="6" t="s">
        <v>6</v>
      </c>
      <c r="C16" s="3">
        <v>1937</v>
      </c>
      <c r="D16" s="6" t="s">
        <v>6</v>
      </c>
      <c r="E16" s="6" t="s">
        <v>6</v>
      </c>
      <c r="F16" s="6" t="s">
        <v>6</v>
      </c>
    </row>
    <row r="17" spans="1:6" x14ac:dyDescent="0.35">
      <c r="A17" s="6" t="s">
        <v>263</v>
      </c>
      <c r="B17" s="6" t="s">
        <v>6</v>
      </c>
      <c r="C17" s="3">
        <v>1938</v>
      </c>
      <c r="D17" s="6" t="s">
        <v>6</v>
      </c>
      <c r="E17" s="6" t="s">
        <v>6</v>
      </c>
      <c r="F17" s="6" t="s">
        <v>6</v>
      </c>
    </row>
    <row r="18" spans="1:6" x14ac:dyDescent="0.35">
      <c r="A18" s="6" t="s">
        <v>263</v>
      </c>
      <c r="B18" s="6" t="s">
        <v>6</v>
      </c>
      <c r="C18" s="3">
        <v>1939</v>
      </c>
      <c r="D18" s="6" t="s">
        <v>6</v>
      </c>
      <c r="E18" s="6" t="s">
        <v>6</v>
      </c>
      <c r="F18" s="6" t="s">
        <v>6</v>
      </c>
    </row>
    <row r="19" spans="1:6" x14ac:dyDescent="0.35">
      <c r="A19" s="6" t="s">
        <v>263</v>
      </c>
      <c r="B19" s="6" t="s">
        <v>6</v>
      </c>
      <c r="C19" s="3">
        <v>1940</v>
      </c>
      <c r="D19" s="6" t="s">
        <v>6</v>
      </c>
      <c r="E19" s="6" t="s">
        <v>6</v>
      </c>
      <c r="F19" s="6" t="s">
        <v>6</v>
      </c>
    </row>
    <row r="20" spans="1:6" x14ac:dyDescent="0.35">
      <c r="A20" s="6" t="s">
        <v>263</v>
      </c>
      <c r="B20" s="6" t="s">
        <v>6</v>
      </c>
      <c r="C20" s="3">
        <v>1941</v>
      </c>
      <c r="D20" s="6" t="s">
        <v>6</v>
      </c>
      <c r="E20" s="6" t="s">
        <v>6</v>
      </c>
      <c r="F20" s="6" t="s">
        <v>6</v>
      </c>
    </row>
    <row r="21" spans="1:6" x14ac:dyDescent="0.35">
      <c r="A21" s="6" t="s">
        <v>263</v>
      </c>
      <c r="B21" s="6" t="s">
        <v>6</v>
      </c>
      <c r="C21" s="3">
        <v>1942</v>
      </c>
      <c r="D21" s="6" t="s">
        <v>6</v>
      </c>
      <c r="E21" s="6" t="s">
        <v>6</v>
      </c>
      <c r="F21" s="6" t="s">
        <v>6</v>
      </c>
    </row>
    <row r="22" spans="1:6" x14ac:dyDescent="0.35">
      <c r="A22" s="6" t="s">
        <v>263</v>
      </c>
      <c r="B22" s="6" t="s">
        <v>6</v>
      </c>
      <c r="C22" s="3">
        <v>1943</v>
      </c>
      <c r="D22" s="6" t="s">
        <v>6</v>
      </c>
      <c r="E22" s="6" t="s">
        <v>6</v>
      </c>
      <c r="F22" s="6" t="s">
        <v>6</v>
      </c>
    </row>
    <row r="23" spans="1:6" x14ac:dyDescent="0.35">
      <c r="A23" s="6" t="s">
        <v>263</v>
      </c>
      <c r="B23" s="6" t="s">
        <v>6</v>
      </c>
      <c r="C23" s="3">
        <v>1944</v>
      </c>
      <c r="D23" s="6" t="s">
        <v>6</v>
      </c>
      <c r="E23" s="6" t="s">
        <v>6</v>
      </c>
      <c r="F23" s="6" t="s">
        <v>6</v>
      </c>
    </row>
    <row r="24" spans="1:6" x14ac:dyDescent="0.35">
      <c r="A24" s="6" t="s">
        <v>263</v>
      </c>
      <c r="B24" s="6" t="s">
        <v>6</v>
      </c>
      <c r="C24" s="3">
        <v>1945</v>
      </c>
      <c r="D24" s="6" t="s">
        <v>6</v>
      </c>
      <c r="E24" s="6" t="s">
        <v>6</v>
      </c>
      <c r="F24" s="6" t="s">
        <v>6</v>
      </c>
    </row>
    <row r="25" spans="1:6" x14ac:dyDescent="0.35">
      <c r="A25" s="6" t="s">
        <v>263</v>
      </c>
      <c r="B25" s="6" t="s">
        <v>6</v>
      </c>
      <c r="C25" s="3">
        <v>1946</v>
      </c>
      <c r="D25" s="6" t="s">
        <v>6</v>
      </c>
      <c r="E25" s="6" t="s">
        <v>6</v>
      </c>
      <c r="F25" s="6" t="s">
        <v>6</v>
      </c>
    </row>
    <row r="26" spans="1:6" x14ac:dyDescent="0.35">
      <c r="A26" s="6" t="s">
        <v>263</v>
      </c>
      <c r="B26" s="6" t="s">
        <v>6</v>
      </c>
      <c r="C26" s="3">
        <v>1947</v>
      </c>
      <c r="D26" s="6" t="s">
        <v>6</v>
      </c>
      <c r="E26" s="6" t="s">
        <v>6</v>
      </c>
      <c r="F26" s="6" t="s">
        <v>6</v>
      </c>
    </row>
    <row r="27" spans="1:6" x14ac:dyDescent="0.35">
      <c r="A27" s="6" t="s">
        <v>263</v>
      </c>
      <c r="B27" s="6" t="s">
        <v>6</v>
      </c>
      <c r="C27" s="3">
        <v>1948</v>
      </c>
      <c r="D27" s="6" t="s">
        <v>6</v>
      </c>
      <c r="E27" s="6" t="s">
        <v>6</v>
      </c>
      <c r="F27" s="6" t="s">
        <v>6</v>
      </c>
    </row>
    <row r="28" spans="1:6" x14ac:dyDescent="0.35">
      <c r="A28" s="6" t="s">
        <v>263</v>
      </c>
      <c r="B28" s="6" t="s">
        <v>6</v>
      </c>
      <c r="C28" s="3">
        <v>1949</v>
      </c>
      <c r="D28" s="6" t="s">
        <v>6</v>
      </c>
      <c r="E28" s="6" t="s">
        <v>6</v>
      </c>
      <c r="F28" s="6" t="s">
        <v>6</v>
      </c>
    </row>
    <row r="29" spans="1:6" x14ac:dyDescent="0.35">
      <c r="A29" s="6" t="s">
        <v>263</v>
      </c>
      <c r="B29" s="6" t="s">
        <v>6</v>
      </c>
      <c r="C29" s="3">
        <v>1950</v>
      </c>
      <c r="D29" s="6" t="s">
        <v>6</v>
      </c>
      <c r="E29" s="6" t="s">
        <v>6</v>
      </c>
      <c r="F29" s="6" t="s">
        <v>6</v>
      </c>
    </row>
    <row r="30" spans="1:6" x14ac:dyDescent="0.35">
      <c r="A30" s="6" t="s">
        <v>263</v>
      </c>
      <c r="B30" s="6" t="s">
        <v>15</v>
      </c>
      <c r="C30" s="3">
        <v>1951</v>
      </c>
      <c r="D30" s="6" t="s">
        <v>6</v>
      </c>
      <c r="E30" s="6">
        <v>15143</v>
      </c>
      <c r="F30" s="6">
        <v>30286</v>
      </c>
    </row>
    <row r="31" spans="1:6" x14ac:dyDescent="0.35">
      <c r="A31" s="6" t="s">
        <v>263</v>
      </c>
      <c r="B31" s="6" t="s">
        <v>15</v>
      </c>
      <c r="C31" s="3">
        <v>1952</v>
      </c>
      <c r="D31" s="6" t="s">
        <v>6</v>
      </c>
      <c r="E31" s="6">
        <v>14007</v>
      </c>
      <c r="F31" s="6">
        <v>28014</v>
      </c>
    </row>
    <row r="32" spans="1:6" x14ac:dyDescent="0.35">
      <c r="A32" s="6" t="s">
        <v>263</v>
      </c>
      <c r="B32" s="6" t="s">
        <v>15</v>
      </c>
      <c r="C32" s="3">
        <v>1953</v>
      </c>
      <c r="D32" s="6" t="s">
        <v>6</v>
      </c>
      <c r="E32" s="6">
        <v>13053</v>
      </c>
      <c r="F32" s="6">
        <v>26106</v>
      </c>
    </row>
    <row r="33" spans="1:6" x14ac:dyDescent="0.35">
      <c r="A33" s="6" t="s">
        <v>263</v>
      </c>
      <c r="B33" s="6" t="s">
        <v>15</v>
      </c>
      <c r="C33" s="3">
        <v>1954</v>
      </c>
      <c r="D33" s="6" t="s">
        <v>6</v>
      </c>
      <c r="E33" s="6">
        <v>12655</v>
      </c>
      <c r="F33" s="6">
        <v>25310</v>
      </c>
    </row>
    <row r="34" spans="1:6" x14ac:dyDescent="0.35">
      <c r="A34" s="6" t="s">
        <v>263</v>
      </c>
      <c r="B34" s="6" t="s">
        <v>15</v>
      </c>
      <c r="C34" s="3">
        <v>1955</v>
      </c>
      <c r="D34" s="6" t="s">
        <v>6</v>
      </c>
      <c r="E34" s="6">
        <v>12042</v>
      </c>
      <c r="F34" s="6">
        <v>24084</v>
      </c>
    </row>
    <row r="35" spans="1:6" x14ac:dyDescent="0.35">
      <c r="A35" s="6" t="s">
        <v>263</v>
      </c>
      <c r="B35" s="6" t="s">
        <v>15</v>
      </c>
      <c r="C35" s="3">
        <v>1956</v>
      </c>
      <c r="D35" s="6" t="s">
        <v>6</v>
      </c>
      <c r="E35" s="6">
        <v>11725</v>
      </c>
      <c r="F35" s="6">
        <v>23450</v>
      </c>
    </row>
    <row r="36" spans="1:6" x14ac:dyDescent="0.35">
      <c r="A36" s="6" t="s">
        <v>263</v>
      </c>
      <c r="B36" s="6" t="s">
        <v>15</v>
      </c>
      <c r="C36" s="3">
        <v>1957</v>
      </c>
      <c r="D36" s="6" t="s">
        <v>6</v>
      </c>
      <c r="E36" s="6">
        <v>11407</v>
      </c>
      <c r="F36" s="6">
        <v>22814</v>
      </c>
    </row>
    <row r="37" spans="1:6" x14ac:dyDescent="0.35">
      <c r="A37" s="6" t="s">
        <v>263</v>
      </c>
      <c r="B37" s="6" t="s">
        <v>15</v>
      </c>
      <c r="C37" s="3">
        <v>1958</v>
      </c>
      <c r="D37" s="6" t="s">
        <v>6</v>
      </c>
      <c r="E37" s="6">
        <v>11817</v>
      </c>
      <c r="F37" s="6">
        <v>23634</v>
      </c>
    </row>
    <row r="38" spans="1:6" x14ac:dyDescent="0.35">
      <c r="A38" s="6" t="s">
        <v>263</v>
      </c>
      <c r="B38" s="6" t="s">
        <v>15</v>
      </c>
      <c r="C38" s="3">
        <v>1959</v>
      </c>
      <c r="D38" s="6" t="s">
        <v>6</v>
      </c>
      <c r="E38" s="6">
        <v>11579</v>
      </c>
      <c r="F38" s="6">
        <v>23158</v>
      </c>
    </row>
    <row r="39" spans="1:6" x14ac:dyDescent="0.35">
      <c r="A39" s="6" t="s">
        <v>263</v>
      </c>
      <c r="B39" s="6" t="s">
        <v>15</v>
      </c>
      <c r="C39" s="3">
        <v>1960</v>
      </c>
      <c r="D39" s="6" t="s">
        <v>6</v>
      </c>
      <c r="E39" s="6">
        <v>11159</v>
      </c>
      <c r="F39" s="6">
        <v>22318</v>
      </c>
    </row>
    <row r="40" spans="1:6" x14ac:dyDescent="0.35">
      <c r="A40" s="6" t="s">
        <v>263</v>
      </c>
      <c r="B40" s="6" t="s">
        <v>15</v>
      </c>
      <c r="C40" s="3">
        <v>1961</v>
      </c>
      <c r="D40" s="6" t="s">
        <v>6</v>
      </c>
      <c r="E40" s="6">
        <v>11394</v>
      </c>
      <c r="F40" s="6">
        <v>22788</v>
      </c>
    </row>
    <row r="41" spans="1:6" x14ac:dyDescent="0.35">
      <c r="A41" s="6" t="s">
        <v>263</v>
      </c>
      <c r="B41" s="6" t="s">
        <v>15</v>
      </c>
      <c r="C41" s="3">
        <v>1962</v>
      </c>
      <c r="D41" s="6" t="s">
        <v>6</v>
      </c>
      <c r="E41" s="6">
        <v>11454</v>
      </c>
      <c r="F41" s="6">
        <v>22908</v>
      </c>
    </row>
    <row r="42" spans="1:6" x14ac:dyDescent="0.35">
      <c r="A42" s="6" t="s">
        <v>263</v>
      </c>
      <c r="B42" s="6" t="s">
        <v>15</v>
      </c>
      <c r="C42" s="3">
        <v>1963</v>
      </c>
      <c r="D42" s="6" t="s">
        <v>6</v>
      </c>
      <c r="E42" s="6">
        <v>11638</v>
      </c>
      <c r="F42" s="6">
        <v>23276</v>
      </c>
    </row>
    <row r="43" spans="1:6" x14ac:dyDescent="0.35">
      <c r="A43" s="6" t="s">
        <v>263</v>
      </c>
      <c r="B43" s="6" t="s">
        <v>15</v>
      </c>
      <c r="C43" s="3">
        <v>1964</v>
      </c>
      <c r="D43" s="6" t="s">
        <v>6</v>
      </c>
      <c r="E43" s="6">
        <v>12168</v>
      </c>
      <c r="F43" s="6">
        <v>24336</v>
      </c>
    </row>
    <row r="44" spans="1:6" x14ac:dyDescent="0.35">
      <c r="A44" s="6" t="s">
        <v>263</v>
      </c>
      <c r="B44" s="6" t="s">
        <v>15</v>
      </c>
      <c r="C44" s="3">
        <v>1965</v>
      </c>
      <c r="D44" s="6" t="s">
        <v>6</v>
      </c>
      <c r="E44" s="6">
        <v>12266</v>
      </c>
      <c r="F44" s="6">
        <v>24532</v>
      </c>
    </row>
    <row r="45" spans="1:6" x14ac:dyDescent="0.35">
      <c r="A45" s="6" t="s">
        <v>263</v>
      </c>
      <c r="B45" s="6" t="s">
        <v>15</v>
      </c>
      <c r="C45" s="3">
        <v>1966</v>
      </c>
      <c r="D45" s="6" t="s">
        <v>6</v>
      </c>
      <c r="E45" s="6">
        <v>9848</v>
      </c>
      <c r="F45" s="6">
        <v>19696</v>
      </c>
    </row>
    <row r="46" spans="1:6" x14ac:dyDescent="0.35">
      <c r="A46" s="6" t="s">
        <v>263</v>
      </c>
      <c r="B46" s="6" t="s">
        <v>15</v>
      </c>
      <c r="C46" s="3">
        <v>1967</v>
      </c>
      <c r="D46" s="6" t="s">
        <v>6</v>
      </c>
      <c r="E46" s="6">
        <v>13212</v>
      </c>
      <c r="F46" s="6">
        <v>26424</v>
      </c>
    </row>
    <row r="47" spans="1:6" x14ac:dyDescent="0.35">
      <c r="A47" s="6" t="s">
        <v>263</v>
      </c>
      <c r="B47" s="6" t="s">
        <v>15</v>
      </c>
      <c r="C47" s="3">
        <v>1968</v>
      </c>
      <c r="D47" s="6" t="s">
        <v>6</v>
      </c>
      <c r="E47" s="6">
        <v>12347</v>
      </c>
      <c r="F47" s="6">
        <v>24694</v>
      </c>
    </row>
    <row r="48" spans="1:6" x14ac:dyDescent="0.35">
      <c r="A48" s="6" t="s">
        <v>263</v>
      </c>
      <c r="B48" s="6" t="s">
        <v>6</v>
      </c>
      <c r="C48" s="3">
        <v>1969</v>
      </c>
      <c r="D48" s="6" t="s">
        <v>6</v>
      </c>
      <c r="E48" s="6" t="s">
        <v>6</v>
      </c>
      <c r="F48" s="6" t="s">
        <v>6</v>
      </c>
    </row>
    <row r="49" spans="1:6" x14ac:dyDescent="0.35">
      <c r="A49" s="6" t="s">
        <v>263</v>
      </c>
      <c r="B49" s="6" t="s">
        <v>6</v>
      </c>
      <c r="C49" s="3">
        <v>1970</v>
      </c>
      <c r="D49" s="6" t="s">
        <v>6</v>
      </c>
      <c r="E49" s="6" t="s">
        <v>6</v>
      </c>
      <c r="F49" s="6" t="s">
        <v>6</v>
      </c>
    </row>
    <row r="50" spans="1:6" x14ac:dyDescent="0.35">
      <c r="A50" s="6" t="s">
        <v>263</v>
      </c>
      <c r="B50" s="6" t="s">
        <v>6</v>
      </c>
      <c r="C50" s="3">
        <v>1971</v>
      </c>
      <c r="D50" s="6" t="s">
        <v>6</v>
      </c>
      <c r="E50" s="6" t="s">
        <v>6</v>
      </c>
      <c r="F50" s="6" t="s">
        <v>6</v>
      </c>
    </row>
    <row r="51" spans="1:6" x14ac:dyDescent="0.35">
      <c r="A51" s="6" t="s">
        <v>263</v>
      </c>
      <c r="B51" s="6" t="s">
        <v>6</v>
      </c>
      <c r="C51" s="3">
        <v>1972</v>
      </c>
      <c r="D51" s="6" t="s">
        <v>6</v>
      </c>
      <c r="E51" s="6" t="s">
        <v>6</v>
      </c>
      <c r="F51" s="6" t="s">
        <v>6</v>
      </c>
    </row>
    <row r="52" spans="1:6" x14ac:dyDescent="0.35">
      <c r="A52" s="6" t="s">
        <v>263</v>
      </c>
      <c r="B52" s="6" t="s">
        <v>6</v>
      </c>
      <c r="C52" s="3">
        <v>1973</v>
      </c>
      <c r="D52" s="6" t="s">
        <v>6</v>
      </c>
      <c r="E52" s="6" t="s">
        <v>6</v>
      </c>
      <c r="F52" s="6" t="s">
        <v>6</v>
      </c>
    </row>
    <row r="53" spans="1:6" x14ac:dyDescent="0.35">
      <c r="A53" s="6" t="s">
        <v>263</v>
      </c>
      <c r="B53" s="6" t="s">
        <v>15</v>
      </c>
      <c r="C53" s="3">
        <v>1974</v>
      </c>
      <c r="D53" s="6" t="s">
        <v>6</v>
      </c>
      <c r="E53" s="6">
        <v>12392</v>
      </c>
      <c r="F53" s="6">
        <v>24784</v>
      </c>
    </row>
    <row r="54" spans="1:6" x14ac:dyDescent="0.35">
      <c r="A54" s="6" t="s">
        <v>263</v>
      </c>
      <c r="B54" s="6" t="s">
        <v>15</v>
      </c>
      <c r="C54" s="3">
        <v>1975</v>
      </c>
      <c r="D54" s="6" t="s">
        <v>6</v>
      </c>
      <c r="E54" s="6" t="s">
        <v>6</v>
      </c>
      <c r="F54" s="6">
        <v>23610</v>
      </c>
    </row>
    <row r="55" spans="1:6" x14ac:dyDescent="0.35">
      <c r="A55" s="6" t="s">
        <v>263</v>
      </c>
      <c r="B55" s="6" t="s">
        <v>15</v>
      </c>
      <c r="C55" s="3">
        <v>1976</v>
      </c>
      <c r="D55" s="6" t="s">
        <v>6</v>
      </c>
      <c r="E55" s="6" t="s">
        <v>6</v>
      </c>
      <c r="F55" s="6">
        <v>22537</v>
      </c>
    </row>
    <row r="56" spans="1:6" x14ac:dyDescent="0.35">
      <c r="A56" s="6" t="s">
        <v>263</v>
      </c>
      <c r="B56" s="6" t="s">
        <v>15</v>
      </c>
      <c r="C56" s="3">
        <v>1977</v>
      </c>
      <c r="D56" s="6" t="s">
        <v>6</v>
      </c>
      <c r="E56" s="6" t="s">
        <v>6</v>
      </c>
      <c r="F56" s="6">
        <v>22953</v>
      </c>
    </row>
    <row r="57" spans="1:6" x14ac:dyDescent="0.35">
      <c r="A57" s="6" t="s">
        <v>263</v>
      </c>
      <c r="B57" s="6" t="s">
        <v>15</v>
      </c>
      <c r="C57" s="3">
        <v>1978</v>
      </c>
      <c r="D57" s="6" t="s">
        <v>6</v>
      </c>
      <c r="E57" s="6" t="s">
        <v>6</v>
      </c>
      <c r="F57" s="6">
        <v>22188</v>
      </c>
    </row>
    <row r="58" spans="1:6" x14ac:dyDescent="0.35">
      <c r="A58" s="6" t="s">
        <v>263</v>
      </c>
      <c r="B58" s="6" t="s">
        <v>15</v>
      </c>
      <c r="C58" s="3">
        <v>1979</v>
      </c>
      <c r="D58" s="6" t="s">
        <v>6</v>
      </c>
      <c r="E58" s="6" t="s">
        <v>6</v>
      </c>
      <c r="F58" s="6">
        <v>22007</v>
      </c>
    </row>
    <row r="59" spans="1:6" x14ac:dyDescent="0.35">
      <c r="A59" s="6" t="s">
        <v>263</v>
      </c>
      <c r="B59" s="6" t="s">
        <v>15</v>
      </c>
      <c r="C59" s="3">
        <v>1980</v>
      </c>
      <c r="D59" s="6" t="s">
        <v>6</v>
      </c>
      <c r="E59" s="6" t="s">
        <v>6</v>
      </c>
      <c r="F59" s="6">
        <v>21165</v>
      </c>
    </row>
    <row r="60" spans="1:6" x14ac:dyDescent="0.35">
      <c r="A60" s="6" t="s">
        <v>263</v>
      </c>
      <c r="B60" s="6" t="s">
        <v>15</v>
      </c>
      <c r="C60" s="3">
        <v>1981</v>
      </c>
      <c r="D60" s="6" t="s">
        <v>6</v>
      </c>
      <c r="E60" s="6" t="s">
        <v>6</v>
      </c>
      <c r="F60" s="6">
        <v>20852</v>
      </c>
    </row>
    <row r="61" spans="1:6" x14ac:dyDescent="0.35">
      <c r="A61" s="6" t="s">
        <v>263</v>
      </c>
      <c r="B61" s="6" t="s">
        <v>15</v>
      </c>
      <c r="C61" s="3">
        <v>1982</v>
      </c>
      <c r="D61" s="6" t="s">
        <v>6</v>
      </c>
      <c r="E61" s="6" t="s">
        <v>6</v>
      </c>
      <c r="F61" s="6">
        <v>20796</v>
      </c>
    </row>
    <row r="62" spans="1:6" x14ac:dyDescent="0.35">
      <c r="A62" s="6" t="s">
        <v>263</v>
      </c>
      <c r="B62" s="6" t="s">
        <v>15</v>
      </c>
      <c r="C62" s="3">
        <v>1983</v>
      </c>
      <c r="D62" s="6" t="s">
        <v>6</v>
      </c>
      <c r="E62" s="6" t="s">
        <v>6</v>
      </c>
      <c r="F62" s="6">
        <v>20597</v>
      </c>
    </row>
    <row r="63" spans="1:6" x14ac:dyDescent="0.35">
      <c r="A63" s="6" t="s">
        <v>263</v>
      </c>
      <c r="B63" s="6" t="s">
        <v>15</v>
      </c>
      <c r="C63" s="3">
        <v>1984</v>
      </c>
      <c r="D63" s="6" t="s">
        <v>6</v>
      </c>
      <c r="E63" s="6" t="s">
        <v>6</v>
      </c>
      <c r="F63" s="6">
        <v>20421</v>
      </c>
    </row>
    <row r="64" spans="1:6" x14ac:dyDescent="0.35">
      <c r="A64" s="6" t="s">
        <v>263</v>
      </c>
      <c r="B64" s="6" t="s">
        <v>15</v>
      </c>
      <c r="C64" s="3">
        <v>1985</v>
      </c>
      <c r="D64" s="6" t="s">
        <v>6</v>
      </c>
      <c r="E64" s="6" t="s">
        <v>6</v>
      </c>
      <c r="F64" s="6">
        <v>19611</v>
      </c>
    </row>
    <row r="65" spans="1:6" x14ac:dyDescent="0.35">
      <c r="A65" s="6" t="s">
        <v>263</v>
      </c>
      <c r="B65" s="6" t="s">
        <v>15</v>
      </c>
      <c r="C65" s="3">
        <v>1986</v>
      </c>
      <c r="D65" s="6" t="s">
        <v>6</v>
      </c>
      <c r="E65" s="6" t="s">
        <v>6</v>
      </c>
      <c r="F65" s="6">
        <v>18798</v>
      </c>
    </row>
    <row r="66" spans="1:6" x14ac:dyDescent="0.35">
      <c r="A66" s="6" t="s">
        <v>263</v>
      </c>
      <c r="B66" s="6" t="s">
        <v>15</v>
      </c>
      <c r="C66" s="3">
        <v>1987</v>
      </c>
      <c r="D66" s="6" t="s">
        <v>6</v>
      </c>
      <c r="E66" s="6" t="s">
        <v>6</v>
      </c>
      <c r="F66" s="6">
        <v>18636</v>
      </c>
    </row>
    <row r="67" spans="1:6" x14ac:dyDescent="0.35">
      <c r="A67" s="6" t="s">
        <v>263</v>
      </c>
      <c r="B67" s="6" t="s">
        <v>15</v>
      </c>
      <c r="C67" s="3">
        <v>1988</v>
      </c>
      <c r="D67" s="6" t="s">
        <v>6</v>
      </c>
      <c r="E67" s="6" t="s">
        <v>6</v>
      </c>
      <c r="F67" s="6">
        <v>18472</v>
      </c>
    </row>
    <row r="68" spans="1:6" x14ac:dyDescent="0.35">
      <c r="A68" s="6" t="s">
        <v>263</v>
      </c>
      <c r="B68" s="6" t="s">
        <v>15</v>
      </c>
      <c r="C68" s="3">
        <v>1989</v>
      </c>
      <c r="D68" s="6" t="s">
        <v>6</v>
      </c>
      <c r="E68" s="6" t="s">
        <v>6</v>
      </c>
      <c r="F68" s="6">
        <v>18147</v>
      </c>
    </row>
    <row r="69" spans="1:6" x14ac:dyDescent="0.35">
      <c r="A69" s="6" t="s">
        <v>263</v>
      </c>
      <c r="B69" s="6" t="s">
        <v>15</v>
      </c>
      <c r="C69" s="3">
        <v>1990</v>
      </c>
      <c r="D69" s="6" t="s">
        <v>6</v>
      </c>
      <c r="E69" s="6" t="s">
        <v>6</v>
      </c>
      <c r="F69" s="6">
        <v>17865</v>
      </c>
    </row>
    <row r="70" spans="1:6" x14ac:dyDescent="0.35">
      <c r="A70" s="6" t="s">
        <v>263</v>
      </c>
      <c r="B70" s="6" t="s">
        <v>15</v>
      </c>
      <c r="C70" s="3">
        <v>1991</v>
      </c>
      <c r="D70" s="6" t="s">
        <v>6</v>
      </c>
      <c r="E70" s="6" t="s">
        <v>6</v>
      </c>
      <c r="F70" s="6">
        <v>18284</v>
      </c>
    </row>
    <row r="71" spans="1:6" x14ac:dyDescent="0.35">
      <c r="A71" s="6" t="s">
        <v>263</v>
      </c>
      <c r="B71" s="6" t="s">
        <v>15</v>
      </c>
      <c r="C71" s="3">
        <v>1992</v>
      </c>
      <c r="D71" s="6" t="s">
        <v>6</v>
      </c>
      <c r="E71" s="6" t="s">
        <v>6</v>
      </c>
      <c r="F71" s="6">
        <v>18856</v>
      </c>
    </row>
    <row r="72" spans="1:6" x14ac:dyDescent="0.35">
      <c r="A72" s="6" t="s">
        <v>263</v>
      </c>
      <c r="B72" s="6" t="s">
        <v>15</v>
      </c>
      <c r="C72" s="6">
        <v>1993</v>
      </c>
      <c r="D72" s="6" t="s">
        <v>6</v>
      </c>
      <c r="E72" s="6" t="s">
        <v>6</v>
      </c>
      <c r="F72" s="6">
        <v>19288</v>
      </c>
    </row>
    <row r="73" spans="1:6" x14ac:dyDescent="0.35">
      <c r="A73" s="6" t="s">
        <v>263</v>
      </c>
      <c r="B73" s="6" t="s">
        <v>15</v>
      </c>
      <c r="C73" s="6">
        <v>1994</v>
      </c>
      <c r="D73" s="6" t="s">
        <v>6</v>
      </c>
      <c r="E73" s="6" t="s">
        <v>6</v>
      </c>
      <c r="F73" s="6">
        <v>21324</v>
      </c>
    </row>
    <row r="74" spans="1:6" x14ac:dyDescent="0.35">
      <c r="A74" s="6" t="s">
        <v>263</v>
      </c>
      <c r="B74" s="6" t="s">
        <v>15</v>
      </c>
      <c r="C74" s="6">
        <v>1995</v>
      </c>
      <c r="D74" s="6">
        <v>1204082</v>
      </c>
      <c r="E74" s="6">
        <v>10529</v>
      </c>
      <c r="F74" s="6">
        <v>21058</v>
      </c>
    </row>
    <row r="75" spans="1:6" x14ac:dyDescent="0.35">
      <c r="A75" s="6" t="s">
        <v>263</v>
      </c>
      <c r="B75" s="6" t="s">
        <v>15</v>
      </c>
      <c r="C75" s="6">
        <v>1996</v>
      </c>
      <c r="D75" s="6" t="s">
        <v>6</v>
      </c>
      <c r="E75" s="6" t="s">
        <v>6</v>
      </c>
      <c r="F75" s="6">
        <v>22188</v>
      </c>
    </row>
    <row r="76" spans="1:6" x14ac:dyDescent="0.35">
      <c r="A76" s="6" t="s">
        <v>263</v>
      </c>
      <c r="B76" s="6" t="s">
        <v>6</v>
      </c>
      <c r="C76" s="6">
        <v>1997</v>
      </c>
      <c r="D76" s="6" t="s">
        <v>6</v>
      </c>
      <c r="E76" s="6" t="s">
        <v>6</v>
      </c>
      <c r="F76" s="6" t="s">
        <v>6</v>
      </c>
    </row>
    <row r="77" spans="1:6" x14ac:dyDescent="0.35">
      <c r="A77" s="6" t="s">
        <v>263</v>
      </c>
      <c r="B77" s="6" t="s">
        <v>6</v>
      </c>
      <c r="C77" s="6">
        <v>1998</v>
      </c>
      <c r="D77" s="6" t="s">
        <v>6</v>
      </c>
      <c r="E77" s="6" t="s">
        <v>6</v>
      </c>
      <c r="F77" s="6" t="s">
        <v>6</v>
      </c>
    </row>
    <row r="78" spans="1:6" x14ac:dyDescent="0.35">
      <c r="A78" s="6" t="s">
        <v>263</v>
      </c>
      <c r="B78" s="6" t="s">
        <v>6</v>
      </c>
      <c r="C78" s="6">
        <v>1999</v>
      </c>
      <c r="D78" s="6" t="s">
        <v>6</v>
      </c>
      <c r="E78" s="6" t="s">
        <v>6</v>
      </c>
      <c r="F78" s="6" t="s">
        <v>6</v>
      </c>
    </row>
    <row r="79" spans="1:6" x14ac:dyDescent="0.35">
      <c r="A79" s="6" t="s">
        <v>263</v>
      </c>
      <c r="B79" s="6" t="s">
        <v>264</v>
      </c>
      <c r="C79" s="3">
        <v>2000</v>
      </c>
      <c r="D79" s="6">
        <v>1203627</v>
      </c>
      <c r="E79" s="6">
        <v>12107</v>
      </c>
      <c r="F79" s="6" t="s">
        <v>6</v>
      </c>
    </row>
    <row r="80" spans="1:6" x14ac:dyDescent="0.35">
      <c r="A80" s="6" t="s">
        <v>263</v>
      </c>
      <c r="B80" s="6" t="s">
        <v>264</v>
      </c>
      <c r="C80" s="3">
        <v>2001</v>
      </c>
      <c r="D80" s="6">
        <v>1183323</v>
      </c>
      <c r="E80" s="6">
        <v>11919</v>
      </c>
      <c r="F80" s="6" t="s">
        <v>6</v>
      </c>
    </row>
    <row r="81" spans="1:6" x14ac:dyDescent="0.35">
      <c r="A81" s="6" t="s">
        <v>263</v>
      </c>
      <c r="B81" s="6" t="s">
        <v>264</v>
      </c>
      <c r="C81" s="3">
        <v>2002</v>
      </c>
      <c r="D81" s="6">
        <v>1164518</v>
      </c>
      <c r="E81" s="6">
        <v>12633</v>
      </c>
      <c r="F81" s="6" t="s">
        <v>6</v>
      </c>
    </row>
    <row r="82" spans="1:6" x14ac:dyDescent="0.35">
      <c r="A82" s="6" t="s">
        <v>263</v>
      </c>
      <c r="B82" s="6" t="s">
        <v>264</v>
      </c>
      <c r="C82" s="3">
        <v>2003</v>
      </c>
      <c r="D82" s="6">
        <v>1132508</v>
      </c>
      <c r="E82" s="6">
        <v>12743</v>
      </c>
      <c r="F82" s="6" t="s">
        <v>6</v>
      </c>
    </row>
    <row r="83" spans="1:6" x14ac:dyDescent="0.35">
      <c r="A83" s="6" t="s">
        <v>263</v>
      </c>
      <c r="B83" s="6" t="s">
        <v>264</v>
      </c>
      <c r="C83" s="3">
        <v>2004</v>
      </c>
      <c r="D83" s="6">
        <v>1118308</v>
      </c>
      <c r="E83" s="6">
        <v>12900</v>
      </c>
      <c r="F83" s="6" t="s">
        <v>6</v>
      </c>
    </row>
    <row r="84" spans="1:6" x14ac:dyDescent="0.35">
      <c r="A84" s="6" t="s">
        <v>263</v>
      </c>
      <c r="B84" s="6" t="s">
        <v>264</v>
      </c>
      <c r="C84" s="3">
        <v>2005</v>
      </c>
      <c r="D84" s="6">
        <v>1068633</v>
      </c>
      <c r="E84" s="6">
        <v>12455</v>
      </c>
      <c r="F84" s="6" t="s">
        <v>6</v>
      </c>
    </row>
    <row r="85" spans="1:6" x14ac:dyDescent="0.35">
      <c r="A85" s="6" t="s">
        <v>263</v>
      </c>
      <c r="B85" s="6" t="s">
        <v>264</v>
      </c>
      <c r="C85" s="3">
        <v>2006</v>
      </c>
      <c r="D85" s="6">
        <v>1097536</v>
      </c>
      <c r="E85" s="6">
        <v>12631</v>
      </c>
      <c r="F85" s="6" t="s">
        <v>6</v>
      </c>
    </row>
    <row r="86" spans="1:6" x14ac:dyDescent="0.35">
      <c r="A86" s="6" t="s">
        <v>263</v>
      </c>
      <c r="B86" s="6" t="s">
        <v>264</v>
      </c>
      <c r="C86" s="3">
        <v>2007</v>
      </c>
      <c r="D86" s="6">
        <v>1093632</v>
      </c>
      <c r="E86" s="6">
        <v>12394</v>
      </c>
      <c r="F86" s="6" t="s">
        <v>6</v>
      </c>
    </row>
    <row r="87" spans="1:6" x14ac:dyDescent="0.35">
      <c r="A87" s="6" t="s">
        <v>263</v>
      </c>
      <c r="B87" s="6" t="s">
        <v>264</v>
      </c>
      <c r="C87" s="3">
        <v>2008</v>
      </c>
      <c r="D87" s="6">
        <v>1095749</v>
      </c>
      <c r="E87" s="6">
        <v>11496</v>
      </c>
      <c r="F87" s="6" t="s">
        <v>6</v>
      </c>
    </row>
    <row r="88" spans="1:6" x14ac:dyDescent="0.35">
      <c r="A88" s="6" t="s">
        <v>263</v>
      </c>
      <c r="B88" s="6" t="s">
        <v>264</v>
      </c>
      <c r="C88" s="3">
        <v>2009</v>
      </c>
      <c r="D88" s="6">
        <v>1074920</v>
      </c>
      <c r="E88" s="6">
        <v>10803</v>
      </c>
      <c r="F88" s="6" t="s">
        <v>6</v>
      </c>
    </row>
    <row r="89" spans="1:6" x14ac:dyDescent="0.35">
      <c r="A89" s="6" t="s">
        <v>263</v>
      </c>
      <c r="B89" s="6" t="s">
        <v>264</v>
      </c>
      <c r="C89" s="3">
        <v>2010</v>
      </c>
      <c r="D89" s="6">
        <v>1076563</v>
      </c>
      <c r="E89" s="6">
        <v>10394</v>
      </c>
      <c r="F89" s="6" t="s">
        <v>6</v>
      </c>
    </row>
    <row r="90" spans="1:6" x14ac:dyDescent="0.35">
      <c r="A90" s="6" t="s">
        <v>263</v>
      </c>
      <c r="B90" s="6" t="s">
        <v>264</v>
      </c>
      <c r="C90" s="3">
        <v>2011</v>
      </c>
      <c r="D90" s="6">
        <v>1055833</v>
      </c>
      <c r="E90" s="6">
        <v>10124</v>
      </c>
      <c r="F90" s="6" t="s">
        <v>6</v>
      </c>
    </row>
    <row r="91" spans="1:6" x14ac:dyDescent="0.35">
      <c r="A91" s="6" t="s">
        <v>263</v>
      </c>
      <c r="B91" s="6" t="s">
        <v>264</v>
      </c>
      <c r="C91" s="3">
        <v>2012</v>
      </c>
      <c r="D91" s="6">
        <v>1040832</v>
      </c>
      <c r="E91" s="6">
        <v>10333</v>
      </c>
      <c r="F91" s="6" t="s">
        <v>6</v>
      </c>
    </row>
    <row r="92" spans="1:6" x14ac:dyDescent="0.35">
      <c r="A92" s="6" t="s">
        <v>263</v>
      </c>
      <c r="B92" s="6" t="s">
        <v>264</v>
      </c>
      <c r="C92" s="3">
        <v>2013</v>
      </c>
      <c r="D92" s="6">
        <v>1032764</v>
      </c>
      <c r="E92" s="6">
        <v>10328</v>
      </c>
      <c r="F92" s="6" t="s">
        <v>6</v>
      </c>
    </row>
    <row r="93" spans="1:6" x14ac:dyDescent="0.35">
      <c r="A93" s="6" t="s">
        <v>263</v>
      </c>
      <c r="B93" s="6" t="s">
        <v>264</v>
      </c>
      <c r="C93" s="3">
        <v>2014</v>
      </c>
      <c r="D93" s="6">
        <v>1006528</v>
      </c>
      <c r="E93" s="6">
        <v>10074</v>
      </c>
      <c r="F93" s="6" t="s">
        <v>6</v>
      </c>
    </row>
    <row r="94" spans="1:6" x14ac:dyDescent="0.35">
      <c r="A94" s="6" t="s">
        <v>263</v>
      </c>
      <c r="B94" s="6" t="s">
        <v>264</v>
      </c>
      <c r="C94" s="3">
        <v>2015</v>
      </c>
      <c r="D94" s="6">
        <v>1007792</v>
      </c>
      <c r="E94" s="6">
        <v>10067</v>
      </c>
      <c r="F94" s="6" t="s">
        <v>6</v>
      </c>
    </row>
    <row r="95" spans="1:6" x14ac:dyDescent="0.35">
      <c r="A95" s="6" t="s">
        <v>263</v>
      </c>
      <c r="B95" s="6" t="s">
        <v>264</v>
      </c>
      <c r="C95" s="3">
        <v>2016</v>
      </c>
      <c r="D95" s="6">
        <v>977780</v>
      </c>
      <c r="E95" s="6">
        <v>10000</v>
      </c>
      <c r="F95" s="6" t="s">
        <v>6</v>
      </c>
    </row>
    <row r="96" spans="1:6" x14ac:dyDescent="0.35">
      <c r="A96" s="6" t="s">
        <v>263</v>
      </c>
      <c r="B96" s="6" t="s">
        <v>264</v>
      </c>
      <c r="C96" s="3">
        <v>2017</v>
      </c>
      <c r="D96" s="6">
        <v>946532</v>
      </c>
      <c r="E96" s="6">
        <v>9769</v>
      </c>
      <c r="F96" s="6" t="s">
        <v>6</v>
      </c>
    </row>
    <row r="97" spans="1:6" x14ac:dyDescent="0.35">
      <c r="A97" s="6" t="s">
        <v>263</v>
      </c>
      <c r="B97" s="6" t="s">
        <v>264</v>
      </c>
      <c r="C97" s="3">
        <v>2018</v>
      </c>
      <c r="D97" s="6">
        <v>918387</v>
      </c>
      <c r="E97" s="6">
        <v>9620</v>
      </c>
      <c r="F97" s="6" t="s">
        <v>6</v>
      </c>
    </row>
    <row r="98" spans="1:6" x14ac:dyDescent="0.35">
      <c r="A98" s="6" t="s">
        <v>263</v>
      </c>
      <c r="B98" s="6" t="s">
        <v>264</v>
      </c>
      <c r="C98" s="3">
        <v>2019</v>
      </c>
      <c r="D98" s="6">
        <v>866378</v>
      </c>
      <c r="E98" s="6">
        <v>8937</v>
      </c>
      <c r="F98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07B6-42E6-4BCA-B342-F30DE8985133}">
  <dimension ref="A1:F41"/>
  <sheetViews>
    <sheetView zoomScale="55" zoomScaleNormal="55" workbookViewId="0">
      <selection sqref="A1:F39"/>
    </sheetView>
  </sheetViews>
  <sheetFormatPr defaultRowHeight="14.5" x14ac:dyDescent="0.35"/>
  <cols>
    <col min="1" max="1" width="11.08984375" style="6" customWidth="1"/>
    <col min="2" max="2" width="11" style="6" customWidth="1"/>
    <col min="3" max="3" width="7.7265625" style="6" customWidth="1"/>
    <col min="4" max="4" width="14.08984375" style="6" customWidth="1"/>
    <col min="5" max="5" width="19.1796875" style="6" customWidth="1"/>
    <col min="6" max="6" width="17.7265625" style="6" customWidth="1"/>
  </cols>
  <sheetData>
    <row r="1" spans="1:6" ht="26.5" x14ac:dyDescent="0.35">
      <c r="A1" s="20" t="s">
        <v>0</v>
      </c>
      <c r="B1" s="20" t="s">
        <v>1</v>
      </c>
      <c r="C1" s="20" t="s">
        <v>2</v>
      </c>
      <c r="D1" s="20" t="s">
        <v>9</v>
      </c>
      <c r="E1" s="20" t="s">
        <v>7</v>
      </c>
      <c r="F1" s="20" t="s">
        <v>8</v>
      </c>
    </row>
    <row r="2" spans="1:6" x14ac:dyDescent="0.35">
      <c r="A2" s="6" t="s">
        <v>265</v>
      </c>
      <c r="B2" s="6" t="s">
        <v>21</v>
      </c>
      <c r="C2" s="6" t="s">
        <v>88</v>
      </c>
      <c r="D2" s="6">
        <v>755444</v>
      </c>
      <c r="E2" s="6" t="s">
        <v>6</v>
      </c>
      <c r="F2" s="6">
        <v>7524</v>
      </c>
    </row>
    <row r="3" spans="1:6" x14ac:dyDescent="0.35">
      <c r="A3" s="6" t="s">
        <v>265</v>
      </c>
      <c r="B3" s="6" t="s">
        <v>21</v>
      </c>
      <c r="C3" s="6" t="s">
        <v>89</v>
      </c>
      <c r="D3" s="6">
        <v>659053</v>
      </c>
      <c r="E3" s="6" t="s">
        <v>6</v>
      </c>
      <c r="F3" s="6">
        <v>6546</v>
      </c>
    </row>
    <row r="4" spans="1:6" x14ac:dyDescent="0.35">
      <c r="A4" s="6" t="s">
        <v>265</v>
      </c>
      <c r="B4" s="6" t="s">
        <v>21</v>
      </c>
      <c r="C4" s="6" t="s">
        <v>90</v>
      </c>
      <c r="D4" s="6">
        <v>636464</v>
      </c>
      <c r="E4" s="6" t="s">
        <v>6</v>
      </c>
      <c r="F4" s="6">
        <v>6698</v>
      </c>
    </row>
    <row r="5" spans="1:6" x14ac:dyDescent="0.35">
      <c r="A5" s="6" t="s">
        <v>265</v>
      </c>
      <c r="B5" s="6" t="s">
        <v>21</v>
      </c>
      <c r="C5" s="6" t="s">
        <v>91</v>
      </c>
      <c r="D5" s="6">
        <v>615763</v>
      </c>
      <c r="E5" s="6" t="s">
        <v>6</v>
      </c>
      <c r="F5" s="6">
        <v>6146</v>
      </c>
    </row>
    <row r="6" spans="1:6" x14ac:dyDescent="0.35">
      <c r="A6" s="6" t="s">
        <v>265</v>
      </c>
      <c r="B6" s="6" t="s">
        <v>21</v>
      </c>
      <c r="C6" s="6" t="s">
        <v>92</v>
      </c>
      <c r="D6" s="6">
        <v>600437</v>
      </c>
      <c r="E6" s="6" t="s">
        <v>6</v>
      </c>
      <c r="F6" s="6">
        <v>6100</v>
      </c>
    </row>
    <row r="7" spans="1:6" x14ac:dyDescent="0.35">
      <c r="A7" s="6" t="s">
        <v>265</v>
      </c>
      <c r="B7" s="6" t="s">
        <v>6</v>
      </c>
      <c r="C7" s="6" t="s">
        <v>93</v>
      </c>
      <c r="D7" s="6" t="s">
        <v>6</v>
      </c>
      <c r="E7" s="6" t="s">
        <v>6</v>
      </c>
      <c r="F7" s="6" t="s">
        <v>6</v>
      </c>
    </row>
    <row r="8" spans="1:6" x14ac:dyDescent="0.35">
      <c r="A8" s="6" t="s">
        <v>265</v>
      </c>
      <c r="B8" s="6" t="s">
        <v>6</v>
      </c>
      <c r="C8" s="6" t="s">
        <v>94</v>
      </c>
      <c r="D8" s="6" t="s">
        <v>6</v>
      </c>
      <c r="E8" s="6" t="s">
        <v>6</v>
      </c>
      <c r="F8" s="6" t="s">
        <v>6</v>
      </c>
    </row>
    <row r="9" spans="1:6" x14ac:dyDescent="0.35">
      <c r="A9" s="6" t="s">
        <v>265</v>
      </c>
      <c r="B9" s="6" t="s">
        <v>6</v>
      </c>
      <c r="C9" s="6" t="s">
        <v>95</v>
      </c>
      <c r="D9" s="6" t="s">
        <v>6</v>
      </c>
      <c r="E9" s="6" t="s">
        <v>6</v>
      </c>
      <c r="F9" s="6" t="s">
        <v>6</v>
      </c>
    </row>
    <row r="10" spans="1:6" x14ac:dyDescent="0.35">
      <c r="A10" s="6" t="s">
        <v>265</v>
      </c>
      <c r="B10" s="6" t="s">
        <v>21</v>
      </c>
      <c r="C10" s="6" t="s">
        <v>96</v>
      </c>
      <c r="D10" s="6">
        <v>702204</v>
      </c>
      <c r="E10" s="6" t="s">
        <v>6</v>
      </c>
      <c r="F10" s="6">
        <v>6926</v>
      </c>
    </row>
    <row r="11" spans="1:6" x14ac:dyDescent="0.35">
      <c r="A11" s="6" t="s">
        <v>265</v>
      </c>
      <c r="B11" s="6" t="s">
        <v>21</v>
      </c>
      <c r="C11" s="6" t="s">
        <v>97</v>
      </c>
      <c r="D11" s="6">
        <v>722409</v>
      </c>
      <c r="E11" s="6" t="s">
        <v>6</v>
      </c>
      <c r="F11" s="6">
        <v>8105</v>
      </c>
    </row>
    <row r="12" spans="1:6" x14ac:dyDescent="0.35">
      <c r="A12" s="6" t="s">
        <v>265</v>
      </c>
      <c r="B12" s="6" t="s">
        <v>21</v>
      </c>
      <c r="C12" s="6" t="s">
        <v>98</v>
      </c>
      <c r="D12" s="6">
        <v>707709</v>
      </c>
      <c r="E12" s="6" t="s">
        <v>6</v>
      </c>
      <c r="F12" s="6">
        <v>7948</v>
      </c>
    </row>
    <row r="13" spans="1:6" x14ac:dyDescent="0.35">
      <c r="A13" s="6" t="s">
        <v>265</v>
      </c>
      <c r="B13" s="6" t="s">
        <v>21</v>
      </c>
      <c r="C13" s="6" t="s">
        <v>99</v>
      </c>
      <c r="D13" s="6">
        <v>712976</v>
      </c>
      <c r="E13" s="6" t="s">
        <v>6</v>
      </c>
      <c r="F13" s="6">
        <v>8055</v>
      </c>
    </row>
    <row r="14" spans="1:6" x14ac:dyDescent="0.35">
      <c r="A14" s="6" t="s">
        <v>265</v>
      </c>
      <c r="B14" s="6" t="s">
        <v>21</v>
      </c>
      <c r="C14" s="6" t="s">
        <v>100</v>
      </c>
      <c r="D14" s="6">
        <v>705543</v>
      </c>
      <c r="E14" s="6" t="s">
        <v>6</v>
      </c>
      <c r="F14" s="6">
        <v>9084</v>
      </c>
    </row>
    <row r="15" spans="1:6" x14ac:dyDescent="0.35">
      <c r="A15" s="6" t="s">
        <v>265</v>
      </c>
      <c r="B15" s="6" t="s">
        <v>21</v>
      </c>
      <c r="C15" s="6" t="s">
        <v>101</v>
      </c>
      <c r="D15" s="6">
        <v>681770</v>
      </c>
      <c r="E15" s="6" t="s">
        <v>6</v>
      </c>
      <c r="F15" s="6">
        <v>9025</v>
      </c>
    </row>
    <row r="16" spans="1:6" x14ac:dyDescent="0.35">
      <c r="A16" s="6" t="s">
        <v>265</v>
      </c>
      <c r="B16" s="6" t="s">
        <v>21</v>
      </c>
      <c r="C16" s="6" t="s">
        <v>102</v>
      </c>
      <c r="D16" s="6">
        <v>666162</v>
      </c>
      <c r="E16" s="6" t="s">
        <v>6</v>
      </c>
      <c r="F16" s="6">
        <v>8960</v>
      </c>
    </row>
    <row r="17" spans="1:6" x14ac:dyDescent="0.35">
      <c r="A17" s="6" t="s">
        <v>265</v>
      </c>
      <c r="B17" s="6" t="s">
        <v>266</v>
      </c>
      <c r="C17" s="6" t="s">
        <v>103</v>
      </c>
      <c r="D17" s="6">
        <v>631786</v>
      </c>
      <c r="E17" s="6" t="s">
        <v>6</v>
      </c>
      <c r="F17" s="6">
        <v>9576</v>
      </c>
    </row>
    <row r="18" spans="1:6" x14ac:dyDescent="0.35">
      <c r="A18" s="6" t="s">
        <v>265</v>
      </c>
      <c r="B18" s="6" t="s">
        <v>266</v>
      </c>
      <c r="C18" s="6" t="s">
        <v>104</v>
      </c>
      <c r="D18" s="6">
        <v>609507</v>
      </c>
      <c r="E18" s="6" t="s">
        <v>6</v>
      </c>
      <c r="F18" s="6">
        <v>9600</v>
      </c>
    </row>
    <row r="19" spans="1:6" x14ac:dyDescent="0.35">
      <c r="A19" s="6" t="s">
        <v>265</v>
      </c>
      <c r="B19" s="6" t="s">
        <v>266</v>
      </c>
      <c r="C19" s="6" t="s">
        <v>105</v>
      </c>
      <c r="D19" s="6">
        <v>627589</v>
      </c>
      <c r="E19" s="6">
        <v>5220</v>
      </c>
      <c r="F19" s="6">
        <v>10661</v>
      </c>
    </row>
    <row r="20" spans="1:6" x14ac:dyDescent="0.35">
      <c r="A20" s="6" t="s">
        <v>265</v>
      </c>
      <c r="B20" s="6" t="s">
        <v>266</v>
      </c>
      <c r="C20" s="6" t="s">
        <v>106</v>
      </c>
      <c r="D20" s="6">
        <v>547869</v>
      </c>
      <c r="E20" s="6">
        <v>4871</v>
      </c>
      <c r="F20" s="6">
        <v>9940</v>
      </c>
    </row>
    <row r="21" spans="1:6" x14ac:dyDescent="0.35">
      <c r="A21" s="6" t="s">
        <v>265</v>
      </c>
      <c r="B21" s="6" t="s">
        <v>266</v>
      </c>
      <c r="C21" s="6" t="s">
        <v>107</v>
      </c>
      <c r="D21" s="6">
        <v>483319</v>
      </c>
      <c r="E21" s="6">
        <v>4731</v>
      </c>
      <c r="F21" s="6">
        <v>9633</v>
      </c>
    </row>
    <row r="22" spans="1:6" x14ac:dyDescent="0.35">
      <c r="A22" s="6" t="s">
        <v>265</v>
      </c>
      <c r="B22" s="6" t="s">
        <v>266</v>
      </c>
      <c r="C22" s="6" t="s">
        <v>108</v>
      </c>
      <c r="D22" s="6">
        <v>480809</v>
      </c>
      <c r="E22" s="6">
        <v>4679</v>
      </c>
      <c r="F22" s="6">
        <v>9784</v>
      </c>
    </row>
    <row r="23" spans="1:6" x14ac:dyDescent="0.35">
      <c r="A23" s="6" t="s">
        <v>265</v>
      </c>
      <c r="B23" s="6" t="s">
        <v>266</v>
      </c>
      <c r="C23" s="6" t="s">
        <v>109</v>
      </c>
      <c r="D23" s="6">
        <v>463459</v>
      </c>
      <c r="E23" s="6">
        <v>4735</v>
      </c>
      <c r="F23" s="6">
        <v>9888</v>
      </c>
    </row>
    <row r="24" spans="1:6" x14ac:dyDescent="0.35">
      <c r="A24" s="6" t="s">
        <v>265</v>
      </c>
      <c r="B24" s="6" t="s">
        <v>266</v>
      </c>
      <c r="C24" s="6" t="s">
        <v>110</v>
      </c>
      <c r="D24" s="6">
        <v>425999</v>
      </c>
      <c r="E24" s="6">
        <v>4687</v>
      </c>
      <c r="F24" s="6">
        <v>9470</v>
      </c>
    </row>
    <row r="25" spans="1:6" x14ac:dyDescent="0.35">
      <c r="A25" s="6" t="s">
        <v>265</v>
      </c>
      <c r="B25" s="6" t="s">
        <v>266</v>
      </c>
      <c r="C25" s="6" t="s">
        <v>111</v>
      </c>
      <c r="D25" s="6">
        <v>437919</v>
      </c>
      <c r="E25" s="6">
        <v>4747</v>
      </c>
      <c r="F25" s="6">
        <v>10758</v>
      </c>
    </row>
    <row r="26" spans="1:6" x14ac:dyDescent="0.35">
      <c r="A26" s="6" t="s">
        <v>265</v>
      </c>
      <c r="B26" s="6" t="s">
        <v>266</v>
      </c>
      <c r="C26" s="6" t="s">
        <v>112</v>
      </c>
      <c r="D26" s="6">
        <v>480880</v>
      </c>
      <c r="E26" s="6">
        <v>6634</v>
      </c>
      <c r="F26" s="6">
        <v>13354</v>
      </c>
    </row>
    <row r="27" spans="1:6" x14ac:dyDescent="0.35">
      <c r="A27" s="6" t="s">
        <v>265</v>
      </c>
      <c r="B27" s="6" t="s">
        <v>266</v>
      </c>
      <c r="C27" s="6" t="s">
        <v>113</v>
      </c>
      <c r="D27" s="6">
        <v>450953</v>
      </c>
      <c r="E27" s="6">
        <v>6290</v>
      </c>
      <c r="F27" s="6">
        <v>12653</v>
      </c>
    </row>
    <row r="28" spans="1:6" x14ac:dyDescent="0.35">
      <c r="A28" s="6" t="s">
        <v>265</v>
      </c>
      <c r="B28" s="6" t="s">
        <v>266</v>
      </c>
      <c r="C28" s="6" t="s">
        <v>114</v>
      </c>
      <c r="D28" s="6">
        <v>430983</v>
      </c>
      <c r="E28" s="6">
        <v>5742</v>
      </c>
      <c r="F28" s="6">
        <v>11905</v>
      </c>
    </row>
    <row r="29" spans="1:6" x14ac:dyDescent="0.35">
      <c r="A29" s="6" t="s">
        <v>265</v>
      </c>
      <c r="B29" s="6" t="s">
        <v>266</v>
      </c>
      <c r="C29" s="6" t="s">
        <v>115</v>
      </c>
      <c r="D29" s="6">
        <v>455309</v>
      </c>
      <c r="E29" s="6">
        <v>6202</v>
      </c>
      <c r="F29" s="6">
        <v>12633</v>
      </c>
    </row>
    <row r="30" spans="1:6" x14ac:dyDescent="0.35">
      <c r="A30" s="6" t="s">
        <v>265</v>
      </c>
      <c r="B30" s="6" t="s">
        <v>266</v>
      </c>
      <c r="C30" s="6" t="s">
        <v>116</v>
      </c>
      <c r="D30" s="6">
        <v>457171</v>
      </c>
      <c r="E30" s="6">
        <v>6580</v>
      </c>
      <c r="F30" s="6">
        <v>13583</v>
      </c>
    </row>
    <row r="31" spans="1:6" x14ac:dyDescent="0.35">
      <c r="A31" s="6" t="s">
        <v>265</v>
      </c>
      <c r="B31" s="6" t="s">
        <v>266</v>
      </c>
      <c r="C31" s="6" t="s">
        <v>117</v>
      </c>
      <c r="D31" s="6">
        <v>468608</v>
      </c>
      <c r="E31" s="6">
        <v>7576</v>
      </c>
      <c r="F31" s="6">
        <v>15321</v>
      </c>
    </row>
    <row r="32" spans="1:6" x14ac:dyDescent="0.35">
      <c r="A32" s="6" t="s">
        <v>265</v>
      </c>
      <c r="B32" s="6" t="s">
        <v>266</v>
      </c>
      <c r="C32" s="6" t="s">
        <v>118</v>
      </c>
      <c r="D32" s="6">
        <v>421837</v>
      </c>
      <c r="E32" s="6">
        <v>6878</v>
      </c>
      <c r="F32" s="6">
        <v>14115</v>
      </c>
    </row>
    <row r="33" spans="1:6" x14ac:dyDescent="0.35">
      <c r="A33" s="6" t="s">
        <v>265</v>
      </c>
      <c r="B33" s="6" t="s">
        <v>266</v>
      </c>
      <c r="C33" s="6" t="s">
        <v>119</v>
      </c>
      <c r="D33" s="6">
        <v>420013</v>
      </c>
      <c r="E33" s="6">
        <v>7364</v>
      </c>
      <c r="F33" s="6">
        <v>14898</v>
      </c>
    </row>
    <row r="34" spans="1:6" x14ac:dyDescent="0.35">
      <c r="A34" s="6" t="s">
        <v>265</v>
      </c>
      <c r="B34" s="6" t="s">
        <v>266</v>
      </c>
      <c r="C34" s="6" t="s">
        <v>120</v>
      </c>
      <c r="D34" s="6">
        <v>421988</v>
      </c>
      <c r="E34" s="6">
        <v>7811</v>
      </c>
      <c r="F34" s="6">
        <v>15774</v>
      </c>
    </row>
    <row r="35" spans="1:6" x14ac:dyDescent="0.35">
      <c r="A35" s="6" t="s">
        <v>265</v>
      </c>
      <c r="B35" s="6" t="s">
        <v>266</v>
      </c>
      <c r="C35" s="6" t="s">
        <v>121</v>
      </c>
      <c r="D35" s="6">
        <v>390251</v>
      </c>
      <c r="E35" s="6">
        <v>7573</v>
      </c>
      <c r="F35" s="6">
        <v>15284</v>
      </c>
    </row>
    <row r="36" spans="1:6" x14ac:dyDescent="0.35">
      <c r="A36" s="6" t="s">
        <v>265</v>
      </c>
      <c r="B36" s="6" t="s">
        <v>266</v>
      </c>
      <c r="C36" s="6" t="s">
        <v>122</v>
      </c>
      <c r="D36" s="6">
        <v>343607</v>
      </c>
      <c r="E36" s="6">
        <v>6742</v>
      </c>
      <c r="F36" s="6">
        <v>13620</v>
      </c>
    </row>
    <row r="37" spans="1:6" x14ac:dyDescent="0.35">
      <c r="A37" s="6" t="s">
        <v>265</v>
      </c>
      <c r="B37" s="6" t="s">
        <v>266</v>
      </c>
      <c r="C37" s="6" t="s">
        <v>123</v>
      </c>
      <c r="D37" s="6">
        <v>312713</v>
      </c>
      <c r="E37" s="6">
        <v>6594</v>
      </c>
      <c r="F37" s="6">
        <v>13323</v>
      </c>
    </row>
    <row r="38" spans="1:6" x14ac:dyDescent="0.35">
      <c r="A38" s="6" t="s">
        <v>265</v>
      </c>
      <c r="B38" s="6" t="s">
        <v>266</v>
      </c>
      <c r="C38" s="6" t="s">
        <v>124</v>
      </c>
      <c r="D38" s="6">
        <v>288407</v>
      </c>
      <c r="E38" s="6">
        <v>6721</v>
      </c>
      <c r="F38" s="6">
        <v>13573</v>
      </c>
    </row>
    <row r="39" spans="1:6" x14ac:dyDescent="0.35">
      <c r="A39" s="6" t="s">
        <v>265</v>
      </c>
      <c r="B39" s="6" t="s">
        <v>266</v>
      </c>
      <c r="C39" s="6" t="s">
        <v>267</v>
      </c>
      <c r="D39" s="6">
        <v>258845</v>
      </c>
      <c r="E39" s="6">
        <v>6409</v>
      </c>
      <c r="F39" s="6">
        <v>12938</v>
      </c>
    </row>
    <row r="41" spans="1:6" x14ac:dyDescent="0.35">
      <c r="A41" s="22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AD27-A524-4673-B1D8-1F70A8A2F3B3}">
  <dimension ref="A1:F77"/>
  <sheetViews>
    <sheetView zoomScale="55" zoomScaleNormal="55" workbookViewId="0">
      <selection sqref="A1:F77"/>
    </sheetView>
  </sheetViews>
  <sheetFormatPr defaultRowHeight="14.5" x14ac:dyDescent="0.35"/>
  <cols>
    <col min="1" max="1" width="11.08984375" style="6" customWidth="1"/>
    <col min="2" max="2" width="11" style="6" customWidth="1"/>
    <col min="3" max="3" width="7.7265625" style="6" customWidth="1"/>
    <col min="4" max="4" width="14.08984375" style="6" customWidth="1"/>
    <col min="5" max="5" width="19.1796875" style="6" customWidth="1"/>
    <col min="6" max="6" width="17.7265625" style="6" customWidth="1"/>
  </cols>
  <sheetData>
    <row r="1" spans="1:6" ht="26.5" x14ac:dyDescent="0.35">
      <c r="A1" s="20" t="s">
        <v>0</v>
      </c>
      <c r="B1" s="20" t="s">
        <v>1</v>
      </c>
      <c r="C1" s="20" t="s">
        <v>2</v>
      </c>
      <c r="D1" s="20" t="s">
        <v>9</v>
      </c>
      <c r="E1" s="20" t="s">
        <v>7</v>
      </c>
      <c r="F1" s="20" t="s">
        <v>8</v>
      </c>
    </row>
    <row r="2" spans="1:6" x14ac:dyDescent="0.35">
      <c r="A2" s="6" t="s">
        <v>268</v>
      </c>
      <c r="B2" s="6" t="s">
        <v>269</v>
      </c>
      <c r="C2" s="6">
        <v>1945</v>
      </c>
      <c r="D2" s="6" t="s">
        <v>6</v>
      </c>
      <c r="E2" s="6">
        <v>610</v>
      </c>
      <c r="F2" s="6" t="s">
        <v>6</v>
      </c>
    </row>
    <row r="3" spans="1:6" x14ac:dyDescent="0.35">
      <c r="A3" s="6" t="s">
        <v>268</v>
      </c>
      <c r="B3" s="6" t="s">
        <v>6</v>
      </c>
      <c r="C3" s="6">
        <v>1946</v>
      </c>
      <c r="D3" s="6" t="s">
        <v>6</v>
      </c>
      <c r="E3" s="6" t="s">
        <v>6</v>
      </c>
      <c r="F3" s="6" t="s">
        <v>6</v>
      </c>
    </row>
    <row r="4" spans="1:6" x14ac:dyDescent="0.35">
      <c r="A4" s="6" t="s">
        <v>268</v>
      </c>
      <c r="B4" s="6" t="s">
        <v>6</v>
      </c>
      <c r="C4" s="6">
        <v>1947</v>
      </c>
      <c r="D4" s="6" t="s">
        <v>6</v>
      </c>
      <c r="E4" s="6" t="s">
        <v>6</v>
      </c>
      <c r="F4" s="6" t="s">
        <v>6</v>
      </c>
    </row>
    <row r="5" spans="1:6" x14ac:dyDescent="0.35">
      <c r="A5" s="6" t="s">
        <v>268</v>
      </c>
      <c r="B5" s="6" t="s">
        <v>6</v>
      </c>
      <c r="C5" s="6">
        <v>1948</v>
      </c>
      <c r="D5" s="6" t="s">
        <v>6</v>
      </c>
      <c r="E5" s="6" t="s">
        <v>6</v>
      </c>
      <c r="F5" s="6" t="s">
        <v>6</v>
      </c>
    </row>
    <row r="6" spans="1:6" x14ac:dyDescent="0.35">
      <c r="A6" s="6" t="s">
        <v>268</v>
      </c>
      <c r="B6" s="6" t="s">
        <v>6</v>
      </c>
      <c r="C6" s="6">
        <v>1949</v>
      </c>
      <c r="D6" s="6" t="s">
        <v>6</v>
      </c>
      <c r="E6" s="6" t="s">
        <v>6</v>
      </c>
      <c r="F6" s="6" t="s">
        <v>6</v>
      </c>
    </row>
    <row r="7" spans="1:6" x14ac:dyDescent="0.35">
      <c r="A7" s="6" t="s">
        <v>268</v>
      </c>
      <c r="B7" s="6" t="s">
        <v>269</v>
      </c>
      <c r="C7" s="6">
        <v>1950</v>
      </c>
      <c r="D7" s="6" t="s">
        <v>6</v>
      </c>
      <c r="E7" s="6">
        <v>872</v>
      </c>
      <c r="F7" s="6" t="s">
        <v>6</v>
      </c>
    </row>
    <row r="8" spans="1:6" x14ac:dyDescent="0.35">
      <c r="A8" s="6" t="s">
        <v>268</v>
      </c>
      <c r="B8" s="6" t="s">
        <v>6</v>
      </c>
      <c r="C8" s="6" t="s">
        <v>56</v>
      </c>
      <c r="D8" s="6" t="s">
        <v>6</v>
      </c>
      <c r="E8" s="6" t="s">
        <v>6</v>
      </c>
      <c r="F8" s="6" t="s">
        <v>6</v>
      </c>
    </row>
    <row r="9" spans="1:6" x14ac:dyDescent="0.35">
      <c r="A9" s="6" t="s">
        <v>268</v>
      </c>
      <c r="B9" s="6" t="s">
        <v>6</v>
      </c>
      <c r="C9" s="6" t="s">
        <v>57</v>
      </c>
      <c r="D9" s="6" t="s">
        <v>6</v>
      </c>
      <c r="E9" s="6" t="s">
        <v>6</v>
      </c>
      <c r="F9" s="6" t="s">
        <v>6</v>
      </c>
    </row>
    <row r="10" spans="1:6" x14ac:dyDescent="0.35">
      <c r="A10" s="6" t="s">
        <v>268</v>
      </c>
      <c r="B10" s="6" t="s">
        <v>6</v>
      </c>
      <c r="C10" s="6" t="s">
        <v>58</v>
      </c>
      <c r="D10" s="6" t="s">
        <v>6</v>
      </c>
      <c r="E10" s="6" t="s">
        <v>6</v>
      </c>
      <c r="F10" s="6" t="s">
        <v>6</v>
      </c>
    </row>
    <row r="11" spans="1:6" x14ac:dyDescent="0.35">
      <c r="A11" s="6" t="s">
        <v>268</v>
      </c>
      <c r="B11" s="6" t="s">
        <v>6</v>
      </c>
      <c r="C11" s="6" t="s">
        <v>59</v>
      </c>
      <c r="D11" s="6" t="s">
        <v>6</v>
      </c>
      <c r="E11" s="6" t="s">
        <v>6</v>
      </c>
      <c r="F11" s="6" t="s">
        <v>6</v>
      </c>
    </row>
    <row r="12" spans="1:6" x14ac:dyDescent="0.35">
      <c r="A12" s="6" t="s">
        <v>268</v>
      </c>
      <c r="B12" s="6" t="s">
        <v>269</v>
      </c>
      <c r="C12" s="6" t="s">
        <v>60</v>
      </c>
      <c r="D12" s="6" t="s">
        <v>6</v>
      </c>
      <c r="E12" s="6">
        <v>790</v>
      </c>
      <c r="F12" s="6" t="s">
        <v>6</v>
      </c>
    </row>
    <row r="13" spans="1:6" x14ac:dyDescent="0.35">
      <c r="A13" s="6" t="s">
        <v>268</v>
      </c>
      <c r="B13" s="6" t="s">
        <v>6</v>
      </c>
      <c r="C13" s="6" t="s">
        <v>61</v>
      </c>
      <c r="D13" s="6" t="s">
        <v>6</v>
      </c>
      <c r="E13" s="6" t="s">
        <v>6</v>
      </c>
      <c r="F13" s="6" t="s">
        <v>6</v>
      </c>
    </row>
    <row r="14" spans="1:6" x14ac:dyDescent="0.35">
      <c r="A14" s="6" t="s">
        <v>268</v>
      </c>
      <c r="B14" s="6" t="s">
        <v>6</v>
      </c>
      <c r="C14" s="6" t="s">
        <v>62</v>
      </c>
      <c r="D14" s="6" t="s">
        <v>6</v>
      </c>
      <c r="E14" s="6" t="s">
        <v>6</v>
      </c>
      <c r="F14" s="6" t="s">
        <v>6</v>
      </c>
    </row>
    <row r="15" spans="1:6" x14ac:dyDescent="0.35">
      <c r="A15" s="6" t="s">
        <v>268</v>
      </c>
      <c r="B15" s="6" t="s">
        <v>6</v>
      </c>
      <c r="C15" s="6" t="s">
        <v>63</v>
      </c>
      <c r="D15" s="6" t="s">
        <v>6</v>
      </c>
      <c r="E15" s="6" t="s">
        <v>6</v>
      </c>
      <c r="F15" s="6" t="s">
        <v>6</v>
      </c>
    </row>
    <row r="16" spans="1:6" x14ac:dyDescent="0.35">
      <c r="A16" s="6" t="s">
        <v>268</v>
      </c>
      <c r="B16" s="6" t="s">
        <v>6</v>
      </c>
      <c r="C16" s="6" t="s">
        <v>64</v>
      </c>
      <c r="D16" s="6" t="s">
        <v>6</v>
      </c>
      <c r="E16" s="6" t="s">
        <v>6</v>
      </c>
      <c r="F16" s="6" t="s">
        <v>6</v>
      </c>
    </row>
    <row r="17" spans="1:6" x14ac:dyDescent="0.35">
      <c r="A17" s="6" t="s">
        <v>268</v>
      </c>
      <c r="B17" s="6" t="s">
        <v>269</v>
      </c>
      <c r="C17" s="6" t="s">
        <v>65</v>
      </c>
      <c r="D17" s="6" t="s">
        <v>6</v>
      </c>
      <c r="E17" s="6">
        <v>844</v>
      </c>
      <c r="F17" s="6" t="s">
        <v>6</v>
      </c>
    </row>
    <row r="18" spans="1:6" x14ac:dyDescent="0.35">
      <c r="A18" s="6" t="s">
        <v>268</v>
      </c>
      <c r="B18" s="6" t="s">
        <v>6</v>
      </c>
      <c r="C18" s="6" t="s">
        <v>66</v>
      </c>
      <c r="D18" s="6" t="s">
        <v>6</v>
      </c>
      <c r="E18" s="6" t="s">
        <v>6</v>
      </c>
      <c r="F18" s="6" t="s">
        <v>6</v>
      </c>
    </row>
    <row r="19" spans="1:6" x14ac:dyDescent="0.35">
      <c r="A19" s="6" t="s">
        <v>268</v>
      </c>
      <c r="B19" s="6" t="s">
        <v>6</v>
      </c>
      <c r="C19" s="6" t="s">
        <v>67</v>
      </c>
      <c r="D19" s="6" t="s">
        <v>6</v>
      </c>
      <c r="E19" s="6" t="s">
        <v>6</v>
      </c>
      <c r="F19" s="6" t="s">
        <v>6</v>
      </c>
    </row>
    <row r="20" spans="1:6" x14ac:dyDescent="0.35">
      <c r="A20" s="6" t="s">
        <v>268</v>
      </c>
      <c r="B20" s="6" t="s">
        <v>6</v>
      </c>
      <c r="C20" s="6" t="s">
        <v>68</v>
      </c>
      <c r="D20" s="6" t="s">
        <v>6</v>
      </c>
      <c r="E20" s="6" t="s">
        <v>6</v>
      </c>
      <c r="F20" s="6" t="s">
        <v>6</v>
      </c>
    </row>
    <row r="21" spans="1:6" x14ac:dyDescent="0.35">
      <c r="A21" s="6" t="s">
        <v>268</v>
      </c>
      <c r="B21" s="6" t="s">
        <v>6</v>
      </c>
      <c r="C21" s="6" t="s">
        <v>69</v>
      </c>
      <c r="D21" s="6" t="s">
        <v>6</v>
      </c>
      <c r="E21" s="6" t="s">
        <v>6</v>
      </c>
      <c r="F21" s="6" t="s">
        <v>6</v>
      </c>
    </row>
    <row r="22" spans="1:6" x14ac:dyDescent="0.35">
      <c r="A22" s="6" t="s">
        <v>268</v>
      </c>
      <c r="B22" s="6" t="s">
        <v>269</v>
      </c>
      <c r="C22" s="6" t="s">
        <v>70</v>
      </c>
      <c r="D22" s="6" t="s">
        <v>6</v>
      </c>
      <c r="E22" s="6">
        <v>738</v>
      </c>
      <c r="F22" s="6" t="s">
        <v>6</v>
      </c>
    </row>
    <row r="23" spans="1:6" x14ac:dyDescent="0.35">
      <c r="A23" s="6" t="s">
        <v>268</v>
      </c>
      <c r="B23" s="6" t="s">
        <v>269</v>
      </c>
      <c r="C23" s="6" t="s">
        <v>71</v>
      </c>
      <c r="D23" s="6" t="s">
        <v>6</v>
      </c>
      <c r="E23" s="6">
        <v>709</v>
      </c>
      <c r="F23" s="6" t="s">
        <v>6</v>
      </c>
    </row>
    <row r="24" spans="1:6" x14ac:dyDescent="0.35">
      <c r="A24" s="6" t="s">
        <v>268</v>
      </c>
      <c r="B24" s="6" t="s">
        <v>269</v>
      </c>
      <c r="C24" s="6" t="s">
        <v>72</v>
      </c>
      <c r="D24" s="6" t="s">
        <v>6</v>
      </c>
      <c r="E24" s="6">
        <v>652</v>
      </c>
      <c r="F24" s="6" t="s">
        <v>6</v>
      </c>
    </row>
    <row r="25" spans="1:6" x14ac:dyDescent="0.35">
      <c r="A25" s="6" t="s">
        <v>268</v>
      </c>
      <c r="B25" s="6" t="s">
        <v>269</v>
      </c>
      <c r="C25" s="6" t="s">
        <v>73</v>
      </c>
      <c r="D25" s="6" t="s">
        <v>6</v>
      </c>
      <c r="E25" s="6">
        <v>605</v>
      </c>
      <c r="F25" s="6" t="s">
        <v>6</v>
      </c>
    </row>
    <row r="26" spans="1:6" x14ac:dyDescent="0.35">
      <c r="A26" s="6" t="s">
        <v>268</v>
      </c>
      <c r="B26" s="6" t="s">
        <v>269</v>
      </c>
      <c r="C26" s="6" t="s">
        <v>74</v>
      </c>
      <c r="D26" s="6" t="s">
        <v>6</v>
      </c>
      <c r="E26" s="6">
        <v>602</v>
      </c>
      <c r="F26" s="6" t="s">
        <v>6</v>
      </c>
    </row>
    <row r="27" spans="1:6" x14ac:dyDescent="0.35">
      <c r="A27" s="6" t="s">
        <v>268</v>
      </c>
      <c r="B27" s="6" t="s">
        <v>269</v>
      </c>
      <c r="C27" s="6" t="s">
        <v>75</v>
      </c>
      <c r="D27" s="6" t="s">
        <v>6</v>
      </c>
      <c r="E27" s="6">
        <v>647</v>
      </c>
      <c r="F27" s="6" t="s">
        <v>6</v>
      </c>
    </row>
    <row r="28" spans="1:6" x14ac:dyDescent="0.35">
      <c r="A28" s="6" t="s">
        <v>268</v>
      </c>
      <c r="B28" s="6" t="s">
        <v>269</v>
      </c>
      <c r="C28" s="6" t="s">
        <v>76</v>
      </c>
      <c r="D28" s="6" t="s">
        <v>6</v>
      </c>
      <c r="E28" s="6">
        <v>564</v>
      </c>
      <c r="F28" s="6" t="s">
        <v>6</v>
      </c>
    </row>
    <row r="29" spans="1:6" x14ac:dyDescent="0.35">
      <c r="A29" s="6" t="s">
        <v>268</v>
      </c>
      <c r="B29" s="6" t="s">
        <v>269</v>
      </c>
      <c r="C29" s="6" t="s">
        <v>77</v>
      </c>
      <c r="D29" s="6" t="s">
        <v>6</v>
      </c>
      <c r="E29" s="6">
        <v>613</v>
      </c>
      <c r="F29" s="6" t="s">
        <v>6</v>
      </c>
    </row>
    <row r="30" spans="1:6" x14ac:dyDescent="0.35">
      <c r="A30" s="6" t="s">
        <v>268</v>
      </c>
      <c r="B30" s="6" t="s">
        <v>269</v>
      </c>
      <c r="C30" s="6" t="s">
        <v>78</v>
      </c>
      <c r="D30" s="6" t="s">
        <v>6</v>
      </c>
      <c r="E30" s="6">
        <v>528</v>
      </c>
      <c r="F30" s="6" t="s">
        <v>6</v>
      </c>
    </row>
    <row r="31" spans="1:6" x14ac:dyDescent="0.35">
      <c r="A31" s="6" t="s">
        <v>268</v>
      </c>
      <c r="B31" s="6" t="s">
        <v>269</v>
      </c>
      <c r="C31" s="6" t="s">
        <v>79</v>
      </c>
      <c r="D31" s="6" t="s">
        <v>6</v>
      </c>
      <c r="E31" s="6">
        <v>502</v>
      </c>
      <c r="F31" s="6" t="s">
        <v>6</v>
      </c>
    </row>
    <row r="32" spans="1:6" x14ac:dyDescent="0.35">
      <c r="A32" s="6" t="s">
        <v>268</v>
      </c>
      <c r="B32" s="6" t="s">
        <v>269</v>
      </c>
      <c r="C32" s="6" t="s">
        <v>80</v>
      </c>
      <c r="D32" s="6" t="s">
        <v>6</v>
      </c>
      <c r="E32" s="6">
        <v>456</v>
      </c>
      <c r="F32" s="6" t="s">
        <v>6</v>
      </c>
    </row>
    <row r="33" spans="1:6" x14ac:dyDescent="0.35">
      <c r="A33" s="6" t="s">
        <v>268</v>
      </c>
      <c r="B33" s="6" t="s">
        <v>269</v>
      </c>
      <c r="C33" s="6" t="s">
        <v>81</v>
      </c>
      <c r="D33" s="6" t="s">
        <v>6</v>
      </c>
      <c r="E33" s="6">
        <v>499</v>
      </c>
      <c r="F33" s="6" t="s">
        <v>6</v>
      </c>
    </row>
    <row r="34" spans="1:6" x14ac:dyDescent="0.35">
      <c r="A34" s="6" t="s">
        <v>268</v>
      </c>
      <c r="B34" s="6" t="s">
        <v>269</v>
      </c>
      <c r="C34" s="6" t="s">
        <v>82</v>
      </c>
      <c r="D34" s="6" t="s">
        <v>6</v>
      </c>
      <c r="E34" s="6">
        <v>442</v>
      </c>
      <c r="F34" s="6" t="s">
        <v>6</v>
      </c>
    </row>
    <row r="35" spans="1:6" x14ac:dyDescent="0.35">
      <c r="A35" s="6" t="s">
        <v>268</v>
      </c>
      <c r="B35" s="6" t="s">
        <v>269</v>
      </c>
      <c r="C35" s="6" t="s">
        <v>83</v>
      </c>
      <c r="D35" s="6" t="s">
        <v>6</v>
      </c>
      <c r="E35" s="6">
        <v>556</v>
      </c>
      <c r="F35" s="6" t="s">
        <v>6</v>
      </c>
    </row>
    <row r="36" spans="1:6" x14ac:dyDescent="0.35">
      <c r="A36" s="6" t="s">
        <v>268</v>
      </c>
      <c r="B36" s="6" t="s">
        <v>269</v>
      </c>
      <c r="C36" s="6" t="s">
        <v>84</v>
      </c>
      <c r="D36" s="6" t="s">
        <v>6</v>
      </c>
      <c r="E36" s="6">
        <v>461</v>
      </c>
      <c r="F36" s="6" t="s">
        <v>6</v>
      </c>
    </row>
    <row r="37" spans="1:6" x14ac:dyDescent="0.35">
      <c r="A37" s="6" t="s">
        <v>268</v>
      </c>
      <c r="B37" s="6" t="s">
        <v>269</v>
      </c>
      <c r="C37" s="6" t="s">
        <v>85</v>
      </c>
      <c r="D37" s="6" t="s">
        <v>6</v>
      </c>
      <c r="E37" s="6">
        <v>413</v>
      </c>
      <c r="F37" s="6" t="s">
        <v>6</v>
      </c>
    </row>
    <row r="38" spans="1:6" x14ac:dyDescent="0.35">
      <c r="A38" s="6" t="s">
        <v>268</v>
      </c>
      <c r="B38" s="6" t="s">
        <v>269</v>
      </c>
      <c r="C38" s="6" t="s">
        <v>86</v>
      </c>
      <c r="D38" s="6" t="s">
        <v>6</v>
      </c>
      <c r="E38" s="6">
        <v>391</v>
      </c>
      <c r="F38" s="6" t="s">
        <v>6</v>
      </c>
    </row>
    <row r="39" spans="1:6" x14ac:dyDescent="0.35">
      <c r="A39" s="6" t="s">
        <v>268</v>
      </c>
      <c r="B39" s="6" t="s">
        <v>269</v>
      </c>
      <c r="C39" s="6" t="s">
        <v>87</v>
      </c>
      <c r="D39" s="6" t="s">
        <v>6</v>
      </c>
      <c r="E39" s="6">
        <v>410</v>
      </c>
      <c r="F39" s="6" t="s">
        <v>6</v>
      </c>
    </row>
    <row r="40" spans="1:6" x14ac:dyDescent="0.35">
      <c r="A40" s="6" t="s">
        <v>268</v>
      </c>
      <c r="B40" s="6" t="s">
        <v>269</v>
      </c>
      <c r="C40" s="6" t="s">
        <v>88</v>
      </c>
      <c r="D40" s="6" t="s">
        <v>6</v>
      </c>
      <c r="E40" s="6">
        <v>459</v>
      </c>
      <c r="F40" s="6" t="s">
        <v>6</v>
      </c>
    </row>
    <row r="41" spans="1:6" x14ac:dyDescent="0.35">
      <c r="A41" s="6" t="s">
        <v>268</v>
      </c>
      <c r="B41" s="6" t="s">
        <v>269</v>
      </c>
      <c r="C41" s="6" t="s">
        <v>89</v>
      </c>
      <c r="D41" s="6" t="s">
        <v>6</v>
      </c>
      <c r="E41" s="6">
        <v>387</v>
      </c>
      <c r="F41" s="6" t="s">
        <v>6</v>
      </c>
    </row>
    <row r="42" spans="1:6" x14ac:dyDescent="0.35">
      <c r="A42" s="6" t="s">
        <v>268</v>
      </c>
      <c r="B42" s="6" t="s">
        <v>269</v>
      </c>
      <c r="C42" s="6" t="s">
        <v>90</v>
      </c>
      <c r="D42" s="6" t="s">
        <v>6</v>
      </c>
      <c r="E42" s="6">
        <v>468</v>
      </c>
      <c r="F42" s="6" t="s">
        <v>6</v>
      </c>
    </row>
    <row r="43" spans="1:6" x14ac:dyDescent="0.35">
      <c r="A43" s="6" t="s">
        <v>268</v>
      </c>
      <c r="B43" s="6" t="s">
        <v>269</v>
      </c>
      <c r="C43" s="6" t="s">
        <v>91</v>
      </c>
      <c r="D43" s="6" t="s">
        <v>6</v>
      </c>
      <c r="E43" s="6">
        <v>512</v>
      </c>
      <c r="F43" s="6" t="s">
        <v>6</v>
      </c>
    </row>
    <row r="44" spans="1:6" x14ac:dyDescent="0.35">
      <c r="A44" s="6" t="s">
        <v>268</v>
      </c>
      <c r="B44" s="6" t="s">
        <v>269</v>
      </c>
      <c r="C44" s="6" t="s">
        <v>92</v>
      </c>
      <c r="D44" s="6" t="s">
        <v>6</v>
      </c>
      <c r="E44" s="6">
        <v>530</v>
      </c>
      <c r="F44" s="6" t="s">
        <v>6</v>
      </c>
    </row>
    <row r="45" spans="1:6" x14ac:dyDescent="0.35">
      <c r="A45" s="6" t="s">
        <v>268</v>
      </c>
      <c r="B45" s="6" t="s">
        <v>269</v>
      </c>
      <c r="C45" s="6" t="s">
        <v>93</v>
      </c>
      <c r="D45" s="6" t="s">
        <v>6</v>
      </c>
      <c r="E45" s="6">
        <v>482</v>
      </c>
      <c r="F45" s="6" t="s">
        <v>6</v>
      </c>
    </row>
    <row r="46" spans="1:6" x14ac:dyDescent="0.35">
      <c r="A46" s="6" t="s">
        <v>268</v>
      </c>
      <c r="B46" s="6" t="s">
        <v>269</v>
      </c>
      <c r="C46" s="6" t="s">
        <v>94</v>
      </c>
      <c r="D46" s="6" t="s">
        <v>6</v>
      </c>
      <c r="E46" s="6">
        <v>426</v>
      </c>
      <c r="F46" s="6" t="s">
        <v>6</v>
      </c>
    </row>
    <row r="47" spans="1:6" x14ac:dyDescent="0.35">
      <c r="A47" s="6" t="s">
        <v>268</v>
      </c>
      <c r="B47" s="6" t="s">
        <v>269</v>
      </c>
      <c r="C47" s="6" t="s">
        <v>95</v>
      </c>
      <c r="D47" s="6" t="s">
        <v>6</v>
      </c>
      <c r="E47" s="6">
        <v>447</v>
      </c>
      <c r="F47" s="6" t="s">
        <v>6</v>
      </c>
    </row>
    <row r="48" spans="1:6" x14ac:dyDescent="0.35">
      <c r="A48" s="6" t="s">
        <v>268</v>
      </c>
      <c r="B48" s="6" t="s">
        <v>269</v>
      </c>
      <c r="C48" s="6" t="s">
        <v>96</v>
      </c>
      <c r="D48" s="6" t="s">
        <v>6</v>
      </c>
      <c r="E48" s="6">
        <v>488</v>
      </c>
      <c r="F48" s="6" t="s">
        <v>6</v>
      </c>
    </row>
    <row r="49" spans="1:6" x14ac:dyDescent="0.35">
      <c r="A49" s="6" t="s">
        <v>268</v>
      </c>
      <c r="B49" s="6" t="s">
        <v>269</v>
      </c>
      <c r="C49" s="6" t="s">
        <v>97</v>
      </c>
      <c r="D49" s="6" t="s">
        <v>6</v>
      </c>
      <c r="E49" s="6">
        <v>462</v>
      </c>
      <c r="F49" s="6" t="s">
        <v>6</v>
      </c>
    </row>
    <row r="50" spans="1:6" x14ac:dyDescent="0.35">
      <c r="A50" s="6" t="s">
        <v>268</v>
      </c>
      <c r="B50" s="6" t="s">
        <v>269</v>
      </c>
      <c r="C50" s="6" t="s">
        <v>98</v>
      </c>
      <c r="D50" s="6" t="s">
        <v>6</v>
      </c>
      <c r="E50" s="6">
        <v>423</v>
      </c>
      <c r="F50" s="6" t="s">
        <v>6</v>
      </c>
    </row>
    <row r="51" spans="1:6" x14ac:dyDescent="0.35">
      <c r="A51" s="6" t="s">
        <v>268</v>
      </c>
      <c r="B51" s="6" t="s">
        <v>269</v>
      </c>
      <c r="C51" s="6" t="s">
        <v>99</v>
      </c>
      <c r="D51" s="6" t="s">
        <v>6</v>
      </c>
      <c r="E51" s="6">
        <v>399</v>
      </c>
      <c r="F51" s="6" t="s">
        <v>6</v>
      </c>
    </row>
    <row r="52" spans="1:6" x14ac:dyDescent="0.35">
      <c r="A52" s="6" t="s">
        <v>268</v>
      </c>
      <c r="B52" s="6" t="s">
        <v>269</v>
      </c>
      <c r="C52" s="6" t="s">
        <v>100</v>
      </c>
      <c r="D52" s="6" t="s">
        <v>6</v>
      </c>
      <c r="E52" s="6">
        <v>365</v>
      </c>
      <c r="F52" s="6" t="s">
        <v>6</v>
      </c>
    </row>
    <row r="53" spans="1:6" x14ac:dyDescent="0.35">
      <c r="A53" s="6" t="s">
        <v>268</v>
      </c>
      <c r="B53" s="6" t="s">
        <v>269</v>
      </c>
      <c r="C53" s="6" t="s">
        <v>101</v>
      </c>
      <c r="D53" s="6" t="s">
        <v>6</v>
      </c>
      <c r="E53" s="6">
        <v>386</v>
      </c>
      <c r="F53" s="6" t="s">
        <v>6</v>
      </c>
    </row>
    <row r="54" spans="1:6" x14ac:dyDescent="0.35">
      <c r="A54" s="6" t="s">
        <v>268</v>
      </c>
      <c r="B54" s="6" t="s">
        <v>269</v>
      </c>
      <c r="C54" s="6" t="s">
        <v>102</v>
      </c>
      <c r="D54" s="6" t="s">
        <v>6</v>
      </c>
      <c r="E54" s="6">
        <v>353</v>
      </c>
      <c r="F54" s="6" t="s">
        <v>6</v>
      </c>
    </row>
    <row r="55" spans="1:6" x14ac:dyDescent="0.35">
      <c r="A55" s="6" t="s">
        <v>268</v>
      </c>
      <c r="B55" s="6" t="s">
        <v>269</v>
      </c>
      <c r="C55" s="6" t="s">
        <v>103</v>
      </c>
      <c r="D55" s="6" t="s">
        <v>6</v>
      </c>
      <c r="E55" s="6">
        <v>383</v>
      </c>
      <c r="F55" s="6" t="s">
        <v>6</v>
      </c>
    </row>
    <row r="56" spans="1:6" x14ac:dyDescent="0.35">
      <c r="A56" s="6" t="s">
        <v>268</v>
      </c>
      <c r="B56" s="6" t="s">
        <v>269</v>
      </c>
      <c r="C56" s="6" t="s">
        <v>104</v>
      </c>
      <c r="D56" s="6" t="s">
        <v>6</v>
      </c>
      <c r="E56" s="6">
        <v>378</v>
      </c>
      <c r="F56" s="6" t="s">
        <v>6</v>
      </c>
    </row>
    <row r="57" spans="1:6" x14ac:dyDescent="0.35">
      <c r="A57" s="6" t="s">
        <v>268</v>
      </c>
      <c r="B57" s="6" t="s">
        <v>269</v>
      </c>
      <c r="C57" s="6" t="s">
        <v>105</v>
      </c>
      <c r="D57" s="6" t="s">
        <v>6</v>
      </c>
      <c r="E57" s="6">
        <v>337</v>
      </c>
      <c r="F57" s="6" t="s">
        <v>6</v>
      </c>
    </row>
    <row r="58" spans="1:6" x14ac:dyDescent="0.35">
      <c r="A58" s="6" t="s">
        <v>268</v>
      </c>
      <c r="B58" s="6" t="s">
        <v>269</v>
      </c>
      <c r="C58" s="6" t="s">
        <v>106</v>
      </c>
      <c r="D58" s="6" t="s">
        <v>6</v>
      </c>
      <c r="E58" s="6">
        <v>300</v>
      </c>
      <c r="F58" s="6" t="s">
        <v>6</v>
      </c>
    </row>
    <row r="59" spans="1:6" x14ac:dyDescent="0.35">
      <c r="A59" s="6" t="s">
        <v>268</v>
      </c>
      <c r="B59" s="6" t="s">
        <v>269</v>
      </c>
      <c r="C59" s="6" t="s">
        <v>107</v>
      </c>
      <c r="D59" s="6" t="s">
        <v>6</v>
      </c>
      <c r="E59" s="6">
        <v>322</v>
      </c>
      <c r="F59" s="6" t="s">
        <v>6</v>
      </c>
    </row>
    <row r="60" spans="1:6" x14ac:dyDescent="0.35">
      <c r="A60" s="6" t="s">
        <v>268</v>
      </c>
      <c r="B60" s="6" t="s">
        <v>269</v>
      </c>
      <c r="C60" s="6" t="s">
        <v>108</v>
      </c>
      <c r="D60" s="6" t="s">
        <v>6</v>
      </c>
      <c r="E60" s="6">
        <v>351</v>
      </c>
      <c r="F60" s="6" t="s">
        <v>6</v>
      </c>
    </row>
    <row r="61" spans="1:6" x14ac:dyDescent="0.35">
      <c r="A61" s="6" t="s">
        <v>268</v>
      </c>
      <c r="B61" s="6" t="s">
        <v>269</v>
      </c>
      <c r="C61" s="6" t="s">
        <v>109</v>
      </c>
      <c r="D61" s="6" t="s">
        <v>6</v>
      </c>
      <c r="E61" s="6">
        <v>318</v>
      </c>
      <c r="F61" s="6" t="s">
        <v>6</v>
      </c>
    </row>
    <row r="62" spans="1:6" x14ac:dyDescent="0.35">
      <c r="A62" s="6" t="s">
        <v>268</v>
      </c>
      <c r="B62" s="6" t="s">
        <v>269</v>
      </c>
      <c r="C62" s="6" t="s">
        <v>110</v>
      </c>
      <c r="D62" s="6" t="s">
        <v>6</v>
      </c>
      <c r="E62" s="6">
        <v>306</v>
      </c>
      <c r="F62" s="6" t="s">
        <v>6</v>
      </c>
    </row>
    <row r="63" spans="1:6" x14ac:dyDescent="0.35">
      <c r="A63" s="6" t="s">
        <v>268</v>
      </c>
      <c r="B63" s="6" t="s">
        <v>269</v>
      </c>
      <c r="C63" s="6" t="s">
        <v>111</v>
      </c>
      <c r="D63" s="6" t="s">
        <v>6</v>
      </c>
      <c r="E63" s="6">
        <v>307</v>
      </c>
      <c r="F63" s="6" t="s">
        <v>6</v>
      </c>
    </row>
    <row r="64" spans="1:6" x14ac:dyDescent="0.35">
      <c r="A64" s="6" t="s">
        <v>268</v>
      </c>
      <c r="B64" s="6" t="s">
        <v>269</v>
      </c>
      <c r="C64" s="6" t="s">
        <v>112</v>
      </c>
      <c r="D64" s="6" t="s">
        <v>6</v>
      </c>
      <c r="E64" s="6">
        <v>327</v>
      </c>
      <c r="F64" s="6" t="s">
        <v>6</v>
      </c>
    </row>
    <row r="65" spans="1:6" x14ac:dyDescent="0.35">
      <c r="A65" s="6" t="s">
        <v>268</v>
      </c>
      <c r="B65" s="6" t="s">
        <v>269</v>
      </c>
      <c r="C65" s="6" t="s">
        <v>113</v>
      </c>
      <c r="D65" s="6" t="s">
        <v>6</v>
      </c>
      <c r="E65" s="6">
        <v>366</v>
      </c>
      <c r="F65" s="6" t="s">
        <v>6</v>
      </c>
    </row>
    <row r="66" spans="1:6" x14ac:dyDescent="0.35">
      <c r="A66" s="6" t="s">
        <v>268</v>
      </c>
      <c r="B66" s="6" t="s">
        <v>269</v>
      </c>
      <c r="C66" s="6" t="s">
        <v>114</v>
      </c>
      <c r="D66" s="6" t="s">
        <v>6</v>
      </c>
      <c r="E66" s="6">
        <v>412</v>
      </c>
      <c r="F66" s="6" t="s">
        <v>6</v>
      </c>
    </row>
    <row r="67" spans="1:6" x14ac:dyDescent="0.35">
      <c r="A67" s="6" t="s">
        <v>268</v>
      </c>
      <c r="B67" s="6" t="s">
        <v>269</v>
      </c>
      <c r="C67" s="6" t="s">
        <v>115</v>
      </c>
      <c r="D67" s="6" t="s">
        <v>6</v>
      </c>
      <c r="E67" s="6">
        <v>381</v>
      </c>
      <c r="F67" s="6" t="s">
        <v>6</v>
      </c>
    </row>
    <row r="68" spans="1:6" x14ac:dyDescent="0.35">
      <c r="A68" s="6" t="s">
        <v>268</v>
      </c>
      <c r="B68" s="6" t="s">
        <v>269</v>
      </c>
      <c r="C68" s="6" t="s">
        <v>116</v>
      </c>
      <c r="D68" s="6" t="s">
        <v>6</v>
      </c>
      <c r="E68" s="6">
        <v>323</v>
      </c>
      <c r="F68" s="6" t="s">
        <v>6</v>
      </c>
    </row>
    <row r="69" spans="1:6" x14ac:dyDescent="0.35">
      <c r="A69" s="6" t="s">
        <v>268</v>
      </c>
      <c r="B69" s="6" t="s">
        <v>269</v>
      </c>
      <c r="C69" s="6" t="s">
        <v>117</v>
      </c>
      <c r="D69" s="6" t="s">
        <v>6</v>
      </c>
      <c r="E69" s="6">
        <v>347</v>
      </c>
      <c r="F69" s="6" t="s">
        <v>6</v>
      </c>
    </row>
    <row r="70" spans="1:6" x14ac:dyDescent="0.35">
      <c r="A70" s="6" t="s">
        <v>268</v>
      </c>
      <c r="B70" s="6" t="s">
        <v>269</v>
      </c>
      <c r="C70" s="6" t="s">
        <v>118</v>
      </c>
      <c r="D70" s="6" t="s">
        <v>6</v>
      </c>
      <c r="E70" s="6">
        <v>353</v>
      </c>
      <c r="F70" s="6" t="s">
        <v>6</v>
      </c>
    </row>
    <row r="71" spans="1:6" x14ac:dyDescent="0.35">
      <c r="A71" s="6" t="s">
        <v>268</v>
      </c>
      <c r="B71" s="6" t="s">
        <v>269</v>
      </c>
      <c r="C71" s="6" t="s">
        <v>119</v>
      </c>
      <c r="D71" s="6" t="s">
        <v>6</v>
      </c>
      <c r="E71" s="6">
        <v>338</v>
      </c>
      <c r="F71" s="6" t="s">
        <v>6</v>
      </c>
    </row>
    <row r="72" spans="1:6" x14ac:dyDescent="0.35">
      <c r="A72" s="6" t="s">
        <v>268</v>
      </c>
      <c r="B72" s="6" t="s">
        <v>269</v>
      </c>
      <c r="C72" s="6" t="s">
        <v>120</v>
      </c>
      <c r="D72" s="6" t="s">
        <v>6</v>
      </c>
      <c r="E72" s="6">
        <v>416</v>
      </c>
      <c r="F72" s="6" t="s">
        <v>6</v>
      </c>
    </row>
    <row r="73" spans="1:6" x14ac:dyDescent="0.35">
      <c r="A73" s="6" t="s">
        <v>268</v>
      </c>
      <c r="B73" s="6" t="s">
        <v>269</v>
      </c>
      <c r="C73" s="6" t="s">
        <v>121</v>
      </c>
      <c r="D73" s="6" t="s">
        <v>6</v>
      </c>
      <c r="E73" s="6">
        <v>379</v>
      </c>
      <c r="F73" s="6" t="s">
        <v>6</v>
      </c>
    </row>
    <row r="74" spans="1:6" x14ac:dyDescent="0.35">
      <c r="A74" s="6" t="s">
        <v>268</v>
      </c>
      <c r="B74" s="6" t="s">
        <v>269</v>
      </c>
      <c r="C74" s="6" t="s">
        <v>122</v>
      </c>
      <c r="D74" s="6" t="s">
        <v>6</v>
      </c>
      <c r="E74" s="6">
        <v>384</v>
      </c>
      <c r="F74" s="6" t="s">
        <v>6</v>
      </c>
    </row>
    <row r="75" spans="1:6" x14ac:dyDescent="0.35">
      <c r="A75" s="6" t="s">
        <v>268</v>
      </c>
      <c r="B75" s="6" t="s">
        <v>269</v>
      </c>
      <c r="C75" s="6" t="s">
        <v>123</v>
      </c>
      <c r="D75" s="6" t="s">
        <v>6</v>
      </c>
      <c r="E75" s="6">
        <v>387</v>
      </c>
      <c r="F75" s="6" t="s">
        <v>6</v>
      </c>
    </row>
    <row r="76" spans="1:6" x14ac:dyDescent="0.35">
      <c r="A76" s="6" t="s">
        <v>268</v>
      </c>
      <c r="B76" s="6" t="s">
        <v>269</v>
      </c>
      <c r="C76" s="6" t="s">
        <v>124</v>
      </c>
      <c r="D76" s="6" t="s">
        <v>6</v>
      </c>
      <c r="E76" s="6">
        <v>372</v>
      </c>
      <c r="F76" s="6" t="s">
        <v>6</v>
      </c>
    </row>
    <row r="77" spans="1:6" x14ac:dyDescent="0.35">
      <c r="A77" s="6" t="s">
        <v>268</v>
      </c>
      <c r="B77" s="6" t="s">
        <v>269</v>
      </c>
      <c r="C77" s="6">
        <v>2020</v>
      </c>
      <c r="D77" s="6" t="s">
        <v>6</v>
      </c>
      <c r="E77" s="6">
        <v>429</v>
      </c>
      <c r="F77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C1B4-9193-40D3-98DA-64EE20005442}">
  <dimension ref="A1:F122"/>
  <sheetViews>
    <sheetView zoomScale="55" zoomScaleNormal="55" workbookViewId="0">
      <selection activeCell="H21" sqref="H21"/>
    </sheetView>
  </sheetViews>
  <sheetFormatPr defaultRowHeight="14.5" x14ac:dyDescent="0.35"/>
  <cols>
    <col min="1" max="1" width="11.08984375" style="3" customWidth="1"/>
    <col min="2" max="2" width="11" style="3" customWidth="1"/>
    <col min="3" max="3" width="7.7265625" style="3" customWidth="1"/>
    <col min="4" max="4" width="14.08984375" style="3" customWidth="1"/>
    <col min="5" max="5" width="19.17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2" t="s">
        <v>270</v>
      </c>
      <c r="B2" s="2" t="s">
        <v>271</v>
      </c>
      <c r="C2" s="3" t="s">
        <v>228</v>
      </c>
      <c r="D2" s="2" t="s">
        <v>6</v>
      </c>
      <c r="E2" s="3">
        <v>1979</v>
      </c>
      <c r="F2" s="2" t="s">
        <v>6</v>
      </c>
    </row>
    <row r="3" spans="1:6" x14ac:dyDescent="0.35">
      <c r="A3" s="2" t="s">
        <v>270</v>
      </c>
      <c r="B3" s="2" t="s">
        <v>271</v>
      </c>
      <c r="C3" s="3" t="s">
        <v>229</v>
      </c>
      <c r="D3" s="2" t="s">
        <v>6</v>
      </c>
      <c r="E3" s="3">
        <v>2044</v>
      </c>
      <c r="F3" s="2" t="s">
        <v>6</v>
      </c>
    </row>
    <row r="4" spans="1:6" x14ac:dyDescent="0.35">
      <c r="A4" s="2" t="s">
        <v>270</v>
      </c>
      <c r="B4" s="2" t="s">
        <v>271</v>
      </c>
      <c r="C4" s="3" t="s">
        <v>230</v>
      </c>
      <c r="D4" s="2" t="s">
        <v>6</v>
      </c>
      <c r="E4" s="3">
        <v>2182</v>
      </c>
      <c r="F4" s="2" t="s">
        <v>6</v>
      </c>
    </row>
    <row r="5" spans="1:6" x14ac:dyDescent="0.35">
      <c r="A5" s="2" t="s">
        <v>270</v>
      </c>
      <c r="B5" s="2" t="s">
        <v>271</v>
      </c>
      <c r="C5" s="3" t="s">
        <v>231</v>
      </c>
      <c r="D5" s="2" t="s">
        <v>6</v>
      </c>
      <c r="E5" s="3">
        <v>2291</v>
      </c>
      <c r="F5" s="2" t="s">
        <v>6</v>
      </c>
    </row>
    <row r="6" spans="1:6" x14ac:dyDescent="0.35">
      <c r="A6" s="2" t="s">
        <v>270</v>
      </c>
      <c r="B6" s="2" t="s">
        <v>271</v>
      </c>
      <c r="C6" s="3" t="s">
        <v>232</v>
      </c>
      <c r="D6" s="2" t="s">
        <v>6</v>
      </c>
      <c r="E6" s="3">
        <v>2149</v>
      </c>
      <c r="F6" s="2" t="s">
        <v>6</v>
      </c>
    </row>
    <row r="7" spans="1:6" x14ac:dyDescent="0.35">
      <c r="A7" s="2" t="s">
        <v>270</v>
      </c>
      <c r="B7" s="2" t="s">
        <v>271</v>
      </c>
      <c r="C7" s="3" t="s">
        <v>233</v>
      </c>
      <c r="D7" s="2" t="s">
        <v>6</v>
      </c>
      <c r="E7" s="3">
        <v>2295</v>
      </c>
      <c r="F7" s="2" t="s">
        <v>6</v>
      </c>
    </row>
    <row r="8" spans="1:6" x14ac:dyDescent="0.35">
      <c r="A8" s="2" t="s">
        <v>270</v>
      </c>
      <c r="B8" s="2" t="s">
        <v>271</v>
      </c>
      <c r="C8" s="3" t="s">
        <v>234</v>
      </c>
      <c r="D8" s="2" t="s">
        <v>6</v>
      </c>
      <c r="E8" s="3">
        <v>2434</v>
      </c>
      <c r="F8" s="2" t="s">
        <v>6</v>
      </c>
    </row>
    <row r="9" spans="1:6" x14ac:dyDescent="0.35">
      <c r="A9" s="2" t="s">
        <v>270</v>
      </c>
      <c r="B9" s="2" t="s">
        <v>271</v>
      </c>
      <c r="C9" s="3" t="s">
        <v>235</v>
      </c>
      <c r="D9" s="2" t="s">
        <v>6</v>
      </c>
      <c r="E9" s="3">
        <v>2444</v>
      </c>
      <c r="F9" s="2" t="s">
        <v>6</v>
      </c>
    </row>
    <row r="10" spans="1:6" x14ac:dyDescent="0.35">
      <c r="A10" s="2" t="s">
        <v>270</v>
      </c>
      <c r="B10" s="2" t="s">
        <v>271</v>
      </c>
      <c r="C10" s="3" t="s">
        <v>236</v>
      </c>
      <c r="D10" s="2" t="s">
        <v>6</v>
      </c>
      <c r="E10" s="3">
        <v>2444</v>
      </c>
      <c r="F10" s="2" t="s">
        <v>6</v>
      </c>
    </row>
    <row r="11" spans="1:6" x14ac:dyDescent="0.35">
      <c r="A11" s="2" t="s">
        <v>270</v>
      </c>
      <c r="B11" s="2" t="s">
        <v>271</v>
      </c>
      <c r="C11" s="3" t="s">
        <v>237</v>
      </c>
      <c r="D11" s="2" t="s">
        <v>6</v>
      </c>
      <c r="E11" s="3">
        <v>2490</v>
      </c>
      <c r="F11" s="2" t="s">
        <v>6</v>
      </c>
    </row>
    <row r="12" spans="1:6" x14ac:dyDescent="0.35">
      <c r="A12" s="2" t="s">
        <v>270</v>
      </c>
      <c r="B12" s="2" t="s">
        <v>271</v>
      </c>
      <c r="C12" s="3" t="s">
        <v>238</v>
      </c>
      <c r="D12" s="2" t="s">
        <v>6</v>
      </c>
      <c r="E12" s="3">
        <v>2380</v>
      </c>
      <c r="F12" s="2" t="s">
        <v>6</v>
      </c>
    </row>
    <row r="13" spans="1:6" x14ac:dyDescent="0.35">
      <c r="A13" s="2" t="s">
        <v>270</v>
      </c>
      <c r="B13" s="2" t="s">
        <v>271</v>
      </c>
      <c r="C13" s="3" t="s">
        <v>239</v>
      </c>
      <c r="D13" s="2" t="s">
        <v>6</v>
      </c>
      <c r="E13" s="3">
        <v>2356</v>
      </c>
      <c r="F13" s="2" t="s">
        <v>6</v>
      </c>
    </row>
    <row r="14" spans="1:6" x14ac:dyDescent="0.35">
      <c r="A14" s="2" t="s">
        <v>270</v>
      </c>
      <c r="B14" s="2" t="s">
        <v>271</v>
      </c>
      <c r="C14" s="3" t="s">
        <v>240</v>
      </c>
      <c r="D14" s="2" t="s">
        <v>6</v>
      </c>
      <c r="E14" s="3">
        <v>2411</v>
      </c>
      <c r="F14" s="2" t="s">
        <v>6</v>
      </c>
    </row>
    <row r="15" spans="1:6" x14ac:dyDescent="0.35">
      <c r="A15" s="2" t="s">
        <v>270</v>
      </c>
      <c r="B15" s="2" t="s">
        <v>271</v>
      </c>
      <c r="C15" s="3" t="s">
        <v>241</v>
      </c>
      <c r="D15" s="2" t="s">
        <v>6</v>
      </c>
      <c r="E15" s="3">
        <v>2414</v>
      </c>
      <c r="F15" s="2" t="s">
        <v>6</v>
      </c>
    </row>
    <row r="16" spans="1:6" x14ac:dyDescent="0.35">
      <c r="A16" s="2" t="s">
        <v>270</v>
      </c>
      <c r="B16" s="2" t="s">
        <v>271</v>
      </c>
      <c r="C16" s="3" t="s">
        <v>242</v>
      </c>
      <c r="D16" s="2" t="s">
        <v>6</v>
      </c>
      <c r="E16" s="3">
        <v>2368</v>
      </c>
      <c r="F16" s="2" t="s">
        <v>6</v>
      </c>
    </row>
    <row r="17" spans="1:6" x14ac:dyDescent="0.35">
      <c r="A17" s="2" t="s">
        <v>270</v>
      </c>
      <c r="B17" s="2" t="s">
        <v>271</v>
      </c>
      <c r="C17" s="3" t="s">
        <v>243</v>
      </c>
      <c r="D17" s="2" t="s">
        <v>6</v>
      </c>
      <c r="E17" s="3">
        <v>2337</v>
      </c>
      <c r="F17" s="2" t="s">
        <v>6</v>
      </c>
    </row>
    <row r="18" spans="1:6" x14ac:dyDescent="0.35">
      <c r="A18" s="2" t="s">
        <v>270</v>
      </c>
      <c r="B18" s="2" t="s">
        <v>271</v>
      </c>
      <c r="C18" s="3" t="s">
        <v>244</v>
      </c>
      <c r="D18" s="2" t="s">
        <v>6</v>
      </c>
      <c r="E18" s="3">
        <v>2319</v>
      </c>
      <c r="F18" s="2" t="s">
        <v>6</v>
      </c>
    </row>
    <row r="19" spans="1:6" x14ac:dyDescent="0.35">
      <c r="A19" s="2" t="s">
        <v>270</v>
      </c>
      <c r="B19" s="2" t="s">
        <v>271</v>
      </c>
      <c r="C19" s="3" t="s">
        <v>245</v>
      </c>
      <c r="D19" s="2" t="s">
        <v>6</v>
      </c>
      <c r="E19" s="3">
        <v>2420</v>
      </c>
      <c r="F19" s="2" t="s">
        <v>6</v>
      </c>
    </row>
    <row r="20" spans="1:6" x14ac:dyDescent="0.35">
      <c r="A20" s="2" t="s">
        <v>270</v>
      </c>
      <c r="B20" s="2" t="s">
        <v>271</v>
      </c>
      <c r="C20" s="3" t="s">
        <v>246</v>
      </c>
      <c r="D20" s="2" t="s">
        <v>6</v>
      </c>
      <c r="E20" s="3">
        <v>2256</v>
      </c>
      <c r="F20" s="2" t="s">
        <v>6</v>
      </c>
    </row>
    <row r="21" spans="1:6" x14ac:dyDescent="0.35">
      <c r="A21" s="2" t="s">
        <v>270</v>
      </c>
      <c r="B21" s="2" t="s">
        <v>271</v>
      </c>
      <c r="C21" s="3" t="s">
        <v>24</v>
      </c>
      <c r="D21" s="2" t="s">
        <v>6</v>
      </c>
      <c r="E21" s="3">
        <v>2178</v>
      </c>
      <c r="F21" s="2" t="s">
        <v>6</v>
      </c>
    </row>
    <row r="22" spans="1:6" x14ac:dyDescent="0.35">
      <c r="A22" s="2" t="s">
        <v>270</v>
      </c>
      <c r="B22" s="2" t="s">
        <v>271</v>
      </c>
      <c r="C22" s="3" t="s">
        <v>25</v>
      </c>
      <c r="D22" s="2" t="s">
        <v>6</v>
      </c>
      <c r="E22" s="3">
        <v>2842</v>
      </c>
      <c r="F22" s="2" t="s">
        <v>6</v>
      </c>
    </row>
    <row r="23" spans="1:6" x14ac:dyDescent="0.35">
      <c r="A23" s="2" t="s">
        <v>270</v>
      </c>
      <c r="B23" s="2" t="s">
        <v>271</v>
      </c>
      <c r="C23" s="3" t="s">
        <v>26</v>
      </c>
      <c r="D23" s="2" t="s">
        <v>6</v>
      </c>
      <c r="E23" s="3">
        <v>2699</v>
      </c>
      <c r="F23" s="2" t="s">
        <v>6</v>
      </c>
    </row>
    <row r="24" spans="1:6" x14ac:dyDescent="0.35">
      <c r="A24" s="2" t="s">
        <v>270</v>
      </c>
      <c r="B24" s="2" t="s">
        <v>271</v>
      </c>
      <c r="C24" s="3" t="s">
        <v>27</v>
      </c>
      <c r="D24" s="2" t="s">
        <v>6</v>
      </c>
      <c r="E24" s="3">
        <v>2465</v>
      </c>
      <c r="F24" s="2" t="s">
        <v>6</v>
      </c>
    </row>
    <row r="25" spans="1:6" x14ac:dyDescent="0.35">
      <c r="A25" s="2" t="s">
        <v>270</v>
      </c>
      <c r="B25" s="2" t="s">
        <v>271</v>
      </c>
      <c r="C25" s="3" t="s">
        <v>28</v>
      </c>
      <c r="D25" s="2" t="s">
        <v>6</v>
      </c>
      <c r="E25" s="3">
        <v>2537</v>
      </c>
      <c r="F25" s="2" t="s">
        <v>6</v>
      </c>
    </row>
    <row r="26" spans="1:6" x14ac:dyDescent="0.35">
      <c r="A26" s="2" t="s">
        <v>270</v>
      </c>
      <c r="B26" s="2" t="s">
        <v>271</v>
      </c>
      <c r="C26" s="3" t="s">
        <v>29</v>
      </c>
      <c r="D26" s="2" t="s">
        <v>6</v>
      </c>
      <c r="E26" s="3">
        <v>2479</v>
      </c>
      <c r="F26" s="2" t="s">
        <v>6</v>
      </c>
    </row>
    <row r="27" spans="1:6" x14ac:dyDescent="0.35">
      <c r="A27" s="2" t="s">
        <v>270</v>
      </c>
      <c r="B27" s="2" t="s">
        <v>271</v>
      </c>
      <c r="C27" s="3" t="s">
        <v>30</v>
      </c>
      <c r="D27" s="2" t="s">
        <v>6</v>
      </c>
      <c r="E27" s="3">
        <v>2395</v>
      </c>
      <c r="F27" s="2" t="s">
        <v>6</v>
      </c>
    </row>
    <row r="28" spans="1:6" x14ac:dyDescent="0.35">
      <c r="A28" s="2" t="s">
        <v>270</v>
      </c>
      <c r="B28" s="2" t="s">
        <v>271</v>
      </c>
      <c r="C28" s="3" t="s">
        <v>31</v>
      </c>
      <c r="D28" s="2" t="s">
        <v>6</v>
      </c>
      <c r="E28" s="3">
        <v>2355</v>
      </c>
      <c r="F28" s="2" t="s">
        <v>6</v>
      </c>
    </row>
    <row r="29" spans="1:6" x14ac:dyDescent="0.35">
      <c r="A29" s="2" t="s">
        <v>270</v>
      </c>
      <c r="B29" s="2" t="s">
        <v>271</v>
      </c>
      <c r="C29" s="3" t="s">
        <v>32</v>
      </c>
      <c r="D29" s="2" t="s">
        <v>6</v>
      </c>
      <c r="E29" s="3">
        <v>2380</v>
      </c>
      <c r="F29" s="2" t="s">
        <v>6</v>
      </c>
    </row>
    <row r="30" spans="1:6" x14ac:dyDescent="0.35">
      <c r="A30" s="2" t="s">
        <v>270</v>
      </c>
      <c r="B30" s="2" t="s">
        <v>271</v>
      </c>
      <c r="C30" s="3" t="s">
        <v>33</v>
      </c>
      <c r="D30" s="2" t="s">
        <v>6</v>
      </c>
      <c r="E30" s="3">
        <v>2471</v>
      </c>
      <c r="F30" s="2" t="s">
        <v>6</v>
      </c>
    </row>
    <row r="31" spans="1:6" x14ac:dyDescent="0.35">
      <c r="A31" s="2" t="s">
        <v>270</v>
      </c>
      <c r="B31" s="2" t="s">
        <v>271</v>
      </c>
      <c r="C31" s="3" t="s">
        <v>34</v>
      </c>
      <c r="D31" s="2" t="s">
        <v>6</v>
      </c>
      <c r="E31" s="3">
        <v>2402</v>
      </c>
      <c r="F31" s="2" t="s">
        <v>6</v>
      </c>
    </row>
    <row r="32" spans="1:6" x14ac:dyDescent="0.35">
      <c r="A32" s="2" t="s">
        <v>270</v>
      </c>
      <c r="B32" s="2" t="s">
        <v>271</v>
      </c>
      <c r="C32" s="3" t="s">
        <v>35</v>
      </c>
      <c r="D32" s="2" t="s">
        <v>6</v>
      </c>
      <c r="E32" s="3">
        <v>2357</v>
      </c>
      <c r="F32" s="2" t="s">
        <v>6</v>
      </c>
    </row>
    <row r="33" spans="1:6" x14ac:dyDescent="0.35">
      <c r="A33" s="2" t="s">
        <v>270</v>
      </c>
      <c r="B33" s="2" t="s">
        <v>271</v>
      </c>
      <c r="C33" s="3" t="s">
        <v>36</v>
      </c>
      <c r="D33" s="2" t="s">
        <v>6</v>
      </c>
      <c r="E33" s="3">
        <v>2365</v>
      </c>
      <c r="F33" s="2" t="s">
        <v>6</v>
      </c>
    </row>
    <row r="34" spans="1:6" x14ac:dyDescent="0.35">
      <c r="A34" s="2" t="s">
        <v>270</v>
      </c>
      <c r="B34" s="2" t="s">
        <v>271</v>
      </c>
      <c r="C34" s="3" t="s">
        <v>37</v>
      </c>
      <c r="D34" s="2" t="s">
        <v>6</v>
      </c>
      <c r="E34" s="3">
        <v>2401</v>
      </c>
      <c r="F34" s="2" t="s">
        <v>6</v>
      </c>
    </row>
    <row r="35" spans="1:6" x14ac:dyDescent="0.35">
      <c r="A35" s="2" t="s">
        <v>270</v>
      </c>
      <c r="B35" s="2" t="s">
        <v>271</v>
      </c>
      <c r="C35" s="3" t="s">
        <v>38</v>
      </c>
      <c r="D35" s="2" t="s">
        <v>6</v>
      </c>
      <c r="E35" s="3">
        <v>2253</v>
      </c>
      <c r="F35" s="2" t="s">
        <v>6</v>
      </c>
    </row>
    <row r="36" spans="1:6" x14ac:dyDescent="0.35">
      <c r="A36" s="2" t="s">
        <v>270</v>
      </c>
      <c r="B36" s="2" t="s">
        <v>271</v>
      </c>
      <c r="C36" s="3" t="s">
        <v>39</v>
      </c>
      <c r="D36" s="2" t="s">
        <v>6</v>
      </c>
      <c r="E36" s="3">
        <v>2289</v>
      </c>
      <c r="F36" s="2" t="s">
        <v>6</v>
      </c>
    </row>
    <row r="37" spans="1:6" x14ac:dyDescent="0.35">
      <c r="A37" s="2" t="s">
        <v>270</v>
      </c>
      <c r="B37" s="2" t="s">
        <v>271</v>
      </c>
      <c r="C37" s="3" t="s">
        <v>40</v>
      </c>
      <c r="D37" s="2" t="s">
        <v>6</v>
      </c>
      <c r="E37" s="3">
        <v>2187</v>
      </c>
      <c r="F37" s="2" t="s">
        <v>6</v>
      </c>
    </row>
    <row r="38" spans="1:6" x14ac:dyDescent="0.35">
      <c r="A38" s="2" t="s">
        <v>270</v>
      </c>
      <c r="B38" s="2" t="s">
        <v>271</v>
      </c>
      <c r="C38" s="3" t="s">
        <v>41</v>
      </c>
      <c r="D38" s="2" t="s">
        <v>6</v>
      </c>
      <c r="E38" s="3">
        <v>2185</v>
      </c>
      <c r="F38" s="2" t="s">
        <v>6</v>
      </c>
    </row>
    <row r="39" spans="1:6" x14ac:dyDescent="0.35">
      <c r="A39" s="2" t="s">
        <v>270</v>
      </c>
      <c r="B39" s="2" t="s">
        <v>271</v>
      </c>
      <c r="C39" s="3" t="s">
        <v>42</v>
      </c>
      <c r="D39" s="2" t="s">
        <v>6</v>
      </c>
      <c r="E39" s="3">
        <v>2204</v>
      </c>
      <c r="F39" s="2" t="s">
        <v>6</v>
      </c>
    </row>
    <row r="40" spans="1:6" x14ac:dyDescent="0.35">
      <c r="A40" s="2" t="s">
        <v>270</v>
      </c>
      <c r="B40" s="2" t="s">
        <v>271</v>
      </c>
      <c r="C40" s="3" t="s">
        <v>43</v>
      </c>
      <c r="D40" s="2" t="s">
        <v>6</v>
      </c>
      <c r="E40" s="3">
        <v>2259</v>
      </c>
      <c r="F40" s="2" t="s">
        <v>6</v>
      </c>
    </row>
    <row r="41" spans="1:6" x14ac:dyDescent="0.35">
      <c r="A41" s="2" t="s">
        <v>270</v>
      </c>
      <c r="B41" s="2" t="s">
        <v>271</v>
      </c>
      <c r="C41" s="3" t="s">
        <v>44</v>
      </c>
      <c r="D41" s="2" t="s">
        <v>6</v>
      </c>
      <c r="E41" s="3">
        <v>2363</v>
      </c>
      <c r="F41" s="2" t="s">
        <v>6</v>
      </c>
    </row>
    <row r="42" spans="1:6" x14ac:dyDescent="0.35">
      <c r="A42" s="2" t="s">
        <v>270</v>
      </c>
      <c r="B42" s="2" t="s">
        <v>271</v>
      </c>
      <c r="C42" s="3" t="s">
        <v>45</v>
      </c>
      <c r="D42" s="2" t="s">
        <v>6</v>
      </c>
      <c r="E42" s="3">
        <v>2394</v>
      </c>
      <c r="F42" s="2" t="s">
        <v>6</v>
      </c>
    </row>
    <row r="43" spans="1:6" x14ac:dyDescent="0.35">
      <c r="A43" s="2" t="s">
        <v>270</v>
      </c>
      <c r="B43" s="2" t="s">
        <v>271</v>
      </c>
      <c r="C43" s="3" t="s">
        <v>46</v>
      </c>
      <c r="D43" s="2" t="s">
        <v>6</v>
      </c>
      <c r="E43" s="3">
        <v>2165</v>
      </c>
      <c r="F43" s="2" t="s">
        <v>6</v>
      </c>
    </row>
    <row r="44" spans="1:6" x14ac:dyDescent="0.35">
      <c r="A44" s="2" t="s">
        <v>270</v>
      </c>
      <c r="B44" s="2" t="s">
        <v>271</v>
      </c>
      <c r="C44" s="3" t="s">
        <v>47</v>
      </c>
      <c r="D44" s="2" t="s">
        <v>6</v>
      </c>
      <c r="E44" s="3">
        <v>2216</v>
      </c>
      <c r="F44" s="2" t="s">
        <v>6</v>
      </c>
    </row>
    <row r="45" spans="1:6" x14ac:dyDescent="0.35">
      <c r="A45" s="2" t="s">
        <v>270</v>
      </c>
      <c r="B45" s="2" t="s">
        <v>271</v>
      </c>
      <c r="C45" s="3" t="s">
        <v>48</v>
      </c>
      <c r="D45" s="2" t="s">
        <v>6</v>
      </c>
      <c r="E45" s="3">
        <v>2590</v>
      </c>
      <c r="F45" s="2" t="s">
        <v>6</v>
      </c>
    </row>
    <row r="46" spans="1:6" x14ac:dyDescent="0.35">
      <c r="A46" s="2" t="s">
        <v>270</v>
      </c>
      <c r="B46" s="2" t="s">
        <v>271</v>
      </c>
      <c r="C46" s="3" t="s">
        <v>49</v>
      </c>
      <c r="D46" s="2" t="s">
        <v>6</v>
      </c>
      <c r="E46" s="3">
        <v>2665</v>
      </c>
      <c r="F46" s="2" t="s">
        <v>6</v>
      </c>
    </row>
    <row r="47" spans="1:6" x14ac:dyDescent="0.35">
      <c r="A47" s="2" t="s">
        <v>270</v>
      </c>
      <c r="B47" s="2" t="s">
        <v>271</v>
      </c>
      <c r="C47" s="3" t="s">
        <v>50</v>
      </c>
      <c r="D47" s="2" t="s">
        <v>6</v>
      </c>
      <c r="E47" s="3">
        <v>2283</v>
      </c>
      <c r="F47" s="2" t="s">
        <v>6</v>
      </c>
    </row>
    <row r="48" spans="1:6" x14ac:dyDescent="0.35">
      <c r="A48" s="2" t="s">
        <v>270</v>
      </c>
      <c r="B48" s="2" t="s">
        <v>271</v>
      </c>
      <c r="C48" s="3" t="s">
        <v>51</v>
      </c>
      <c r="D48" s="2" t="s">
        <v>6</v>
      </c>
      <c r="E48" s="3">
        <v>3469</v>
      </c>
      <c r="F48" s="2" t="s">
        <v>6</v>
      </c>
    </row>
    <row r="49" spans="1:6" x14ac:dyDescent="0.35">
      <c r="A49" s="2" t="s">
        <v>270</v>
      </c>
      <c r="B49" s="2" t="s">
        <v>271</v>
      </c>
      <c r="C49" s="3" t="s">
        <v>52</v>
      </c>
      <c r="D49" s="2" t="s">
        <v>6</v>
      </c>
      <c r="E49" s="3">
        <v>3356</v>
      </c>
      <c r="F49" s="2" t="s">
        <v>6</v>
      </c>
    </row>
    <row r="50" spans="1:6" x14ac:dyDescent="0.35">
      <c r="A50" s="2" t="s">
        <v>270</v>
      </c>
      <c r="B50" s="2" t="s">
        <v>271</v>
      </c>
      <c r="C50" s="3" t="s">
        <v>53</v>
      </c>
      <c r="D50" s="2" t="s">
        <v>6</v>
      </c>
      <c r="E50" s="3">
        <v>3122</v>
      </c>
      <c r="F50" s="2" t="s">
        <v>6</v>
      </c>
    </row>
    <row r="51" spans="1:6" x14ac:dyDescent="0.35">
      <c r="A51" s="2" t="s">
        <v>270</v>
      </c>
      <c r="B51" s="2" t="s">
        <v>271</v>
      </c>
      <c r="C51" s="3" t="s">
        <v>54</v>
      </c>
      <c r="D51" s="2" t="s">
        <v>6</v>
      </c>
      <c r="E51" s="3">
        <v>3175</v>
      </c>
      <c r="F51" s="2" t="s">
        <v>6</v>
      </c>
    </row>
    <row r="52" spans="1:6" x14ac:dyDescent="0.35">
      <c r="A52" s="2" t="s">
        <v>270</v>
      </c>
      <c r="B52" s="2" t="s">
        <v>271</v>
      </c>
      <c r="C52" s="2">
        <v>1950</v>
      </c>
      <c r="D52" s="2">
        <v>228383</v>
      </c>
      <c r="E52" s="2">
        <v>2878</v>
      </c>
      <c r="F52" s="2" t="s">
        <v>6</v>
      </c>
    </row>
    <row r="53" spans="1:6" x14ac:dyDescent="0.35">
      <c r="A53" s="2" t="s">
        <v>270</v>
      </c>
      <c r="B53" s="2" t="s">
        <v>271</v>
      </c>
      <c r="C53" s="2">
        <v>1951</v>
      </c>
      <c r="D53" s="2">
        <v>226838</v>
      </c>
      <c r="E53" s="2">
        <v>2872</v>
      </c>
      <c r="F53" s="2" t="s">
        <v>6</v>
      </c>
    </row>
    <row r="54" spans="1:6" x14ac:dyDescent="0.35">
      <c r="A54" s="2" t="s">
        <v>270</v>
      </c>
      <c r="B54" s="2" t="s">
        <v>271</v>
      </c>
      <c r="C54" s="2">
        <v>1952</v>
      </c>
      <c r="D54" s="2">
        <v>230275</v>
      </c>
      <c r="E54" s="2">
        <v>2900</v>
      </c>
      <c r="F54" s="2" t="s">
        <v>6</v>
      </c>
    </row>
    <row r="55" spans="1:6" x14ac:dyDescent="0.35">
      <c r="A55" s="2" t="s">
        <v>270</v>
      </c>
      <c r="B55" s="2" t="s">
        <v>271</v>
      </c>
      <c r="C55" s="2">
        <v>1953</v>
      </c>
      <c r="D55" s="2">
        <v>226129</v>
      </c>
      <c r="E55" s="2">
        <v>2894</v>
      </c>
      <c r="F55" s="2" t="s">
        <v>6</v>
      </c>
    </row>
    <row r="56" spans="1:6" x14ac:dyDescent="0.35">
      <c r="A56" s="2" t="s">
        <v>270</v>
      </c>
      <c r="B56" s="2" t="s">
        <v>271</v>
      </c>
      <c r="C56" s="2">
        <v>1954</v>
      </c>
      <c r="D56" s="2">
        <v>226263</v>
      </c>
      <c r="E56" s="2">
        <v>2943</v>
      </c>
      <c r="F56" s="2" t="s">
        <v>6</v>
      </c>
    </row>
    <row r="57" spans="1:6" x14ac:dyDescent="0.35">
      <c r="A57" s="2" t="s">
        <v>270</v>
      </c>
      <c r="B57" s="2" t="s">
        <v>271</v>
      </c>
      <c r="C57" s="2">
        <v>1955</v>
      </c>
      <c r="D57" s="2">
        <v>227185</v>
      </c>
      <c r="E57" s="2">
        <v>2958</v>
      </c>
      <c r="F57" s="2" t="s">
        <v>6</v>
      </c>
    </row>
    <row r="58" spans="1:6" x14ac:dyDescent="0.35">
      <c r="A58" s="2" t="s">
        <v>270</v>
      </c>
      <c r="B58" s="2" t="s">
        <v>271</v>
      </c>
      <c r="C58" s="2">
        <v>1956</v>
      </c>
      <c r="D58" s="2">
        <v>229401</v>
      </c>
      <c r="E58" s="2">
        <v>2969</v>
      </c>
      <c r="F58" s="2" t="s">
        <v>6</v>
      </c>
    </row>
    <row r="59" spans="1:6" x14ac:dyDescent="0.35">
      <c r="A59" s="2" t="s">
        <v>270</v>
      </c>
      <c r="B59" s="2" t="s">
        <v>271</v>
      </c>
      <c r="C59" s="2">
        <v>1957</v>
      </c>
      <c r="D59" s="2">
        <v>231963</v>
      </c>
      <c r="E59" s="2">
        <v>2934</v>
      </c>
      <c r="F59" s="2" t="s">
        <v>6</v>
      </c>
    </row>
    <row r="60" spans="1:6" x14ac:dyDescent="0.35">
      <c r="A60" s="2" t="s">
        <v>270</v>
      </c>
      <c r="B60" s="2" t="s">
        <v>271</v>
      </c>
      <c r="C60" s="2">
        <v>1958</v>
      </c>
      <c r="D60" s="2">
        <v>234817</v>
      </c>
      <c r="E60" s="2">
        <v>2990</v>
      </c>
      <c r="F60" s="2" t="s">
        <v>6</v>
      </c>
    </row>
    <row r="61" spans="1:6" x14ac:dyDescent="0.35">
      <c r="A61" s="2" t="s">
        <v>270</v>
      </c>
      <c r="B61" s="2" t="s">
        <v>271</v>
      </c>
      <c r="C61" s="2">
        <v>1959</v>
      </c>
      <c r="D61" s="2">
        <v>240306</v>
      </c>
      <c r="E61" s="2">
        <v>3003</v>
      </c>
      <c r="F61" s="2" t="s">
        <v>6</v>
      </c>
    </row>
    <row r="62" spans="1:6" x14ac:dyDescent="0.35">
      <c r="A62" s="2" t="s">
        <v>270</v>
      </c>
      <c r="B62" s="2" t="s">
        <v>271</v>
      </c>
      <c r="C62" s="2">
        <v>1960</v>
      </c>
      <c r="D62" s="2">
        <v>236763</v>
      </c>
      <c r="E62" s="2">
        <v>2952</v>
      </c>
      <c r="F62" s="2" t="s">
        <v>6</v>
      </c>
    </row>
    <row r="63" spans="1:6" x14ac:dyDescent="0.35">
      <c r="A63" s="2" t="s">
        <v>270</v>
      </c>
      <c r="B63" s="2" t="s">
        <v>271</v>
      </c>
      <c r="C63" s="2">
        <v>1961</v>
      </c>
      <c r="D63" s="2">
        <v>245078</v>
      </c>
      <c r="E63" s="2">
        <v>2995</v>
      </c>
      <c r="F63" s="2" t="s">
        <v>6</v>
      </c>
    </row>
    <row r="64" spans="1:6" x14ac:dyDescent="0.35">
      <c r="A64" s="2" t="s">
        <v>270</v>
      </c>
      <c r="B64" s="2" t="s">
        <v>271</v>
      </c>
      <c r="C64" s="2">
        <v>1962</v>
      </c>
      <c r="D64" s="2">
        <v>243575</v>
      </c>
      <c r="E64" s="2">
        <v>3065</v>
      </c>
      <c r="F64" s="2" t="s">
        <v>6</v>
      </c>
    </row>
    <row r="65" spans="1:6" x14ac:dyDescent="0.35">
      <c r="A65" s="2" t="s">
        <v>270</v>
      </c>
      <c r="B65" s="2" t="s">
        <v>271</v>
      </c>
      <c r="C65" s="2">
        <v>1963</v>
      </c>
      <c r="D65" s="2">
        <v>247398</v>
      </c>
      <c r="E65" s="2">
        <v>3015</v>
      </c>
      <c r="F65" s="2" t="s">
        <v>6</v>
      </c>
    </row>
    <row r="66" spans="1:6" x14ac:dyDescent="0.35">
      <c r="A66" s="2" t="s">
        <v>270</v>
      </c>
      <c r="B66" s="2" t="s">
        <v>271</v>
      </c>
      <c r="C66" s="2">
        <v>1964</v>
      </c>
      <c r="D66" s="2">
        <v>248421</v>
      </c>
      <c r="E66" s="2">
        <v>2901</v>
      </c>
      <c r="F66" s="2" t="s">
        <v>6</v>
      </c>
    </row>
    <row r="67" spans="1:6" x14ac:dyDescent="0.35">
      <c r="A67" s="2" t="s">
        <v>270</v>
      </c>
      <c r="B67" s="2" t="s">
        <v>271</v>
      </c>
      <c r="C67" s="2">
        <v>1965</v>
      </c>
      <c r="D67" s="2">
        <v>242849</v>
      </c>
      <c r="E67" s="2">
        <v>2784</v>
      </c>
      <c r="F67" s="2" t="s">
        <v>6</v>
      </c>
    </row>
    <row r="68" spans="1:6" x14ac:dyDescent="0.35">
      <c r="A68" s="2" t="s">
        <v>270</v>
      </c>
      <c r="B68" s="2" t="s">
        <v>271</v>
      </c>
      <c r="C68" s="2">
        <v>1966</v>
      </c>
      <c r="D68" s="2">
        <v>237424</v>
      </c>
      <c r="E68" s="2">
        <v>2626</v>
      </c>
      <c r="F68" s="2" t="s">
        <v>6</v>
      </c>
    </row>
    <row r="69" spans="1:6" x14ac:dyDescent="0.35">
      <c r="A69" s="2" t="s">
        <v>270</v>
      </c>
      <c r="B69" s="2" t="s">
        <v>271</v>
      </c>
      <c r="C69" s="2">
        <v>1967</v>
      </c>
      <c r="D69" s="2">
        <v>236346</v>
      </c>
      <c r="E69" s="2">
        <v>2595</v>
      </c>
      <c r="F69" s="2" t="s">
        <v>6</v>
      </c>
    </row>
    <row r="70" spans="1:6" x14ac:dyDescent="0.35">
      <c r="A70" s="2" t="s">
        <v>270</v>
      </c>
      <c r="B70" s="2" t="s">
        <v>271</v>
      </c>
      <c r="C70" s="2">
        <v>1968</v>
      </c>
      <c r="D70" s="2">
        <v>234757</v>
      </c>
      <c r="E70" s="2">
        <v>2494</v>
      </c>
      <c r="F70" s="2" t="s">
        <v>6</v>
      </c>
    </row>
    <row r="71" spans="1:6" x14ac:dyDescent="0.35">
      <c r="A71" s="2" t="s">
        <v>270</v>
      </c>
      <c r="B71" s="2" t="s">
        <v>271</v>
      </c>
      <c r="C71" s="3">
        <v>1969</v>
      </c>
      <c r="D71" s="3">
        <v>245087</v>
      </c>
      <c r="E71" s="3">
        <v>2593</v>
      </c>
      <c r="F71" s="2" t="s">
        <v>6</v>
      </c>
    </row>
    <row r="72" spans="1:6" x14ac:dyDescent="0.35">
      <c r="A72" s="2" t="s">
        <v>270</v>
      </c>
      <c r="B72" s="2" t="s">
        <v>271</v>
      </c>
      <c r="C72" s="3">
        <v>1970</v>
      </c>
      <c r="D72" s="3">
        <v>236716</v>
      </c>
      <c r="E72" s="3">
        <v>2365</v>
      </c>
      <c r="F72" s="2" t="s">
        <v>6</v>
      </c>
    </row>
    <row r="73" spans="1:6" x14ac:dyDescent="0.35">
      <c r="A73" s="2" t="s">
        <v>270</v>
      </c>
      <c r="B73" s="2" t="s">
        <v>271</v>
      </c>
      <c r="C73" s="3">
        <v>1971</v>
      </c>
      <c r="D73" s="3">
        <v>224838</v>
      </c>
      <c r="E73" s="3">
        <v>2303</v>
      </c>
      <c r="F73" s="2" t="s">
        <v>6</v>
      </c>
    </row>
    <row r="74" spans="1:6" x14ac:dyDescent="0.35">
      <c r="A74" s="2" t="s">
        <v>270</v>
      </c>
      <c r="B74" s="2" t="s">
        <v>271</v>
      </c>
      <c r="C74" s="3">
        <v>1972</v>
      </c>
      <c r="D74" s="3">
        <v>211631</v>
      </c>
      <c r="E74" s="3">
        <v>2218</v>
      </c>
      <c r="F74" s="2" t="s">
        <v>6</v>
      </c>
    </row>
    <row r="75" spans="1:6" x14ac:dyDescent="0.35">
      <c r="A75" s="2" t="s">
        <v>270</v>
      </c>
      <c r="B75" s="2" t="s">
        <v>271</v>
      </c>
      <c r="C75" s="3">
        <v>1973</v>
      </c>
      <c r="D75" s="3">
        <v>192691</v>
      </c>
      <c r="E75" s="3">
        <v>2006</v>
      </c>
      <c r="F75" s="2" t="s">
        <v>6</v>
      </c>
    </row>
    <row r="76" spans="1:6" x14ac:dyDescent="0.35">
      <c r="A76" s="2" t="s">
        <v>270</v>
      </c>
      <c r="B76" s="2" t="s">
        <v>271</v>
      </c>
      <c r="C76" s="3">
        <v>1974</v>
      </c>
      <c r="D76" s="3">
        <v>183949</v>
      </c>
      <c r="E76" s="3">
        <v>1802</v>
      </c>
      <c r="F76" s="2" t="s">
        <v>6</v>
      </c>
    </row>
    <row r="77" spans="1:6" x14ac:dyDescent="0.35">
      <c r="A77" s="2" t="s">
        <v>270</v>
      </c>
      <c r="B77" s="2" t="s">
        <v>271</v>
      </c>
      <c r="C77" s="3">
        <v>1975</v>
      </c>
      <c r="D77" s="3">
        <v>175733</v>
      </c>
      <c r="E77" s="3">
        <v>1715</v>
      </c>
      <c r="F77" s="2" t="s">
        <v>6</v>
      </c>
    </row>
    <row r="78" spans="1:6" x14ac:dyDescent="0.35">
      <c r="A78" s="2" t="s">
        <v>270</v>
      </c>
      <c r="B78" s="2" t="s">
        <v>271</v>
      </c>
      <c r="C78" s="3">
        <v>1976</v>
      </c>
      <c r="D78" s="3">
        <v>174780</v>
      </c>
      <c r="E78" s="3">
        <v>1827</v>
      </c>
      <c r="F78" s="2" t="s">
        <v>6</v>
      </c>
    </row>
    <row r="79" spans="1:6" x14ac:dyDescent="0.35">
      <c r="A79" s="2" t="s">
        <v>270</v>
      </c>
      <c r="B79" s="2" t="s">
        <v>271</v>
      </c>
      <c r="C79" s="3">
        <v>1977</v>
      </c>
      <c r="D79" s="3">
        <v>170930</v>
      </c>
      <c r="E79" s="3">
        <v>1796</v>
      </c>
      <c r="F79" s="2" t="s">
        <v>6</v>
      </c>
    </row>
    <row r="80" spans="1:6" x14ac:dyDescent="0.35">
      <c r="A80" s="2" t="s">
        <v>270</v>
      </c>
      <c r="B80" s="2" t="s">
        <v>271</v>
      </c>
      <c r="C80" s="3">
        <v>1978</v>
      </c>
      <c r="D80" s="3">
        <v>173233</v>
      </c>
      <c r="E80" s="3">
        <v>1744</v>
      </c>
      <c r="F80" s="2" t="s">
        <v>6</v>
      </c>
    </row>
    <row r="81" spans="1:6" x14ac:dyDescent="0.35">
      <c r="A81" s="2" t="s">
        <v>270</v>
      </c>
      <c r="B81" s="2" t="s">
        <v>271</v>
      </c>
      <c r="C81" s="3">
        <v>1979</v>
      </c>
      <c r="D81" s="3">
        <v>172492</v>
      </c>
      <c r="E81" s="3">
        <v>1832</v>
      </c>
      <c r="F81" s="2" t="s">
        <v>6</v>
      </c>
    </row>
    <row r="82" spans="1:6" x14ac:dyDescent="0.35">
      <c r="A82" s="2" t="s">
        <v>270</v>
      </c>
      <c r="B82" s="2" t="s">
        <v>271</v>
      </c>
      <c r="C82" s="3">
        <v>1980</v>
      </c>
      <c r="D82" s="3">
        <v>178565</v>
      </c>
      <c r="E82" s="3">
        <v>1927</v>
      </c>
      <c r="F82" s="2" t="s">
        <v>6</v>
      </c>
    </row>
    <row r="83" spans="1:6" x14ac:dyDescent="0.35">
      <c r="A83" s="2" t="s">
        <v>270</v>
      </c>
      <c r="B83" s="2" t="s">
        <v>271</v>
      </c>
      <c r="C83" s="3">
        <v>1981</v>
      </c>
      <c r="D83" s="3">
        <v>175727</v>
      </c>
      <c r="E83" s="3">
        <v>1932</v>
      </c>
      <c r="F83" s="2" t="s">
        <v>6</v>
      </c>
    </row>
    <row r="84" spans="1:6" x14ac:dyDescent="0.35">
      <c r="A84" s="2" t="s">
        <v>270</v>
      </c>
      <c r="B84" s="2" t="s">
        <v>271</v>
      </c>
      <c r="C84" s="3">
        <v>1982</v>
      </c>
      <c r="D84" s="3">
        <v>169268</v>
      </c>
      <c r="E84" s="3">
        <v>1854</v>
      </c>
      <c r="F84" s="2" t="s">
        <v>6</v>
      </c>
    </row>
    <row r="85" spans="1:6" x14ac:dyDescent="0.35">
      <c r="A85" s="2" t="s">
        <v>270</v>
      </c>
      <c r="B85" s="2" t="s">
        <v>271</v>
      </c>
      <c r="C85" s="3">
        <v>1983</v>
      </c>
      <c r="D85" s="3">
        <v>167521</v>
      </c>
      <c r="E85" s="3">
        <v>1830</v>
      </c>
      <c r="F85" s="2" t="s">
        <v>6</v>
      </c>
    </row>
    <row r="86" spans="1:6" x14ac:dyDescent="0.35">
      <c r="A86" s="2" t="s">
        <v>270</v>
      </c>
      <c r="B86" s="2" t="s">
        <v>271</v>
      </c>
      <c r="C86" s="3">
        <v>1984</v>
      </c>
      <c r="D86" s="3">
        <v>171385</v>
      </c>
      <c r="E86" s="3">
        <v>1991</v>
      </c>
      <c r="F86" s="2" t="s">
        <v>6</v>
      </c>
    </row>
    <row r="87" spans="1:6" x14ac:dyDescent="0.35">
      <c r="A87" s="2" t="s">
        <v>270</v>
      </c>
      <c r="B87" s="2" t="s">
        <v>271</v>
      </c>
      <c r="C87" s="3">
        <v>1985</v>
      </c>
      <c r="D87" s="3">
        <v>174977</v>
      </c>
      <c r="E87" s="3">
        <v>2058</v>
      </c>
      <c r="F87" s="2" t="s">
        <v>6</v>
      </c>
    </row>
    <row r="88" spans="1:6" x14ac:dyDescent="0.35">
      <c r="A88" s="2" t="s">
        <v>270</v>
      </c>
      <c r="B88" s="2" t="s">
        <v>271</v>
      </c>
      <c r="C88" s="3">
        <v>1986</v>
      </c>
      <c r="D88" s="3">
        <v>181087</v>
      </c>
      <c r="E88" s="3">
        <v>2194</v>
      </c>
      <c r="F88" s="2" t="s">
        <v>6</v>
      </c>
    </row>
    <row r="89" spans="1:6" x14ac:dyDescent="0.35">
      <c r="A89" s="2" t="s">
        <v>270</v>
      </c>
      <c r="B89" s="2" t="s">
        <v>271</v>
      </c>
      <c r="C89" s="3">
        <v>1987</v>
      </c>
      <c r="D89" s="3">
        <v>183036</v>
      </c>
      <c r="E89" s="3">
        <v>2250</v>
      </c>
      <c r="F89" s="2" t="s">
        <v>6</v>
      </c>
    </row>
    <row r="90" spans="1:6" x14ac:dyDescent="0.35">
      <c r="A90" s="2" t="s">
        <v>270</v>
      </c>
      <c r="B90" s="2" t="s">
        <v>271</v>
      </c>
      <c r="C90" s="3">
        <v>1988</v>
      </c>
      <c r="D90" s="3">
        <v>182845</v>
      </c>
      <c r="E90" s="3">
        <v>2346</v>
      </c>
      <c r="F90" s="2" t="s">
        <v>6</v>
      </c>
    </row>
    <row r="91" spans="1:6" x14ac:dyDescent="0.35">
      <c r="A91" s="2" t="s">
        <v>270</v>
      </c>
      <c r="B91" s="2" t="s">
        <v>271</v>
      </c>
      <c r="C91" s="3">
        <v>1989</v>
      </c>
      <c r="D91" s="3">
        <v>184881</v>
      </c>
      <c r="E91" s="3">
        <v>2480</v>
      </c>
      <c r="F91" s="2" t="s">
        <v>6</v>
      </c>
    </row>
    <row r="92" spans="1:6" x14ac:dyDescent="0.35">
      <c r="A92" s="2" t="s">
        <v>270</v>
      </c>
      <c r="B92" s="2" t="s">
        <v>271</v>
      </c>
      <c r="C92" s="3">
        <v>1990</v>
      </c>
      <c r="D92" s="3">
        <v>193363</v>
      </c>
      <c r="E92" s="3">
        <v>2690</v>
      </c>
      <c r="F92" s="2" t="s">
        <v>6</v>
      </c>
    </row>
    <row r="93" spans="1:6" x14ac:dyDescent="0.35">
      <c r="A93" s="2" t="s">
        <v>270</v>
      </c>
      <c r="B93" s="2" t="s">
        <v>271</v>
      </c>
      <c r="C93" s="3">
        <v>1991</v>
      </c>
      <c r="D93" s="3">
        <v>193780</v>
      </c>
      <c r="E93" s="3">
        <v>2794</v>
      </c>
      <c r="F93" s="2" t="s">
        <v>6</v>
      </c>
    </row>
    <row r="94" spans="1:6" x14ac:dyDescent="0.35">
      <c r="A94" s="2" t="s">
        <v>270</v>
      </c>
      <c r="B94" s="2" t="s">
        <v>271</v>
      </c>
      <c r="C94" s="3">
        <v>1992</v>
      </c>
      <c r="D94" s="3">
        <v>191929</v>
      </c>
      <c r="E94" s="3">
        <v>2789</v>
      </c>
      <c r="F94" s="2" t="s">
        <v>6</v>
      </c>
    </row>
    <row r="95" spans="1:6" x14ac:dyDescent="0.35">
      <c r="A95" s="2" t="s">
        <v>270</v>
      </c>
      <c r="B95" s="2" t="s">
        <v>271</v>
      </c>
      <c r="C95" s="3">
        <v>1993</v>
      </c>
      <c r="D95" s="3">
        <v>190898</v>
      </c>
      <c r="E95" s="3">
        <v>2825</v>
      </c>
      <c r="F95" s="2" t="s">
        <v>6</v>
      </c>
    </row>
    <row r="96" spans="1:6" x14ac:dyDescent="0.35">
      <c r="A96" s="2" t="s">
        <v>270</v>
      </c>
      <c r="B96" s="2" t="s">
        <v>271</v>
      </c>
      <c r="C96" s="3">
        <v>1994</v>
      </c>
      <c r="D96" s="3">
        <v>190695</v>
      </c>
      <c r="E96" s="3">
        <v>2818</v>
      </c>
      <c r="F96" s="2" t="s">
        <v>6</v>
      </c>
    </row>
    <row r="97" spans="1:6" x14ac:dyDescent="0.35">
      <c r="A97" s="2" t="s">
        <v>270</v>
      </c>
      <c r="B97" s="2" t="s">
        <v>271</v>
      </c>
      <c r="C97" s="3">
        <v>1995</v>
      </c>
      <c r="D97" s="3">
        <v>185050</v>
      </c>
      <c r="E97" s="3">
        <v>3070</v>
      </c>
      <c r="F97" s="2" t="s">
        <v>6</v>
      </c>
    </row>
    <row r="98" spans="1:6" x14ac:dyDescent="0.35">
      <c r="A98" s="2" t="s">
        <v>270</v>
      </c>
      <c r="B98" s="2" t="s">
        <v>271</v>
      </c>
      <c r="C98" s="3">
        <v>1996</v>
      </c>
      <c r="D98" s="3">
        <v>183738</v>
      </c>
      <c r="E98" s="3">
        <v>3197</v>
      </c>
      <c r="F98" s="2" t="s">
        <v>6</v>
      </c>
    </row>
    <row r="99" spans="1:6" x14ac:dyDescent="0.35">
      <c r="A99" s="2" t="s">
        <v>270</v>
      </c>
      <c r="B99" s="2" t="s">
        <v>271</v>
      </c>
      <c r="C99" s="3">
        <v>1997</v>
      </c>
      <c r="D99" s="3">
        <v>186701</v>
      </c>
      <c r="E99" s="3">
        <v>3245</v>
      </c>
      <c r="F99" s="2" t="s">
        <v>6</v>
      </c>
    </row>
    <row r="100" spans="1:6" x14ac:dyDescent="0.35">
      <c r="A100" s="2" t="s">
        <v>270</v>
      </c>
      <c r="B100" s="2" t="s">
        <v>271</v>
      </c>
      <c r="C100" s="3">
        <v>1998</v>
      </c>
      <c r="D100" s="3">
        <v>193052</v>
      </c>
      <c r="E100" s="3">
        <v>3556</v>
      </c>
      <c r="F100" s="2" t="s">
        <v>6</v>
      </c>
    </row>
    <row r="101" spans="1:6" x14ac:dyDescent="0.35">
      <c r="A101" s="2" t="s">
        <v>270</v>
      </c>
      <c r="B101" s="2" t="s">
        <v>271</v>
      </c>
      <c r="C101" s="3">
        <v>1999</v>
      </c>
      <c r="D101" s="3">
        <v>193924</v>
      </c>
      <c r="E101" s="3">
        <v>3634</v>
      </c>
      <c r="F101" s="2" t="s">
        <v>6</v>
      </c>
    </row>
    <row r="102" spans="1:6" x14ac:dyDescent="0.35">
      <c r="A102" s="2" t="s">
        <v>270</v>
      </c>
      <c r="B102" s="2" t="s">
        <v>271</v>
      </c>
      <c r="C102" s="3">
        <v>2000</v>
      </c>
      <c r="D102" s="3">
        <v>200172</v>
      </c>
      <c r="E102" s="3">
        <v>3639</v>
      </c>
      <c r="F102" s="2" t="s">
        <v>6</v>
      </c>
    </row>
    <row r="103" spans="1:6" x14ac:dyDescent="0.35">
      <c r="A103" s="2" t="s">
        <v>270</v>
      </c>
      <c r="B103" s="2" t="s">
        <v>271</v>
      </c>
      <c r="C103" s="3">
        <v>2001</v>
      </c>
      <c r="D103" s="3">
        <v>196109</v>
      </c>
      <c r="E103" s="3">
        <v>3695</v>
      </c>
      <c r="F103" s="2" t="s">
        <v>6</v>
      </c>
    </row>
    <row r="104" spans="1:6" x14ac:dyDescent="0.35">
      <c r="A104" s="2" t="s">
        <v>270</v>
      </c>
      <c r="B104" s="2" t="s">
        <v>271</v>
      </c>
      <c r="C104" s="3">
        <v>2002</v>
      </c>
      <c r="D104" s="3">
        <v>195436</v>
      </c>
      <c r="E104" s="3">
        <v>3707</v>
      </c>
      <c r="F104" s="2" t="s">
        <v>6</v>
      </c>
    </row>
    <row r="105" spans="1:6" x14ac:dyDescent="0.35">
      <c r="A105" s="2" t="s">
        <v>270</v>
      </c>
      <c r="B105" s="2" t="s">
        <v>271</v>
      </c>
      <c r="C105" s="3">
        <v>2003</v>
      </c>
      <c r="D105" s="3">
        <v>193786</v>
      </c>
      <c r="E105" s="3">
        <v>3616</v>
      </c>
      <c r="F105" s="2" t="s">
        <v>6</v>
      </c>
    </row>
    <row r="106" spans="1:6" x14ac:dyDescent="0.35">
      <c r="A106" s="2" t="s">
        <v>270</v>
      </c>
      <c r="B106" s="2" t="s">
        <v>271</v>
      </c>
      <c r="C106" s="3">
        <v>2004</v>
      </c>
      <c r="D106" s="3">
        <v>187571</v>
      </c>
      <c r="E106" s="3">
        <v>3523</v>
      </c>
      <c r="F106" s="2" t="s">
        <v>6</v>
      </c>
    </row>
    <row r="107" spans="1:6" x14ac:dyDescent="0.35">
      <c r="A107" s="2" t="s">
        <v>270</v>
      </c>
      <c r="B107" s="2" t="s">
        <v>271</v>
      </c>
      <c r="C107" s="3">
        <v>2005</v>
      </c>
      <c r="D107" s="3">
        <v>181655</v>
      </c>
      <c r="E107" s="3">
        <v>3448</v>
      </c>
      <c r="F107" s="2" t="s">
        <v>6</v>
      </c>
    </row>
    <row r="108" spans="1:6" x14ac:dyDescent="0.35">
      <c r="A108" s="2" t="s">
        <v>270</v>
      </c>
      <c r="B108" s="2" t="s">
        <v>271</v>
      </c>
      <c r="C108" s="3">
        <v>2006</v>
      </c>
      <c r="D108" s="3">
        <v>179204</v>
      </c>
      <c r="E108" s="3">
        <v>3210</v>
      </c>
      <c r="F108" s="2" t="s">
        <v>6</v>
      </c>
    </row>
    <row r="109" spans="1:6" x14ac:dyDescent="0.35">
      <c r="A109" s="2" t="s">
        <v>270</v>
      </c>
      <c r="B109" s="2" t="s">
        <v>271</v>
      </c>
      <c r="C109" s="3">
        <v>2007</v>
      </c>
      <c r="D109" s="3">
        <v>175788</v>
      </c>
      <c r="E109" s="3">
        <v>3023</v>
      </c>
      <c r="F109" s="2" t="s">
        <v>6</v>
      </c>
    </row>
    <row r="110" spans="1:6" x14ac:dyDescent="0.35">
      <c r="A110" s="2" t="s">
        <v>270</v>
      </c>
      <c r="B110" s="2" t="s">
        <v>271</v>
      </c>
      <c r="C110" s="3">
        <v>2008</v>
      </c>
      <c r="D110" s="3">
        <v>178770</v>
      </c>
      <c r="E110" s="3">
        <v>3189</v>
      </c>
      <c r="F110" s="2" t="s">
        <v>6</v>
      </c>
    </row>
    <row r="111" spans="1:6" x14ac:dyDescent="0.35">
      <c r="A111" s="2" t="s">
        <v>270</v>
      </c>
      <c r="B111" s="2" t="s">
        <v>271</v>
      </c>
      <c r="C111" s="3">
        <v>2009</v>
      </c>
      <c r="D111" s="3">
        <v>178989</v>
      </c>
      <c r="E111" s="3">
        <v>3153</v>
      </c>
      <c r="F111" s="2" t="s">
        <v>6</v>
      </c>
    </row>
    <row r="112" spans="1:6" x14ac:dyDescent="0.35">
      <c r="A112" s="2" t="s">
        <v>270</v>
      </c>
      <c r="B112" s="2" t="s">
        <v>271</v>
      </c>
      <c r="C112" s="3">
        <v>2010</v>
      </c>
      <c r="D112" s="3">
        <v>178819</v>
      </c>
      <c r="E112" s="3">
        <v>2974</v>
      </c>
      <c r="F112" s="2" t="s">
        <v>6</v>
      </c>
    </row>
    <row r="113" spans="1:6" x14ac:dyDescent="0.35">
      <c r="A113" s="2" t="s">
        <v>270</v>
      </c>
      <c r="B113" s="2" t="s">
        <v>271</v>
      </c>
      <c r="C113" s="3">
        <v>2011</v>
      </c>
      <c r="D113" s="3">
        <v>174778</v>
      </c>
      <c r="E113" s="3">
        <v>2825</v>
      </c>
      <c r="F113" s="2" t="s">
        <v>6</v>
      </c>
    </row>
    <row r="114" spans="1:6" x14ac:dyDescent="0.35">
      <c r="A114" s="2" t="s">
        <v>270</v>
      </c>
      <c r="B114" s="2" t="s">
        <v>271</v>
      </c>
      <c r="C114" s="3">
        <v>2012</v>
      </c>
      <c r="D114" s="3">
        <v>170487</v>
      </c>
      <c r="E114" s="3">
        <v>2893</v>
      </c>
      <c r="F114" s="2" t="s">
        <v>6</v>
      </c>
    </row>
    <row r="115" spans="1:6" x14ac:dyDescent="0.35">
      <c r="A115" s="2" t="s">
        <v>270</v>
      </c>
      <c r="B115" s="2" t="s">
        <v>271</v>
      </c>
      <c r="C115" s="3">
        <v>2013</v>
      </c>
      <c r="D115" s="3">
        <v>166050</v>
      </c>
      <c r="E115" s="3">
        <v>2788</v>
      </c>
      <c r="F115" s="2" t="s">
        <v>6</v>
      </c>
    </row>
    <row r="116" spans="1:6" x14ac:dyDescent="0.35">
      <c r="A116" s="2" t="s">
        <v>270</v>
      </c>
      <c r="B116" s="2" t="s">
        <v>271</v>
      </c>
      <c r="C116" s="3">
        <v>2014</v>
      </c>
      <c r="D116" s="3">
        <v>170108</v>
      </c>
      <c r="E116" s="3">
        <v>2668</v>
      </c>
      <c r="F116" s="2" t="s">
        <v>6</v>
      </c>
    </row>
    <row r="117" spans="1:6" x14ac:dyDescent="0.35">
      <c r="A117" s="2" t="s">
        <v>270</v>
      </c>
      <c r="B117" s="2" t="s">
        <v>271</v>
      </c>
      <c r="C117" s="3">
        <v>2015</v>
      </c>
      <c r="D117" s="3">
        <v>165502</v>
      </c>
      <c r="E117" s="3">
        <v>2639</v>
      </c>
      <c r="F117" s="2" t="s">
        <v>6</v>
      </c>
    </row>
    <row r="118" spans="1:6" x14ac:dyDescent="0.35">
      <c r="A118" s="2" t="s">
        <v>270</v>
      </c>
      <c r="B118" s="2" t="s">
        <v>271</v>
      </c>
      <c r="C118" s="3">
        <v>2016</v>
      </c>
      <c r="D118" s="3">
        <v>167756</v>
      </c>
      <c r="E118" s="3">
        <v>2534</v>
      </c>
      <c r="F118" s="2" t="s">
        <v>6</v>
      </c>
    </row>
    <row r="119" spans="1:6" x14ac:dyDescent="0.35">
      <c r="A119" s="2" t="s">
        <v>270</v>
      </c>
      <c r="B119" s="2" t="s">
        <v>271</v>
      </c>
      <c r="C119" s="3">
        <v>2017</v>
      </c>
      <c r="D119" s="3">
        <v>165008</v>
      </c>
      <c r="E119" s="3">
        <v>2554</v>
      </c>
      <c r="F119" s="2" t="s">
        <v>6</v>
      </c>
    </row>
    <row r="120" spans="1:6" x14ac:dyDescent="0.35">
      <c r="A120" s="2" t="s">
        <v>270</v>
      </c>
      <c r="B120" s="2" t="s">
        <v>271</v>
      </c>
      <c r="C120" s="3">
        <v>2018</v>
      </c>
      <c r="D120" s="3">
        <v>163786</v>
      </c>
      <c r="E120" s="3">
        <v>2497</v>
      </c>
      <c r="F120" s="2" t="s">
        <v>6</v>
      </c>
    </row>
    <row r="121" spans="1:6" x14ac:dyDescent="0.35">
      <c r="A121" s="2" t="s">
        <v>270</v>
      </c>
      <c r="B121" s="2" t="s">
        <v>271</v>
      </c>
      <c r="C121" s="3">
        <v>2019</v>
      </c>
      <c r="D121" s="3">
        <v>165112</v>
      </c>
      <c r="E121" s="2">
        <v>2444</v>
      </c>
      <c r="F121" s="2" t="s">
        <v>6</v>
      </c>
    </row>
    <row r="122" spans="1:6" x14ac:dyDescent="0.35">
      <c r="A122" s="4" t="s">
        <v>270</v>
      </c>
      <c r="B122" s="4" t="s">
        <v>271</v>
      </c>
      <c r="C122" s="3">
        <v>2020</v>
      </c>
      <c r="D122" s="3">
        <v>163910</v>
      </c>
      <c r="E122" s="3">
        <v>2519</v>
      </c>
      <c r="F122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B692-08E7-4661-82CD-E34882ADF9DD}">
  <dimension ref="A1:F123"/>
  <sheetViews>
    <sheetView zoomScale="55" zoomScaleNormal="55" workbookViewId="0">
      <selection sqref="A1:F123"/>
    </sheetView>
  </sheetViews>
  <sheetFormatPr defaultRowHeight="14.5" x14ac:dyDescent="0.35"/>
  <cols>
    <col min="1" max="1" width="11.08984375" style="3" customWidth="1"/>
    <col min="2" max="2" width="11" style="3" customWidth="1"/>
    <col min="3" max="3" width="7.7265625" style="3" customWidth="1"/>
    <col min="4" max="4" width="14.08984375" style="3" customWidth="1"/>
    <col min="5" max="5" width="19.17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6" t="s">
        <v>272</v>
      </c>
      <c r="B2" s="6" t="s">
        <v>273</v>
      </c>
      <c r="C2" s="13">
        <v>1899</v>
      </c>
      <c r="D2" s="4">
        <v>99</v>
      </c>
      <c r="E2" s="3">
        <v>915</v>
      </c>
      <c r="F2" s="4" t="s">
        <v>6</v>
      </c>
    </row>
    <row r="3" spans="1:6" x14ac:dyDescent="0.35">
      <c r="A3" s="6" t="s">
        <v>272</v>
      </c>
      <c r="B3" s="6" t="s">
        <v>273</v>
      </c>
      <c r="C3" s="13">
        <v>1900</v>
      </c>
      <c r="D3" s="4">
        <v>99</v>
      </c>
      <c r="E3" s="3">
        <v>873</v>
      </c>
      <c r="F3" s="4" t="s">
        <v>6</v>
      </c>
    </row>
    <row r="4" spans="1:6" x14ac:dyDescent="0.35">
      <c r="A4" s="6" t="s">
        <v>272</v>
      </c>
      <c r="B4" s="6" t="s">
        <v>273</v>
      </c>
      <c r="C4" s="13">
        <v>1901</v>
      </c>
      <c r="D4" s="4">
        <v>99</v>
      </c>
      <c r="E4" s="3">
        <v>935</v>
      </c>
      <c r="F4" s="4" t="s">
        <v>6</v>
      </c>
    </row>
    <row r="5" spans="1:6" x14ac:dyDescent="0.35">
      <c r="A5" s="6" t="s">
        <v>272</v>
      </c>
      <c r="B5" s="6" t="s">
        <v>273</v>
      </c>
      <c r="C5" s="13">
        <v>1902</v>
      </c>
      <c r="D5" s="4">
        <v>99</v>
      </c>
      <c r="E5" s="3">
        <v>864</v>
      </c>
      <c r="F5" s="4" t="s">
        <v>6</v>
      </c>
    </row>
    <row r="6" spans="1:6" x14ac:dyDescent="0.35">
      <c r="A6" s="6" t="s">
        <v>272</v>
      </c>
      <c r="B6" s="6" t="s">
        <v>273</v>
      </c>
      <c r="C6" s="13">
        <v>1903</v>
      </c>
      <c r="D6" s="4">
        <v>99</v>
      </c>
      <c r="E6" s="3">
        <v>879</v>
      </c>
      <c r="F6" s="4" t="s">
        <v>6</v>
      </c>
    </row>
    <row r="7" spans="1:6" x14ac:dyDescent="0.35">
      <c r="A7" s="6" t="s">
        <v>272</v>
      </c>
      <c r="B7" s="6" t="s">
        <v>273</v>
      </c>
      <c r="C7" s="13">
        <v>1904</v>
      </c>
      <c r="D7" s="4">
        <v>99</v>
      </c>
      <c r="E7" s="3">
        <v>844</v>
      </c>
      <c r="F7" s="4" t="s">
        <v>6</v>
      </c>
    </row>
    <row r="8" spans="1:6" x14ac:dyDescent="0.35">
      <c r="A8" s="6" t="s">
        <v>272</v>
      </c>
      <c r="B8" s="6" t="s">
        <v>273</v>
      </c>
      <c r="C8" s="13">
        <v>1905</v>
      </c>
      <c r="D8" s="4">
        <v>99</v>
      </c>
      <c r="E8" s="3">
        <v>863</v>
      </c>
      <c r="F8" s="4" t="s">
        <v>6</v>
      </c>
    </row>
    <row r="9" spans="1:6" x14ac:dyDescent="0.35">
      <c r="A9" s="6" t="s">
        <v>272</v>
      </c>
      <c r="B9" s="6" t="s">
        <v>273</v>
      </c>
      <c r="C9" s="13">
        <v>1906</v>
      </c>
      <c r="D9" s="4">
        <v>99</v>
      </c>
      <c r="E9" s="3">
        <v>837</v>
      </c>
      <c r="F9" s="4" t="s">
        <v>6</v>
      </c>
    </row>
    <row r="10" spans="1:6" x14ac:dyDescent="0.35">
      <c r="A10" s="6" t="s">
        <v>272</v>
      </c>
      <c r="B10" s="6" t="s">
        <v>273</v>
      </c>
      <c r="C10" s="13">
        <v>1907</v>
      </c>
      <c r="D10" s="4">
        <v>99</v>
      </c>
      <c r="E10" s="3">
        <v>852</v>
      </c>
      <c r="F10" s="4" t="s">
        <v>6</v>
      </c>
    </row>
    <row r="11" spans="1:6" x14ac:dyDescent="0.35">
      <c r="A11" s="6" t="s">
        <v>272</v>
      </c>
      <c r="B11" s="6" t="s">
        <v>273</v>
      </c>
      <c r="C11" s="13">
        <v>1908</v>
      </c>
      <c r="D11" s="4">
        <v>99</v>
      </c>
      <c r="E11" s="3">
        <v>822</v>
      </c>
      <c r="F11" s="4" t="s">
        <v>6</v>
      </c>
    </row>
    <row r="12" spans="1:6" x14ac:dyDescent="0.35">
      <c r="A12" s="6" t="s">
        <v>272</v>
      </c>
      <c r="B12" s="6" t="s">
        <v>273</v>
      </c>
      <c r="C12" s="13">
        <v>1909</v>
      </c>
      <c r="D12" s="4">
        <v>99</v>
      </c>
      <c r="E12" s="3">
        <v>858</v>
      </c>
      <c r="F12" s="4" t="s">
        <v>6</v>
      </c>
    </row>
    <row r="13" spans="1:6" x14ac:dyDescent="0.35">
      <c r="A13" s="6" t="s">
        <v>272</v>
      </c>
      <c r="B13" s="6" t="s">
        <v>273</v>
      </c>
      <c r="C13" s="13">
        <v>1910</v>
      </c>
      <c r="D13" s="4">
        <v>99</v>
      </c>
      <c r="E13" s="3">
        <v>837</v>
      </c>
      <c r="F13" s="4" t="s">
        <v>6</v>
      </c>
    </row>
    <row r="14" spans="1:6" x14ac:dyDescent="0.35">
      <c r="A14" s="6" t="s">
        <v>272</v>
      </c>
      <c r="B14" s="6" t="s">
        <v>273</v>
      </c>
      <c r="C14" s="13">
        <v>1911</v>
      </c>
      <c r="D14" s="4">
        <v>99</v>
      </c>
      <c r="E14" s="3">
        <v>856</v>
      </c>
      <c r="F14" s="4" t="s">
        <v>6</v>
      </c>
    </row>
    <row r="15" spans="1:6" x14ac:dyDescent="0.35">
      <c r="A15" s="6" t="s">
        <v>272</v>
      </c>
      <c r="B15" s="6" t="s">
        <v>273</v>
      </c>
      <c r="C15" s="13">
        <v>1912</v>
      </c>
      <c r="D15" s="4">
        <v>99</v>
      </c>
      <c r="E15" s="3">
        <v>906</v>
      </c>
      <c r="F15" s="4" t="s">
        <v>6</v>
      </c>
    </row>
    <row r="16" spans="1:6" x14ac:dyDescent="0.35">
      <c r="A16" s="6" t="s">
        <v>272</v>
      </c>
      <c r="B16" s="6" t="s">
        <v>273</v>
      </c>
      <c r="C16" s="13">
        <v>1913</v>
      </c>
      <c r="D16" s="4">
        <v>99</v>
      </c>
      <c r="E16" s="3">
        <v>843</v>
      </c>
      <c r="F16" s="4" t="s">
        <v>6</v>
      </c>
    </row>
    <row r="17" spans="1:6" x14ac:dyDescent="0.35">
      <c r="A17" s="6" t="s">
        <v>272</v>
      </c>
      <c r="B17" s="6" t="s">
        <v>273</v>
      </c>
      <c r="C17" s="13">
        <v>1914</v>
      </c>
      <c r="D17" s="4">
        <v>99</v>
      </c>
      <c r="E17" s="3">
        <v>790</v>
      </c>
      <c r="F17" s="4" t="s">
        <v>6</v>
      </c>
    </row>
    <row r="18" spans="1:6" x14ac:dyDescent="0.35">
      <c r="A18" s="6" t="s">
        <v>272</v>
      </c>
      <c r="B18" s="6" t="s">
        <v>273</v>
      </c>
      <c r="C18" s="13">
        <v>1915</v>
      </c>
      <c r="D18" s="4">
        <v>99</v>
      </c>
      <c r="E18" s="3">
        <v>861</v>
      </c>
      <c r="F18" s="4" t="s">
        <v>6</v>
      </c>
    </row>
    <row r="19" spans="1:6" x14ac:dyDescent="0.35">
      <c r="A19" s="6" t="s">
        <v>272</v>
      </c>
      <c r="B19" s="6" t="s">
        <v>273</v>
      </c>
      <c r="C19" s="13">
        <v>1916</v>
      </c>
      <c r="D19" s="4">
        <v>99</v>
      </c>
      <c r="E19" s="3">
        <v>858</v>
      </c>
      <c r="F19" s="4" t="s">
        <v>6</v>
      </c>
    </row>
    <row r="20" spans="1:6" x14ac:dyDescent="0.35">
      <c r="A20" s="6" t="s">
        <v>272</v>
      </c>
      <c r="B20" s="6" t="s">
        <v>273</v>
      </c>
      <c r="C20" s="13">
        <v>1917</v>
      </c>
      <c r="D20" s="4">
        <v>99</v>
      </c>
      <c r="E20" s="3">
        <v>972</v>
      </c>
      <c r="F20" s="4" t="s">
        <v>6</v>
      </c>
    </row>
    <row r="21" spans="1:6" x14ac:dyDescent="0.35">
      <c r="A21" s="6" t="s">
        <v>272</v>
      </c>
      <c r="B21" s="6" t="s">
        <v>273</v>
      </c>
      <c r="C21" s="13">
        <v>1918</v>
      </c>
      <c r="D21" s="4">
        <v>99</v>
      </c>
      <c r="E21" s="3">
        <v>886</v>
      </c>
      <c r="F21" s="4" t="s">
        <v>6</v>
      </c>
    </row>
    <row r="22" spans="1:6" x14ac:dyDescent="0.35">
      <c r="A22" s="6" t="s">
        <v>272</v>
      </c>
      <c r="B22" s="6" t="s">
        <v>273</v>
      </c>
      <c r="C22" s="13">
        <v>1919</v>
      </c>
      <c r="D22" s="4">
        <v>99</v>
      </c>
      <c r="E22" s="3">
        <v>879</v>
      </c>
      <c r="F22" s="4" t="s">
        <v>6</v>
      </c>
    </row>
    <row r="23" spans="1:6" x14ac:dyDescent="0.35">
      <c r="A23" s="6" t="s">
        <v>272</v>
      </c>
      <c r="B23" s="6" t="s">
        <v>273</v>
      </c>
      <c r="C23" s="13">
        <v>1920</v>
      </c>
      <c r="D23" s="4">
        <v>99</v>
      </c>
      <c r="E23" s="3">
        <v>1000</v>
      </c>
      <c r="F23" s="4" t="s">
        <v>6</v>
      </c>
    </row>
    <row r="24" spans="1:6" x14ac:dyDescent="0.35">
      <c r="A24" s="6" t="s">
        <v>272</v>
      </c>
      <c r="B24" s="6" t="s">
        <v>273</v>
      </c>
      <c r="C24" s="13">
        <v>1921</v>
      </c>
      <c r="D24" s="4">
        <v>99</v>
      </c>
      <c r="E24" s="3">
        <v>963</v>
      </c>
      <c r="F24" s="4" t="s">
        <v>6</v>
      </c>
    </row>
    <row r="25" spans="1:6" x14ac:dyDescent="0.35">
      <c r="A25" s="6" t="s">
        <v>272</v>
      </c>
      <c r="B25" s="6" t="s">
        <v>273</v>
      </c>
      <c r="C25" s="13">
        <v>1922</v>
      </c>
      <c r="D25" s="4">
        <v>99</v>
      </c>
      <c r="E25" s="3">
        <v>925</v>
      </c>
      <c r="F25" s="4" t="s">
        <v>6</v>
      </c>
    </row>
    <row r="26" spans="1:6" x14ac:dyDescent="0.35">
      <c r="A26" s="6" t="s">
        <v>272</v>
      </c>
      <c r="B26" s="6" t="s">
        <v>273</v>
      </c>
      <c r="C26" s="13">
        <v>1923</v>
      </c>
      <c r="D26" s="4">
        <v>99</v>
      </c>
      <c r="E26" s="3">
        <v>900</v>
      </c>
      <c r="F26" s="4" t="s">
        <v>6</v>
      </c>
    </row>
    <row r="27" spans="1:6" x14ac:dyDescent="0.35">
      <c r="A27" s="6" t="s">
        <v>272</v>
      </c>
      <c r="B27" s="6" t="s">
        <v>273</v>
      </c>
      <c r="C27" s="13">
        <v>1924</v>
      </c>
      <c r="D27" s="4">
        <v>99</v>
      </c>
      <c r="E27" s="3">
        <v>851</v>
      </c>
      <c r="F27" s="4" t="s">
        <v>6</v>
      </c>
    </row>
    <row r="28" spans="1:6" x14ac:dyDescent="0.35">
      <c r="A28" s="6" t="s">
        <v>272</v>
      </c>
      <c r="B28" s="6" t="s">
        <v>273</v>
      </c>
      <c r="C28" s="13">
        <v>1925</v>
      </c>
      <c r="D28" s="4">
        <v>99</v>
      </c>
      <c r="E28" s="3">
        <v>765</v>
      </c>
      <c r="F28" s="4" t="s">
        <v>6</v>
      </c>
    </row>
    <row r="29" spans="1:6" x14ac:dyDescent="0.35">
      <c r="A29" s="6" t="s">
        <v>272</v>
      </c>
      <c r="B29" s="6" t="s">
        <v>273</v>
      </c>
      <c r="C29" s="13">
        <v>1926</v>
      </c>
      <c r="D29" s="4">
        <v>99</v>
      </c>
      <c r="E29" s="3">
        <v>831</v>
      </c>
      <c r="F29" s="4" t="s">
        <v>6</v>
      </c>
    </row>
    <row r="30" spans="1:6" x14ac:dyDescent="0.35">
      <c r="A30" s="6" t="s">
        <v>272</v>
      </c>
      <c r="B30" s="6" t="s">
        <v>273</v>
      </c>
      <c r="C30" s="13">
        <v>1927</v>
      </c>
      <c r="D30" s="4">
        <v>99</v>
      </c>
      <c r="E30" s="3">
        <v>731</v>
      </c>
      <c r="F30" s="4" t="s">
        <v>6</v>
      </c>
    </row>
    <row r="31" spans="1:6" x14ac:dyDescent="0.35">
      <c r="A31" s="6" t="s">
        <v>272</v>
      </c>
      <c r="B31" s="6" t="s">
        <v>273</v>
      </c>
      <c r="C31" s="13">
        <v>1928</v>
      </c>
      <c r="D31" s="4">
        <v>99</v>
      </c>
      <c r="E31" s="3">
        <v>699</v>
      </c>
      <c r="F31" s="4" t="s">
        <v>6</v>
      </c>
    </row>
    <row r="32" spans="1:6" x14ac:dyDescent="0.35">
      <c r="A32" s="6" t="s">
        <v>272</v>
      </c>
      <c r="B32" s="6" t="s">
        <v>273</v>
      </c>
      <c r="C32" s="13">
        <v>1929</v>
      </c>
      <c r="D32" s="4">
        <v>99</v>
      </c>
      <c r="E32" s="3">
        <v>731</v>
      </c>
      <c r="F32" s="4" t="s">
        <v>6</v>
      </c>
    </row>
    <row r="33" spans="1:6" x14ac:dyDescent="0.35">
      <c r="A33" s="6" t="s">
        <v>272</v>
      </c>
      <c r="B33" s="6" t="s">
        <v>273</v>
      </c>
      <c r="C33" s="13">
        <v>1930</v>
      </c>
      <c r="D33" s="4">
        <v>99</v>
      </c>
      <c r="E33" s="3">
        <v>736</v>
      </c>
      <c r="F33" s="4" t="s">
        <v>6</v>
      </c>
    </row>
    <row r="34" spans="1:6" x14ac:dyDescent="0.35">
      <c r="A34" s="6" t="s">
        <v>272</v>
      </c>
      <c r="B34" s="6" t="s">
        <v>273</v>
      </c>
      <c r="C34" s="13">
        <v>1931</v>
      </c>
      <c r="D34" s="4">
        <v>99</v>
      </c>
      <c r="E34" s="3">
        <v>657</v>
      </c>
      <c r="F34" s="4" t="s">
        <v>6</v>
      </c>
    </row>
    <row r="35" spans="1:6" x14ac:dyDescent="0.35">
      <c r="A35" s="6" t="s">
        <v>272</v>
      </c>
      <c r="B35" s="6" t="s">
        <v>273</v>
      </c>
      <c r="C35" s="13">
        <v>1932</v>
      </c>
      <c r="D35" s="4">
        <v>99</v>
      </c>
      <c r="E35" s="3">
        <v>632</v>
      </c>
      <c r="F35" s="4" t="s">
        <v>6</v>
      </c>
    </row>
    <row r="36" spans="1:6" x14ac:dyDescent="0.35">
      <c r="A36" s="6" t="s">
        <v>272</v>
      </c>
      <c r="B36" s="6" t="s">
        <v>273</v>
      </c>
      <c r="C36" s="13">
        <v>1933</v>
      </c>
      <c r="D36" s="4">
        <v>99</v>
      </c>
      <c r="E36" s="3">
        <v>612</v>
      </c>
      <c r="F36" s="4" t="s">
        <v>6</v>
      </c>
    </row>
    <row r="37" spans="1:6" x14ac:dyDescent="0.35">
      <c r="A37" s="6" t="s">
        <v>272</v>
      </c>
      <c r="B37" s="6" t="s">
        <v>273</v>
      </c>
      <c r="C37" s="13">
        <v>1934</v>
      </c>
      <c r="D37" s="4">
        <v>99</v>
      </c>
      <c r="E37" s="3">
        <v>555</v>
      </c>
      <c r="F37" s="4" t="s">
        <v>6</v>
      </c>
    </row>
    <row r="38" spans="1:6" x14ac:dyDescent="0.35">
      <c r="A38" s="6" t="s">
        <v>272</v>
      </c>
      <c r="B38" s="6" t="s">
        <v>273</v>
      </c>
      <c r="C38" s="13">
        <v>1935</v>
      </c>
      <c r="D38" s="4">
        <v>99</v>
      </c>
      <c r="E38" s="3">
        <v>566</v>
      </c>
      <c r="F38" s="4" t="s">
        <v>6</v>
      </c>
    </row>
    <row r="39" spans="1:6" x14ac:dyDescent="0.35">
      <c r="A39" s="6" t="s">
        <v>272</v>
      </c>
      <c r="B39" s="6" t="s">
        <v>273</v>
      </c>
      <c r="C39" s="13">
        <v>1936</v>
      </c>
      <c r="D39" s="4">
        <v>99</v>
      </c>
      <c r="E39" s="3">
        <v>581</v>
      </c>
      <c r="F39" s="4" t="s">
        <v>6</v>
      </c>
    </row>
    <row r="40" spans="1:6" x14ac:dyDescent="0.35">
      <c r="A40" s="6" t="s">
        <v>272</v>
      </c>
      <c r="B40" s="6" t="s">
        <v>273</v>
      </c>
      <c r="C40" s="13">
        <v>1937</v>
      </c>
      <c r="D40" s="4">
        <v>99</v>
      </c>
      <c r="E40" s="3">
        <v>590</v>
      </c>
      <c r="F40" s="4" t="s">
        <v>6</v>
      </c>
    </row>
    <row r="41" spans="1:6" x14ac:dyDescent="0.35">
      <c r="A41" s="6" t="s">
        <v>272</v>
      </c>
      <c r="B41" s="6" t="s">
        <v>273</v>
      </c>
      <c r="C41" s="13">
        <v>1938</v>
      </c>
      <c r="D41" s="4">
        <v>99</v>
      </c>
      <c r="E41" s="3">
        <v>634</v>
      </c>
      <c r="F41" s="4" t="s">
        <v>6</v>
      </c>
    </row>
    <row r="42" spans="1:6" x14ac:dyDescent="0.35">
      <c r="A42" s="6" t="s">
        <v>272</v>
      </c>
      <c r="B42" s="6" t="s">
        <v>273</v>
      </c>
      <c r="C42" s="13">
        <v>1939</v>
      </c>
      <c r="D42" s="4">
        <v>99</v>
      </c>
      <c r="E42" s="3">
        <v>648</v>
      </c>
      <c r="F42" s="4" t="s">
        <v>6</v>
      </c>
    </row>
    <row r="43" spans="1:6" x14ac:dyDescent="0.35">
      <c r="A43" s="6" t="s">
        <v>272</v>
      </c>
      <c r="B43" s="6" t="s">
        <v>273</v>
      </c>
      <c r="C43" s="13">
        <v>1940</v>
      </c>
      <c r="D43" s="4">
        <v>99</v>
      </c>
      <c r="E43" s="3">
        <v>662</v>
      </c>
      <c r="F43" s="4" t="s">
        <v>6</v>
      </c>
    </row>
    <row r="44" spans="1:6" x14ac:dyDescent="0.35">
      <c r="A44" s="6" t="s">
        <v>272</v>
      </c>
      <c r="B44" s="6" t="s">
        <v>273</v>
      </c>
      <c r="C44" s="13">
        <v>1941</v>
      </c>
      <c r="D44" s="4">
        <v>99</v>
      </c>
      <c r="E44" s="3">
        <v>591</v>
      </c>
      <c r="F44" s="4" t="s">
        <v>6</v>
      </c>
    </row>
    <row r="45" spans="1:6" x14ac:dyDescent="0.35">
      <c r="A45" s="6" t="s">
        <v>272</v>
      </c>
      <c r="B45" s="6" t="s">
        <v>273</v>
      </c>
      <c r="C45" s="13">
        <v>1942</v>
      </c>
      <c r="D45" s="4">
        <v>99</v>
      </c>
      <c r="E45" s="3">
        <v>599</v>
      </c>
      <c r="F45" s="4" t="s">
        <v>6</v>
      </c>
    </row>
    <row r="46" spans="1:6" x14ac:dyDescent="0.35">
      <c r="A46" s="6" t="s">
        <v>272</v>
      </c>
      <c r="B46" s="6" t="s">
        <v>273</v>
      </c>
      <c r="C46" s="13">
        <v>1943</v>
      </c>
      <c r="D46" s="4">
        <v>99</v>
      </c>
      <c r="E46" s="3">
        <v>697</v>
      </c>
      <c r="F46" s="4" t="s">
        <v>6</v>
      </c>
    </row>
    <row r="47" spans="1:6" x14ac:dyDescent="0.35">
      <c r="A47" s="6" t="s">
        <v>272</v>
      </c>
      <c r="B47" s="6" t="s">
        <v>273</v>
      </c>
      <c r="C47" s="13">
        <v>1944</v>
      </c>
      <c r="D47" s="4">
        <v>99</v>
      </c>
      <c r="E47" s="3">
        <v>750</v>
      </c>
      <c r="F47" s="4" t="s">
        <v>6</v>
      </c>
    </row>
    <row r="48" spans="1:6" x14ac:dyDescent="0.35">
      <c r="A48" s="6" t="s">
        <v>272</v>
      </c>
      <c r="B48" s="6" t="s">
        <v>273</v>
      </c>
      <c r="C48" s="13">
        <v>1945</v>
      </c>
      <c r="D48" s="4">
        <v>99</v>
      </c>
      <c r="E48" s="3">
        <v>729</v>
      </c>
      <c r="F48" s="4" t="s">
        <v>6</v>
      </c>
    </row>
    <row r="49" spans="1:6" x14ac:dyDescent="0.35">
      <c r="A49" s="6" t="s">
        <v>272</v>
      </c>
      <c r="B49" s="6" t="s">
        <v>273</v>
      </c>
      <c r="C49" s="13" t="s">
        <v>51</v>
      </c>
      <c r="D49" s="3">
        <v>70236</v>
      </c>
      <c r="E49" s="3">
        <v>915</v>
      </c>
      <c r="F49" s="4" t="s">
        <v>6</v>
      </c>
    </row>
    <row r="50" spans="1:6" x14ac:dyDescent="0.35">
      <c r="A50" s="6" t="s">
        <v>272</v>
      </c>
      <c r="B50" s="6" t="s">
        <v>273</v>
      </c>
      <c r="C50" s="13" t="s">
        <v>52</v>
      </c>
      <c r="D50" s="3">
        <v>66992</v>
      </c>
      <c r="E50" s="3">
        <v>924</v>
      </c>
      <c r="F50" s="4" t="s">
        <v>6</v>
      </c>
    </row>
    <row r="51" spans="1:6" x14ac:dyDescent="0.35">
      <c r="A51" s="6" t="s">
        <v>272</v>
      </c>
      <c r="B51" s="6" t="s">
        <v>273</v>
      </c>
      <c r="C51" s="13" t="s">
        <v>53</v>
      </c>
      <c r="D51" s="3">
        <v>64952</v>
      </c>
      <c r="E51" s="3">
        <v>903</v>
      </c>
      <c r="F51" s="4" t="s">
        <v>6</v>
      </c>
    </row>
    <row r="52" spans="1:6" x14ac:dyDescent="0.35">
      <c r="A52" s="6" t="s">
        <v>272</v>
      </c>
      <c r="B52" s="6" t="s">
        <v>273</v>
      </c>
      <c r="C52" s="13" t="s">
        <v>54</v>
      </c>
      <c r="D52" s="3">
        <v>62440</v>
      </c>
      <c r="E52" s="3">
        <v>813</v>
      </c>
      <c r="F52" s="4" t="s">
        <v>6</v>
      </c>
    </row>
    <row r="53" spans="1:6" x14ac:dyDescent="0.35">
      <c r="A53" s="6" t="s">
        <v>272</v>
      </c>
      <c r="B53" s="6" t="s">
        <v>273</v>
      </c>
      <c r="C53" s="13" t="s">
        <v>55</v>
      </c>
      <c r="D53" s="3">
        <v>61656</v>
      </c>
      <c r="E53" s="3">
        <v>879</v>
      </c>
      <c r="F53" s="4" t="s">
        <v>6</v>
      </c>
    </row>
    <row r="54" spans="1:6" x14ac:dyDescent="0.35">
      <c r="A54" s="6" t="s">
        <v>272</v>
      </c>
      <c r="B54" s="6" t="s">
        <v>273</v>
      </c>
      <c r="C54" s="13" t="s">
        <v>56</v>
      </c>
      <c r="D54" s="3">
        <v>59957</v>
      </c>
      <c r="E54" s="3">
        <v>796</v>
      </c>
      <c r="F54" s="4" t="s">
        <v>6</v>
      </c>
    </row>
    <row r="55" spans="1:6" x14ac:dyDescent="0.35">
      <c r="A55" s="6" t="s">
        <v>272</v>
      </c>
      <c r="B55" s="6" t="s">
        <v>273</v>
      </c>
      <c r="C55" s="13" t="s">
        <v>57</v>
      </c>
      <c r="D55" s="3">
        <v>61852</v>
      </c>
      <c r="E55" s="3">
        <v>806</v>
      </c>
      <c r="F55" s="4" t="s">
        <v>6</v>
      </c>
    </row>
    <row r="56" spans="1:6" x14ac:dyDescent="0.35">
      <c r="A56" s="6" t="s">
        <v>272</v>
      </c>
      <c r="B56" s="6" t="s">
        <v>273</v>
      </c>
      <c r="C56" s="13" t="s">
        <v>58</v>
      </c>
      <c r="D56" s="3">
        <v>62316</v>
      </c>
      <c r="E56" s="3">
        <v>817</v>
      </c>
      <c r="F56" s="4" t="s">
        <v>6</v>
      </c>
    </row>
    <row r="57" spans="1:6" x14ac:dyDescent="0.35">
      <c r="A57" s="6" t="s">
        <v>272</v>
      </c>
      <c r="B57" s="6" t="s">
        <v>273</v>
      </c>
      <c r="C57" s="13" t="s">
        <v>59</v>
      </c>
      <c r="D57" s="3">
        <v>62091</v>
      </c>
      <c r="E57" s="3">
        <v>771</v>
      </c>
      <c r="F57" s="4" t="s">
        <v>6</v>
      </c>
    </row>
    <row r="58" spans="1:6" x14ac:dyDescent="0.35">
      <c r="A58" s="6" t="s">
        <v>272</v>
      </c>
      <c r="B58" s="6" t="s">
        <v>273</v>
      </c>
      <c r="C58" s="13" t="s">
        <v>60</v>
      </c>
      <c r="D58" s="3">
        <v>63007</v>
      </c>
      <c r="E58" s="3">
        <v>747</v>
      </c>
      <c r="F58" s="4" t="s">
        <v>6</v>
      </c>
    </row>
    <row r="59" spans="1:6" x14ac:dyDescent="0.35">
      <c r="A59" s="6" t="s">
        <v>272</v>
      </c>
      <c r="B59" s="6" t="s">
        <v>273</v>
      </c>
      <c r="C59" s="13" t="s">
        <v>61</v>
      </c>
      <c r="D59" s="3">
        <v>63593</v>
      </c>
      <c r="E59" s="3">
        <v>767</v>
      </c>
      <c r="F59" s="4" t="s">
        <v>6</v>
      </c>
    </row>
    <row r="60" spans="1:6" x14ac:dyDescent="0.35">
      <c r="A60" s="6" t="s">
        <v>272</v>
      </c>
      <c r="B60" s="6" t="s">
        <v>273</v>
      </c>
      <c r="C60" s="13" t="s">
        <v>62</v>
      </c>
      <c r="D60" s="3">
        <v>62519</v>
      </c>
      <c r="E60" s="3">
        <v>734</v>
      </c>
      <c r="F60" s="4" t="s">
        <v>6</v>
      </c>
    </row>
    <row r="61" spans="1:6" x14ac:dyDescent="0.35">
      <c r="A61" s="6" t="s">
        <v>272</v>
      </c>
      <c r="B61" s="6" t="s">
        <v>273</v>
      </c>
      <c r="C61" s="13" t="s">
        <v>63</v>
      </c>
      <c r="D61" s="3">
        <v>62436</v>
      </c>
      <c r="E61" s="3">
        <v>722</v>
      </c>
      <c r="F61" s="4" t="s">
        <v>6</v>
      </c>
    </row>
    <row r="62" spans="1:6" x14ac:dyDescent="0.35">
      <c r="A62" s="6" t="s">
        <v>272</v>
      </c>
      <c r="B62" s="6" t="s">
        <v>273</v>
      </c>
      <c r="C62" s="13" t="s">
        <v>64</v>
      </c>
      <c r="D62" s="3">
        <v>62376</v>
      </c>
      <c r="E62" s="3">
        <v>727</v>
      </c>
      <c r="F62" s="4" t="s">
        <v>6</v>
      </c>
    </row>
    <row r="63" spans="1:6" x14ac:dyDescent="0.35">
      <c r="A63" s="6" t="s">
        <v>272</v>
      </c>
      <c r="B63" s="6" t="s">
        <v>273</v>
      </c>
      <c r="C63" s="13" t="s">
        <v>65</v>
      </c>
      <c r="D63" s="3">
        <v>61313</v>
      </c>
      <c r="E63" s="3">
        <v>708</v>
      </c>
      <c r="F63" s="4" t="s">
        <v>6</v>
      </c>
    </row>
    <row r="64" spans="1:6" x14ac:dyDescent="0.35">
      <c r="A64" s="6" t="s">
        <v>272</v>
      </c>
      <c r="B64" s="6" t="s">
        <v>273</v>
      </c>
      <c r="C64" s="13" t="s">
        <v>66</v>
      </c>
      <c r="D64" s="3">
        <v>61891</v>
      </c>
      <c r="E64" s="3">
        <v>734</v>
      </c>
      <c r="F64" s="4" t="s">
        <v>6</v>
      </c>
    </row>
    <row r="65" spans="1:6" x14ac:dyDescent="0.35">
      <c r="A65" s="6" t="s">
        <v>272</v>
      </c>
      <c r="B65" s="6" t="s">
        <v>273</v>
      </c>
      <c r="C65" s="13" t="s">
        <v>67</v>
      </c>
      <c r="D65" s="3">
        <v>61730</v>
      </c>
      <c r="E65" s="3">
        <v>682</v>
      </c>
      <c r="F65" s="4" t="s">
        <v>6</v>
      </c>
    </row>
    <row r="66" spans="1:6" x14ac:dyDescent="0.35">
      <c r="A66" s="6" t="s">
        <v>272</v>
      </c>
      <c r="B66" s="6" t="s">
        <v>273</v>
      </c>
      <c r="C66" s="13" t="s">
        <v>68</v>
      </c>
      <c r="D66" s="3">
        <v>62733</v>
      </c>
      <c r="E66" s="3">
        <v>666</v>
      </c>
      <c r="F66" s="4" t="s">
        <v>6</v>
      </c>
    </row>
    <row r="67" spans="1:6" x14ac:dyDescent="0.35">
      <c r="A67" s="6" t="s">
        <v>272</v>
      </c>
      <c r="B67" s="6" t="s">
        <v>273</v>
      </c>
      <c r="C67" s="13" t="s">
        <v>69</v>
      </c>
      <c r="D67" s="3">
        <v>64887</v>
      </c>
      <c r="E67" s="3">
        <v>730</v>
      </c>
      <c r="F67" s="4" t="s">
        <v>6</v>
      </c>
    </row>
    <row r="68" spans="1:6" x14ac:dyDescent="0.35">
      <c r="A68" s="6" t="s">
        <v>272</v>
      </c>
      <c r="B68" s="6" t="s">
        <v>273</v>
      </c>
      <c r="C68" s="13" t="s">
        <v>70</v>
      </c>
      <c r="D68" s="3">
        <v>65597</v>
      </c>
      <c r="E68" s="3">
        <v>689</v>
      </c>
      <c r="F68" s="4" t="s">
        <v>6</v>
      </c>
    </row>
    <row r="69" spans="1:6" x14ac:dyDescent="0.35">
      <c r="A69" s="6" t="s">
        <v>272</v>
      </c>
      <c r="B69" s="6" t="s">
        <v>273</v>
      </c>
      <c r="C69" s="13" t="s">
        <v>71</v>
      </c>
      <c r="D69" s="3">
        <v>66502</v>
      </c>
      <c r="E69" s="3">
        <v>675</v>
      </c>
      <c r="F69" s="4" t="s">
        <v>6</v>
      </c>
    </row>
    <row r="70" spans="1:6" x14ac:dyDescent="0.35">
      <c r="A70" s="6" t="s">
        <v>272</v>
      </c>
      <c r="B70" s="6" t="s">
        <v>273</v>
      </c>
      <c r="C70" s="13" t="s">
        <v>72</v>
      </c>
      <c r="D70" s="3">
        <v>66195</v>
      </c>
      <c r="E70" s="3">
        <v>655</v>
      </c>
      <c r="F70" s="4" t="s">
        <v>6</v>
      </c>
    </row>
    <row r="71" spans="1:6" x14ac:dyDescent="0.35">
      <c r="A71" s="6" t="s">
        <v>272</v>
      </c>
      <c r="B71" s="6" t="s">
        <v>273</v>
      </c>
      <c r="C71" s="13" t="s">
        <v>73</v>
      </c>
      <c r="D71" s="3">
        <v>66786</v>
      </c>
      <c r="E71" s="3">
        <v>645</v>
      </c>
      <c r="F71" s="4" t="s">
        <v>6</v>
      </c>
    </row>
    <row r="72" spans="1:6" x14ac:dyDescent="0.35">
      <c r="A72" s="6" t="s">
        <v>272</v>
      </c>
      <c r="B72" s="6" t="s">
        <v>273</v>
      </c>
      <c r="C72" s="13" t="s">
        <v>74</v>
      </c>
      <c r="D72" s="3">
        <v>67059</v>
      </c>
      <c r="E72" s="3">
        <v>710</v>
      </c>
      <c r="F72" s="4" t="s">
        <v>6</v>
      </c>
    </row>
    <row r="73" spans="1:6" x14ac:dyDescent="0.35">
      <c r="A73" s="6" t="s">
        <v>272</v>
      </c>
      <c r="B73" s="6" t="s">
        <v>273</v>
      </c>
      <c r="C73" s="13" t="s">
        <v>75</v>
      </c>
      <c r="D73" s="3">
        <v>63968</v>
      </c>
      <c r="E73" s="3">
        <v>630</v>
      </c>
      <c r="F73" s="4" t="s">
        <v>6</v>
      </c>
    </row>
    <row r="74" spans="1:6" x14ac:dyDescent="0.35">
      <c r="A74" s="6" t="s">
        <v>272</v>
      </c>
      <c r="B74" s="6" t="s">
        <v>273</v>
      </c>
      <c r="C74" s="13" t="s">
        <v>76</v>
      </c>
      <c r="D74" s="3">
        <v>64913</v>
      </c>
      <c r="E74" s="3">
        <v>621</v>
      </c>
      <c r="F74" s="4" t="s">
        <v>6</v>
      </c>
    </row>
    <row r="75" spans="1:6" x14ac:dyDescent="0.35">
      <c r="A75" s="6" t="s">
        <v>272</v>
      </c>
      <c r="B75" s="6" t="s">
        <v>273</v>
      </c>
      <c r="C75" s="13" t="s">
        <v>77</v>
      </c>
      <c r="D75" s="3">
        <v>63745</v>
      </c>
      <c r="E75" s="3">
        <v>560</v>
      </c>
      <c r="F75" s="4" t="s">
        <v>6</v>
      </c>
    </row>
    <row r="76" spans="1:6" x14ac:dyDescent="0.35">
      <c r="A76" s="6" t="s">
        <v>272</v>
      </c>
      <c r="B76" s="6" t="s">
        <v>273</v>
      </c>
      <c r="C76" s="13" t="s">
        <v>78</v>
      </c>
      <c r="D76" s="3">
        <v>60597</v>
      </c>
      <c r="E76" s="3">
        <v>587</v>
      </c>
      <c r="F76" s="4" t="s">
        <v>6</v>
      </c>
    </row>
    <row r="77" spans="1:6" x14ac:dyDescent="0.35">
      <c r="A77" s="6" t="s">
        <v>272</v>
      </c>
      <c r="B77" s="6" t="s">
        <v>273</v>
      </c>
      <c r="C77" s="13" t="s">
        <v>79</v>
      </c>
      <c r="D77" s="3">
        <v>59044</v>
      </c>
      <c r="E77" s="3">
        <v>534</v>
      </c>
      <c r="F77" s="4" t="s">
        <v>6</v>
      </c>
    </row>
    <row r="78" spans="1:6" x14ac:dyDescent="0.35">
      <c r="A78" s="6" t="s">
        <v>272</v>
      </c>
      <c r="B78" s="6" t="s">
        <v>273</v>
      </c>
      <c r="C78" s="13" t="s">
        <v>80</v>
      </c>
      <c r="D78" s="3">
        <v>55718</v>
      </c>
      <c r="E78" s="3">
        <v>538</v>
      </c>
      <c r="F78" s="4" t="s">
        <v>6</v>
      </c>
    </row>
    <row r="79" spans="1:6" x14ac:dyDescent="0.35">
      <c r="A79" s="6" t="s">
        <v>272</v>
      </c>
      <c r="B79" s="6" t="s">
        <v>273</v>
      </c>
      <c r="C79" s="13" t="s">
        <v>81</v>
      </c>
      <c r="D79" s="3">
        <v>52832</v>
      </c>
      <c r="E79" s="3">
        <v>515</v>
      </c>
      <c r="F79" s="4" t="s">
        <v>6</v>
      </c>
    </row>
    <row r="80" spans="1:6" x14ac:dyDescent="0.35">
      <c r="A80" s="6" t="s">
        <v>272</v>
      </c>
      <c r="B80" s="6" t="s">
        <v>273</v>
      </c>
      <c r="C80" s="13" t="s">
        <v>82</v>
      </c>
      <c r="D80" s="3">
        <v>50312</v>
      </c>
      <c r="E80" s="3">
        <v>468</v>
      </c>
      <c r="F80" s="4" t="s">
        <v>6</v>
      </c>
    </row>
    <row r="81" spans="1:6" x14ac:dyDescent="0.35">
      <c r="A81" s="6" t="s">
        <v>272</v>
      </c>
      <c r="B81" s="6" t="s">
        <v>273</v>
      </c>
      <c r="C81" s="13" t="s">
        <v>83</v>
      </c>
      <c r="D81" s="3">
        <v>50990</v>
      </c>
      <c r="E81" s="3">
        <v>551</v>
      </c>
      <c r="F81" s="4" t="s">
        <v>6</v>
      </c>
    </row>
    <row r="82" spans="1:6" x14ac:dyDescent="0.35">
      <c r="A82" s="6" t="s">
        <v>272</v>
      </c>
      <c r="B82" s="6" t="s">
        <v>273</v>
      </c>
      <c r="C82" s="13" t="s">
        <v>84</v>
      </c>
      <c r="D82" s="3">
        <v>51017</v>
      </c>
      <c r="E82" s="3">
        <v>465</v>
      </c>
      <c r="F82" s="4" t="s">
        <v>6</v>
      </c>
    </row>
    <row r="83" spans="1:6" x14ac:dyDescent="0.35">
      <c r="A83" s="6" t="s">
        <v>272</v>
      </c>
      <c r="B83" s="6" t="s">
        <v>273</v>
      </c>
      <c r="C83" s="13" t="s">
        <v>85</v>
      </c>
      <c r="D83" s="3">
        <v>50444</v>
      </c>
      <c r="E83" s="3">
        <v>473</v>
      </c>
      <c r="F83" s="4" t="s">
        <v>6</v>
      </c>
    </row>
    <row r="84" spans="1:6" x14ac:dyDescent="0.35">
      <c r="A84" s="6" t="s">
        <v>272</v>
      </c>
      <c r="B84" s="6" t="s">
        <v>273</v>
      </c>
      <c r="C84" s="13" t="s">
        <v>86</v>
      </c>
      <c r="D84" s="3">
        <v>50047</v>
      </c>
      <c r="E84" s="3">
        <v>468</v>
      </c>
      <c r="F84" s="4" t="s">
        <v>6</v>
      </c>
    </row>
    <row r="85" spans="1:6" x14ac:dyDescent="0.35">
      <c r="A85" s="6" t="s">
        <v>272</v>
      </c>
      <c r="B85" s="6" t="s">
        <v>273</v>
      </c>
      <c r="C85" s="13" t="s">
        <v>87</v>
      </c>
      <c r="D85" s="3">
        <v>50528</v>
      </c>
      <c r="E85" s="3">
        <v>507</v>
      </c>
      <c r="F85" s="4" t="s">
        <v>6</v>
      </c>
    </row>
    <row r="86" spans="1:6" x14ac:dyDescent="0.35">
      <c r="A86" s="6" t="s">
        <v>272</v>
      </c>
      <c r="B86" s="6" t="s">
        <v>273</v>
      </c>
      <c r="C86" s="13" t="s">
        <v>88</v>
      </c>
      <c r="D86" s="3">
        <v>49295</v>
      </c>
      <c r="E86" s="3">
        <v>468</v>
      </c>
      <c r="F86" s="4" t="s">
        <v>6</v>
      </c>
    </row>
    <row r="87" spans="1:6" x14ac:dyDescent="0.35">
      <c r="A87" s="6" t="s">
        <v>272</v>
      </c>
      <c r="B87" s="6" t="s">
        <v>273</v>
      </c>
      <c r="C87" s="13" t="s">
        <v>89</v>
      </c>
      <c r="D87" s="3">
        <v>49559</v>
      </c>
      <c r="E87" s="3">
        <v>472</v>
      </c>
      <c r="F87" s="4" t="s">
        <v>6</v>
      </c>
    </row>
    <row r="88" spans="1:6" x14ac:dyDescent="0.35">
      <c r="A88" s="6" t="s">
        <v>272</v>
      </c>
      <c r="B88" s="6" t="s">
        <v>273</v>
      </c>
      <c r="C88" s="13" t="s">
        <v>90</v>
      </c>
      <c r="D88" s="3">
        <v>50267</v>
      </c>
      <c r="E88" s="3">
        <v>559</v>
      </c>
      <c r="F88" s="4" t="s">
        <v>6</v>
      </c>
    </row>
    <row r="89" spans="1:6" x14ac:dyDescent="0.35">
      <c r="A89" s="6" t="s">
        <v>272</v>
      </c>
      <c r="B89" s="6" t="s">
        <v>273</v>
      </c>
      <c r="C89" s="13" t="s">
        <v>91</v>
      </c>
      <c r="D89" s="3">
        <v>51709</v>
      </c>
      <c r="E89" s="3">
        <v>524</v>
      </c>
      <c r="F89" s="4" t="s">
        <v>6</v>
      </c>
    </row>
    <row r="90" spans="1:6" x14ac:dyDescent="0.35">
      <c r="A90" s="6" t="s">
        <v>272</v>
      </c>
      <c r="B90" s="6" t="s">
        <v>273</v>
      </c>
      <c r="C90" s="13" t="s">
        <v>92</v>
      </c>
      <c r="D90" s="3">
        <v>53051</v>
      </c>
      <c r="E90" s="3">
        <v>586</v>
      </c>
      <c r="F90" s="4" t="s">
        <v>6</v>
      </c>
    </row>
    <row r="91" spans="1:6" x14ac:dyDescent="0.35">
      <c r="A91" s="6" t="s">
        <v>272</v>
      </c>
      <c r="B91" s="6" t="s">
        <v>273</v>
      </c>
      <c r="C91" s="13" t="s">
        <v>93</v>
      </c>
      <c r="D91" s="3">
        <v>56489</v>
      </c>
      <c r="E91" s="3">
        <v>625</v>
      </c>
      <c r="F91" s="4" t="s">
        <v>6</v>
      </c>
    </row>
    <row r="92" spans="1:6" x14ac:dyDescent="0.35">
      <c r="A92" s="6" t="s">
        <v>272</v>
      </c>
      <c r="B92" s="6" t="s">
        <v>273</v>
      </c>
      <c r="C92" s="13" t="s">
        <v>94</v>
      </c>
      <c r="D92" s="3">
        <v>58157</v>
      </c>
      <c r="E92" s="3">
        <v>690</v>
      </c>
      <c r="F92" s="4" t="s">
        <v>6</v>
      </c>
    </row>
    <row r="93" spans="1:6" x14ac:dyDescent="0.35">
      <c r="A93" s="6" t="s">
        <v>272</v>
      </c>
      <c r="B93" s="6" t="s">
        <v>273</v>
      </c>
      <c r="C93" s="13" t="s">
        <v>95</v>
      </c>
      <c r="D93" s="3">
        <v>59655</v>
      </c>
      <c r="E93" s="3">
        <v>747</v>
      </c>
      <c r="F93" s="4" t="s">
        <v>6</v>
      </c>
    </row>
    <row r="94" spans="1:6" x14ac:dyDescent="0.35">
      <c r="A94" s="6" t="s">
        <v>272</v>
      </c>
      <c r="B94" s="6" t="s">
        <v>273</v>
      </c>
      <c r="C94" s="13" t="s">
        <v>96</v>
      </c>
      <c r="D94" s="3">
        <v>59510</v>
      </c>
      <c r="E94" s="3">
        <v>748</v>
      </c>
      <c r="F94" s="4" t="s">
        <v>6</v>
      </c>
    </row>
    <row r="95" spans="1:6" x14ac:dyDescent="0.35">
      <c r="A95" s="6" t="s">
        <v>272</v>
      </c>
      <c r="B95" s="6" t="s">
        <v>273</v>
      </c>
      <c r="C95" s="13" t="s">
        <v>97</v>
      </c>
      <c r="D95" s="3">
        <v>58734</v>
      </c>
      <c r="E95" s="3">
        <v>790</v>
      </c>
      <c r="F95" s="4" t="s">
        <v>6</v>
      </c>
    </row>
    <row r="96" spans="1:6" x14ac:dyDescent="0.35">
      <c r="A96" s="6" t="s">
        <v>272</v>
      </c>
      <c r="B96" s="6" t="s">
        <v>273</v>
      </c>
      <c r="C96" s="13" t="s">
        <v>98</v>
      </c>
      <c r="D96" s="3">
        <v>58246</v>
      </c>
      <c r="E96" s="3">
        <v>808</v>
      </c>
      <c r="F96" s="4" t="s">
        <v>6</v>
      </c>
    </row>
    <row r="97" spans="1:6" x14ac:dyDescent="0.35">
      <c r="A97" s="6" t="s">
        <v>272</v>
      </c>
      <c r="B97" s="6" t="s">
        <v>273</v>
      </c>
      <c r="C97" s="13" t="s">
        <v>99</v>
      </c>
      <c r="D97" s="3">
        <v>58575</v>
      </c>
      <c r="E97" s="3">
        <v>847</v>
      </c>
      <c r="F97" s="4" t="s">
        <v>6</v>
      </c>
    </row>
    <row r="98" spans="1:6" x14ac:dyDescent="0.35">
      <c r="A98" s="6" t="s">
        <v>272</v>
      </c>
      <c r="B98" s="6" t="s">
        <v>273</v>
      </c>
      <c r="C98" s="13" t="s">
        <v>100</v>
      </c>
      <c r="D98" s="3">
        <v>58659</v>
      </c>
      <c r="E98" s="3">
        <v>910</v>
      </c>
      <c r="F98" s="4" t="s">
        <v>6</v>
      </c>
    </row>
    <row r="99" spans="1:6" x14ac:dyDescent="0.35">
      <c r="A99" s="6" t="s">
        <v>272</v>
      </c>
      <c r="B99" s="6" t="s">
        <v>273</v>
      </c>
      <c r="C99" s="13" t="s">
        <v>101</v>
      </c>
      <c r="D99" s="3">
        <v>59350</v>
      </c>
      <c r="E99" s="3">
        <v>886</v>
      </c>
      <c r="F99" s="4" t="s">
        <v>6</v>
      </c>
    </row>
    <row r="100" spans="1:6" x14ac:dyDescent="0.35">
      <c r="A100" s="6" t="s">
        <v>272</v>
      </c>
      <c r="B100" s="6" t="s">
        <v>273</v>
      </c>
      <c r="C100" s="13" t="s">
        <v>102</v>
      </c>
      <c r="D100" s="3">
        <v>58081</v>
      </c>
      <c r="E100" s="3">
        <v>931</v>
      </c>
      <c r="F100" s="4" t="s">
        <v>6</v>
      </c>
    </row>
    <row r="101" spans="1:6" x14ac:dyDescent="0.35">
      <c r="A101" s="6" t="s">
        <v>272</v>
      </c>
      <c r="B101" s="6" t="s">
        <v>273</v>
      </c>
      <c r="C101" s="13" t="s">
        <v>103</v>
      </c>
      <c r="D101" s="3">
        <v>56716</v>
      </c>
      <c r="E101" s="3">
        <v>903</v>
      </c>
      <c r="F101" s="4" t="s">
        <v>6</v>
      </c>
    </row>
    <row r="102" spans="1:6" x14ac:dyDescent="0.35">
      <c r="A102" s="6" t="s">
        <v>272</v>
      </c>
      <c r="B102" s="6" t="s">
        <v>273</v>
      </c>
      <c r="C102" s="13" t="s">
        <v>104</v>
      </c>
      <c r="D102" s="3">
        <v>57410</v>
      </c>
      <c r="E102" s="3">
        <v>1031</v>
      </c>
      <c r="F102" s="4" t="s">
        <v>6</v>
      </c>
    </row>
    <row r="103" spans="1:6" x14ac:dyDescent="0.35">
      <c r="A103" s="6" t="s">
        <v>272</v>
      </c>
      <c r="B103" s="6" t="s">
        <v>273</v>
      </c>
      <c r="C103" s="13" t="s">
        <v>105</v>
      </c>
      <c r="D103" s="3">
        <v>57344</v>
      </c>
      <c r="E103" s="3">
        <v>1033</v>
      </c>
      <c r="F103" s="4" t="s">
        <v>6</v>
      </c>
    </row>
    <row r="104" spans="1:6" x14ac:dyDescent="0.35">
      <c r="A104" s="6" t="s">
        <v>272</v>
      </c>
      <c r="B104" s="6" t="s">
        <v>273</v>
      </c>
      <c r="C104" s="13" t="s">
        <v>106</v>
      </c>
      <c r="D104" s="3">
        <v>54847</v>
      </c>
      <c r="E104" s="3">
        <v>1016</v>
      </c>
      <c r="F104" s="4" t="s">
        <v>6</v>
      </c>
    </row>
    <row r="105" spans="1:6" x14ac:dyDescent="0.35">
      <c r="A105" s="6" t="s">
        <v>272</v>
      </c>
      <c r="B105" s="6" t="s">
        <v>273</v>
      </c>
      <c r="C105" s="13" t="s">
        <v>107</v>
      </c>
      <c r="D105" s="3">
        <v>53498</v>
      </c>
      <c r="E105" s="3">
        <v>1044</v>
      </c>
      <c r="F105" s="4" t="s">
        <v>6</v>
      </c>
    </row>
    <row r="106" spans="1:6" x14ac:dyDescent="0.35">
      <c r="A106" s="6" t="s">
        <v>272</v>
      </c>
      <c r="B106" s="6" t="s">
        <v>273</v>
      </c>
      <c r="C106" s="13" t="s">
        <v>108</v>
      </c>
      <c r="D106" s="3">
        <v>54521</v>
      </c>
      <c r="E106" s="3">
        <v>1048</v>
      </c>
      <c r="F106" s="4" t="s">
        <v>6</v>
      </c>
    </row>
    <row r="107" spans="1:6" x14ac:dyDescent="0.35">
      <c r="A107" s="6" t="s">
        <v>272</v>
      </c>
      <c r="B107" s="6" t="s">
        <v>273</v>
      </c>
      <c r="C107" s="13" t="s">
        <v>109</v>
      </c>
      <c r="D107" s="3">
        <v>55030</v>
      </c>
      <c r="E107" s="3">
        <v>1042</v>
      </c>
      <c r="F107" s="4" t="s">
        <v>6</v>
      </c>
    </row>
    <row r="108" spans="1:6" x14ac:dyDescent="0.35">
      <c r="A108" s="6" t="s">
        <v>272</v>
      </c>
      <c r="B108" s="6" t="s">
        <v>273</v>
      </c>
      <c r="C108" s="13" t="s">
        <v>110</v>
      </c>
      <c r="D108" s="3">
        <v>54833</v>
      </c>
      <c r="E108" s="3">
        <v>1022</v>
      </c>
      <c r="F108" s="4" t="s">
        <v>6</v>
      </c>
    </row>
    <row r="109" spans="1:6" x14ac:dyDescent="0.35">
      <c r="A109" s="6" t="s">
        <v>272</v>
      </c>
      <c r="B109" s="6" t="s">
        <v>273</v>
      </c>
      <c r="C109" s="13" t="s">
        <v>111</v>
      </c>
      <c r="D109" s="3">
        <v>56690</v>
      </c>
      <c r="E109" s="3">
        <v>1013</v>
      </c>
      <c r="F109" s="4" t="s">
        <v>6</v>
      </c>
    </row>
    <row r="110" spans="1:6" x14ac:dyDescent="0.35">
      <c r="A110" s="6" t="s">
        <v>272</v>
      </c>
      <c r="B110" s="6" t="s">
        <v>273</v>
      </c>
      <c r="C110" s="13" t="s">
        <v>112</v>
      </c>
      <c r="D110" s="3">
        <v>56621</v>
      </c>
      <c r="E110" s="3">
        <v>1023</v>
      </c>
      <c r="F110" s="4" t="s">
        <v>6</v>
      </c>
    </row>
    <row r="111" spans="1:6" x14ac:dyDescent="0.35">
      <c r="A111" s="6" t="s">
        <v>272</v>
      </c>
      <c r="B111" s="6" t="s">
        <v>273</v>
      </c>
      <c r="C111" s="13" t="s">
        <v>113</v>
      </c>
      <c r="D111" s="3">
        <v>58608</v>
      </c>
      <c r="E111" s="3">
        <v>1032</v>
      </c>
      <c r="F111" s="4" t="s">
        <v>6</v>
      </c>
    </row>
    <row r="112" spans="1:6" x14ac:dyDescent="0.35">
      <c r="A112" s="6" t="s">
        <v>272</v>
      </c>
      <c r="B112" s="6" t="s">
        <v>273</v>
      </c>
      <c r="C112" s="13" t="s">
        <v>114</v>
      </c>
      <c r="D112" s="3">
        <v>59857</v>
      </c>
      <c r="E112" s="3">
        <v>1057</v>
      </c>
      <c r="F112" s="4" t="s">
        <v>6</v>
      </c>
    </row>
    <row r="113" spans="1:6" x14ac:dyDescent="0.35">
      <c r="A113" s="6" t="s">
        <v>272</v>
      </c>
      <c r="B113" s="6" t="s">
        <v>273</v>
      </c>
      <c r="C113" s="13" t="s">
        <v>115</v>
      </c>
      <c r="D113" s="3">
        <v>59606</v>
      </c>
      <c r="E113" s="3">
        <v>980</v>
      </c>
      <c r="F113" s="4" t="s">
        <v>6</v>
      </c>
    </row>
    <row r="114" spans="1:6" x14ac:dyDescent="0.35">
      <c r="A114" s="6" t="s">
        <v>272</v>
      </c>
      <c r="B114" s="6" t="s">
        <v>273</v>
      </c>
      <c r="C114" s="13" t="s">
        <v>116</v>
      </c>
      <c r="D114" s="3">
        <v>58430</v>
      </c>
      <c r="E114" s="3">
        <v>973</v>
      </c>
      <c r="F114" s="4" t="s">
        <v>6</v>
      </c>
    </row>
    <row r="115" spans="1:6" x14ac:dyDescent="0.35">
      <c r="A115" s="6" t="s">
        <v>272</v>
      </c>
      <c r="B115" s="6" t="s">
        <v>273</v>
      </c>
      <c r="C115" s="13" t="s">
        <v>117</v>
      </c>
      <c r="D115" s="3">
        <v>58385</v>
      </c>
      <c r="E115" s="3">
        <v>1000</v>
      </c>
      <c r="F115" s="4" t="s">
        <v>6</v>
      </c>
    </row>
    <row r="116" spans="1:6" x14ac:dyDescent="0.35">
      <c r="A116" s="6" t="s">
        <v>272</v>
      </c>
      <c r="B116" s="6" t="s">
        <v>273</v>
      </c>
      <c r="C116" s="13" t="s">
        <v>118</v>
      </c>
      <c r="D116" s="3">
        <v>57203</v>
      </c>
      <c r="E116" s="3">
        <v>954</v>
      </c>
      <c r="F116" s="4" t="s">
        <v>6</v>
      </c>
    </row>
    <row r="117" spans="1:6" x14ac:dyDescent="0.35">
      <c r="A117" s="6" t="s">
        <v>272</v>
      </c>
      <c r="B117" s="6" t="s">
        <v>273</v>
      </c>
      <c r="C117" s="13" t="s">
        <v>119</v>
      </c>
      <c r="D117" s="3">
        <v>57411</v>
      </c>
      <c r="E117" s="3">
        <v>919</v>
      </c>
      <c r="F117" s="4" t="s">
        <v>6</v>
      </c>
    </row>
    <row r="118" spans="1:6" x14ac:dyDescent="0.35">
      <c r="A118" s="6" t="s">
        <v>272</v>
      </c>
      <c r="B118" s="6" t="s">
        <v>273</v>
      </c>
      <c r="C118" s="13" t="s">
        <v>120</v>
      </c>
      <c r="D118" s="3">
        <v>57272</v>
      </c>
      <c r="E118" s="3">
        <v>956</v>
      </c>
      <c r="F118" s="4" t="s">
        <v>6</v>
      </c>
    </row>
    <row r="119" spans="1:6" x14ac:dyDescent="0.35">
      <c r="A119" s="6" t="s">
        <v>272</v>
      </c>
      <c r="B119" s="6" t="s">
        <v>273</v>
      </c>
      <c r="C119" s="13" t="s">
        <v>121</v>
      </c>
      <c r="D119" s="3">
        <v>57225</v>
      </c>
      <c r="E119" s="3">
        <v>918</v>
      </c>
      <c r="F119" s="4" t="s">
        <v>6</v>
      </c>
    </row>
    <row r="120" spans="1:6" x14ac:dyDescent="0.35">
      <c r="A120" s="6" t="s">
        <v>272</v>
      </c>
      <c r="B120" s="6" t="s">
        <v>273</v>
      </c>
      <c r="C120" s="13" t="s">
        <v>122</v>
      </c>
      <c r="D120" s="3">
        <v>54977</v>
      </c>
      <c r="E120" s="3">
        <v>878</v>
      </c>
      <c r="F120" s="4" t="s">
        <v>6</v>
      </c>
    </row>
    <row r="121" spans="1:6" x14ac:dyDescent="0.35">
      <c r="A121" s="6" t="s">
        <v>272</v>
      </c>
      <c r="B121" s="6" t="s">
        <v>273</v>
      </c>
      <c r="C121" s="13" t="s">
        <v>123</v>
      </c>
      <c r="D121" s="3">
        <v>53612</v>
      </c>
      <c r="E121" s="3">
        <v>804</v>
      </c>
      <c r="F121" s="4" t="s">
        <v>6</v>
      </c>
    </row>
    <row r="122" spans="1:6" x14ac:dyDescent="0.35">
      <c r="A122" s="6" t="s">
        <v>272</v>
      </c>
      <c r="B122" s="6" t="s">
        <v>273</v>
      </c>
      <c r="C122" s="13" t="s">
        <v>124</v>
      </c>
      <c r="D122" s="3">
        <v>52969</v>
      </c>
      <c r="E122" s="3">
        <v>808</v>
      </c>
      <c r="F122" s="4" t="s">
        <v>6</v>
      </c>
    </row>
    <row r="123" spans="1:6" x14ac:dyDescent="0.35">
      <c r="A123" s="6" t="s">
        <v>272</v>
      </c>
      <c r="B123" s="6" t="s">
        <v>273</v>
      </c>
      <c r="C123" s="13" t="s">
        <v>267</v>
      </c>
      <c r="D123" s="3">
        <v>51692</v>
      </c>
      <c r="E123" s="3">
        <v>696</v>
      </c>
      <c r="F123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9E53-055B-4D4A-9ACD-E6008FDA0723}">
  <dimension ref="A1:F178"/>
  <sheetViews>
    <sheetView zoomScale="55" zoomScaleNormal="55" workbookViewId="0">
      <selection sqref="A1:F178"/>
    </sheetView>
  </sheetViews>
  <sheetFormatPr defaultRowHeight="14.5" x14ac:dyDescent="0.35"/>
  <cols>
    <col min="1" max="1" width="11.08984375" style="6" customWidth="1"/>
    <col min="2" max="2" width="11" style="6" customWidth="1"/>
    <col min="3" max="3" width="7.7265625" style="6" customWidth="1"/>
    <col min="4" max="4" width="14.08984375" style="6" customWidth="1"/>
    <col min="5" max="5" width="19.1796875" style="6" customWidth="1"/>
    <col min="6" max="6" width="17.7265625" style="6" customWidth="1"/>
  </cols>
  <sheetData>
    <row r="1" spans="1:6" ht="26.5" x14ac:dyDescent="0.35">
      <c r="A1" s="20" t="s">
        <v>0</v>
      </c>
      <c r="B1" s="20" t="s">
        <v>1</v>
      </c>
      <c r="C1" s="20" t="s">
        <v>2</v>
      </c>
      <c r="D1" s="20" t="s">
        <v>9</v>
      </c>
      <c r="E1" s="20" t="s">
        <v>7</v>
      </c>
      <c r="F1" s="20" t="s">
        <v>8</v>
      </c>
    </row>
    <row r="2" spans="1:6" x14ac:dyDescent="0.35">
      <c r="A2" s="6" t="s">
        <v>274</v>
      </c>
      <c r="B2" s="6" t="s">
        <v>275</v>
      </c>
      <c r="C2" s="6">
        <v>1888</v>
      </c>
      <c r="D2" s="6" t="s">
        <v>6</v>
      </c>
      <c r="E2" s="6" t="s">
        <v>6</v>
      </c>
      <c r="F2" s="6" t="s">
        <v>6</v>
      </c>
    </row>
    <row r="3" spans="1:6" x14ac:dyDescent="0.35">
      <c r="A3" s="6" t="s">
        <v>274</v>
      </c>
      <c r="B3" s="6" t="s">
        <v>275</v>
      </c>
      <c r="C3" s="6">
        <v>1889</v>
      </c>
      <c r="D3" s="6" t="s">
        <v>6</v>
      </c>
      <c r="E3" s="6" t="s">
        <v>6</v>
      </c>
      <c r="F3" s="6" t="s">
        <v>6</v>
      </c>
    </row>
    <row r="4" spans="1:6" x14ac:dyDescent="0.35">
      <c r="A4" s="6" t="s">
        <v>274</v>
      </c>
      <c r="B4" s="6" t="s">
        <v>275</v>
      </c>
      <c r="C4" s="6">
        <v>1890</v>
      </c>
      <c r="D4" s="6" t="s">
        <v>6</v>
      </c>
      <c r="E4" s="6" t="s">
        <v>6</v>
      </c>
      <c r="F4" s="6" t="s">
        <v>6</v>
      </c>
    </row>
    <row r="5" spans="1:6" x14ac:dyDescent="0.35">
      <c r="A5" s="6" t="s">
        <v>274</v>
      </c>
      <c r="B5" s="6" t="s">
        <v>275</v>
      </c>
      <c r="C5" s="6">
        <v>1891</v>
      </c>
      <c r="D5" s="6" t="s">
        <v>6</v>
      </c>
      <c r="E5" s="6" t="s">
        <v>6</v>
      </c>
      <c r="F5" s="6" t="s">
        <v>6</v>
      </c>
    </row>
    <row r="6" spans="1:6" x14ac:dyDescent="0.35">
      <c r="A6" s="6" t="s">
        <v>274</v>
      </c>
      <c r="B6" s="6" t="s">
        <v>275</v>
      </c>
      <c r="C6" s="6">
        <v>1892</v>
      </c>
      <c r="D6" s="6" t="s">
        <v>6</v>
      </c>
      <c r="E6" s="6">
        <v>172</v>
      </c>
      <c r="F6" s="6">
        <v>344</v>
      </c>
    </row>
    <row r="7" spans="1:6" x14ac:dyDescent="0.35">
      <c r="A7" s="6" t="s">
        <v>274</v>
      </c>
      <c r="B7" s="6" t="s">
        <v>275</v>
      </c>
      <c r="C7" s="6">
        <v>1893</v>
      </c>
      <c r="D7" s="6" t="s">
        <v>6</v>
      </c>
      <c r="E7" s="6">
        <v>188</v>
      </c>
      <c r="F7" s="6">
        <v>376</v>
      </c>
    </row>
    <row r="8" spans="1:6" x14ac:dyDescent="0.35">
      <c r="A8" s="6" t="s">
        <v>274</v>
      </c>
      <c r="B8" s="6" t="s">
        <v>275</v>
      </c>
      <c r="C8" s="6">
        <v>1894</v>
      </c>
      <c r="D8" s="6" t="s">
        <v>6</v>
      </c>
      <c r="E8" s="6">
        <v>176</v>
      </c>
      <c r="F8" s="6">
        <v>352</v>
      </c>
    </row>
    <row r="9" spans="1:6" x14ac:dyDescent="0.35">
      <c r="A9" s="6" t="s">
        <v>274</v>
      </c>
      <c r="B9" s="6" t="s">
        <v>275</v>
      </c>
      <c r="C9" s="6">
        <v>1895</v>
      </c>
      <c r="D9" s="6" t="s">
        <v>6</v>
      </c>
      <c r="E9" s="6">
        <v>198</v>
      </c>
      <c r="F9" s="6">
        <v>396</v>
      </c>
    </row>
    <row r="10" spans="1:6" x14ac:dyDescent="0.35">
      <c r="A10" s="6" t="s">
        <v>274</v>
      </c>
      <c r="B10" s="6" t="s">
        <v>275</v>
      </c>
      <c r="C10" s="6">
        <v>1896</v>
      </c>
      <c r="D10" s="6" t="s">
        <v>6</v>
      </c>
      <c r="E10" s="6">
        <v>182</v>
      </c>
      <c r="F10" s="6">
        <v>364</v>
      </c>
    </row>
    <row r="11" spans="1:6" x14ac:dyDescent="0.35">
      <c r="A11" s="6" t="s">
        <v>274</v>
      </c>
      <c r="B11" s="6" t="s">
        <v>275</v>
      </c>
      <c r="C11" s="6">
        <v>1897</v>
      </c>
      <c r="D11" s="6" t="s">
        <v>6</v>
      </c>
      <c r="E11" s="6">
        <v>180</v>
      </c>
      <c r="F11" s="6">
        <v>360</v>
      </c>
    </row>
    <row r="12" spans="1:6" x14ac:dyDescent="0.35">
      <c r="A12" s="6" t="s">
        <v>274</v>
      </c>
      <c r="B12" s="6" t="s">
        <v>275</v>
      </c>
      <c r="C12" s="6">
        <v>1898</v>
      </c>
      <c r="D12" s="6" t="s">
        <v>6</v>
      </c>
      <c r="E12" s="6">
        <v>194</v>
      </c>
      <c r="F12" s="6">
        <v>388</v>
      </c>
    </row>
    <row r="13" spans="1:6" x14ac:dyDescent="0.35">
      <c r="A13" s="6" t="s">
        <v>274</v>
      </c>
      <c r="B13" s="6" t="s">
        <v>275</v>
      </c>
      <c r="C13" s="6">
        <v>1899</v>
      </c>
      <c r="D13" s="6" t="s">
        <v>6</v>
      </c>
      <c r="E13" s="6">
        <v>176</v>
      </c>
      <c r="F13" s="6">
        <v>352</v>
      </c>
    </row>
    <row r="14" spans="1:6" x14ac:dyDescent="0.35">
      <c r="A14" s="6" t="s">
        <v>274</v>
      </c>
      <c r="B14" s="6" t="s">
        <v>275</v>
      </c>
      <c r="C14" s="6">
        <v>1900</v>
      </c>
      <c r="D14" s="6" t="s">
        <v>6</v>
      </c>
      <c r="E14" s="6">
        <v>190</v>
      </c>
      <c r="F14" s="6">
        <v>380</v>
      </c>
    </row>
    <row r="15" spans="1:6" x14ac:dyDescent="0.35">
      <c r="A15" s="6" t="s">
        <v>274</v>
      </c>
      <c r="B15" s="6" t="s">
        <v>275</v>
      </c>
      <c r="C15" s="6">
        <v>1901</v>
      </c>
      <c r="D15" s="6" t="s">
        <v>6</v>
      </c>
      <c r="E15" s="6">
        <v>190</v>
      </c>
      <c r="F15" s="6">
        <v>380</v>
      </c>
    </row>
    <row r="16" spans="1:6" x14ac:dyDescent="0.35">
      <c r="A16" s="6" t="s">
        <v>274</v>
      </c>
      <c r="B16" s="6" t="s">
        <v>275</v>
      </c>
      <c r="C16" s="6">
        <v>1902</v>
      </c>
      <c r="D16" s="6" t="s">
        <v>6</v>
      </c>
      <c r="E16" s="6">
        <v>220</v>
      </c>
      <c r="F16" s="6">
        <v>440</v>
      </c>
    </row>
    <row r="17" spans="1:6" x14ac:dyDescent="0.35">
      <c r="A17" s="6" t="s">
        <v>274</v>
      </c>
      <c r="B17" s="6" t="s">
        <v>275</v>
      </c>
      <c r="C17" s="6">
        <v>1903</v>
      </c>
      <c r="D17" s="6" t="s">
        <v>6</v>
      </c>
      <c r="E17" s="6">
        <v>222</v>
      </c>
      <c r="F17" s="6">
        <v>444</v>
      </c>
    </row>
    <row r="18" spans="1:6" x14ac:dyDescent="0.35">
      <c r="A18" s="6" t="s">
        <v>274</v>
      </c>
      <c r="B18" s="6" t="s">
        <v>275</v>
      </c>
      <c r="C18" s="6">
        <v>1904</v>
      </c>
      <c r="D18" s="6" t="s">
        <v>6</v>
      </c>
      <c r="E18" s="6">
        <v>241</v>
      </c>
      <c r="F18" s="6">
        <v>482</v>
      </c>
    </row>
    <row r="19" spans="1:6" x14ac:dyDescent="0.35">
      <c r="A19" s="6" t="s">
        <v>274</v>
      </c>
      <c r="B19" s="6" t="s">
        <v>275</v>
      </c>
      <c r="C19" s="6">
        <v>1905</v>
      </c>
      <c r="D19" s="6" t="s">
        <v>6</v>
      </c>
      <c r="E19" s="6">
        <v>242</v>
      </c>
      <c r="F19" s="6">
        <v>484</v>
      </c>
    </row>
    <row r="20" spans="1:6" x14ac:dyDescent="0.35">
      <c r="A20" s="6" t="s">
        <v>274</v>
      </c>
      <c r="B20" s="6" t="s">
        <v>275</v>
      </c>
      <c r="C20" s="6">
        <v>1906</v>
      </c>
      <c r="D20" s="6" t="s">
        <v>6</v>
      </c>
      <c r="E20" s="6">
        <v>211</v>
      </c>
      <c r="F20" s="6">
        <v>422</v>
      </c>
    </row>
    <row r="21" spans="1:6" x14ac:dyDescent="0.35">
      <c r="A21" s="6" t="s">
        <v>274</v>
      </c>
      <c r="B21" s="6" t="s">
        <v>275</v>
      </c>
      <c r="C21" s="6">
        <v>1907</v>
      </c>
      <c r="D21" s="6" t="s">
        <v>6</v>
      </c>
      <c r="E21" s="6">
        <v>244</v>
      </c>
      <c r="F21" s="6">
        <v>488</v>
      </c>
    </row>
    <row r="22" spans="1:6" x14ac:dyDescent="0.35">
      <c r="A22" s="6" t="s">
        <v>274</v>
      </c>
      <c r="B22" s="6" t="s">
        <v>275</v>
      </c>
      <c r="C22" s="6">
        <v>1908</v>
      </c>
      <c r="D22" s="6" t="s">
        <v>6</v>
      </c>
      <c r="E22" s="6">
        <v>284</v>
      </c>
      <c r="F22" s="6">
        <v>568</v>
      </c>
    </row>
    <row r="23" spans="1:6" x14ac:dyDescent="0.35">
      <c r="A23" s="6" t="s">
        <v>274</v>
      </c>
      <c r="B23" s="6" t="s">
        <v>275</v>
      </c>
      <c r="C23" s="6">
        <v>1909</v>
      </c>
      <c r="D23" s="6" t="s">
        <v>6</v>
      </c>
      <c r="E23" s="6">
        <v>265</v>
      </c>
      <c r="F23" s="6">
        <v>530</v>
      </c>
    </row>
    <row r="24" spans="1:6" x14ac:dyDescent="0.35">
      <c r="A24" s="6" t="s">
        <v>274</v>
      </c>
      <c r="B24" s="6" t="s">
        <v>275</v>
      </c>
      <c r="C24" s="6">
        <v>1910</v>
      </c>
      <c r="D24" s="6" t="s">
        <v>6</v>
      </c>
      <c r="E24" s="6">
        <v>288</v>
      </c>
      <c r="F24" s="6">
        <v>576</v>
      </c>
    </row>
    <row r="25" spans="1:6" x14ac:dyDescent="0.35">
      <c r="A25" s="6" t="s">
        <v>274</v>
      </c>
      <c r="B25" s="6" t="s">
        <v>275</v>
      </c>
      <c r="C25" s="6">
        <v>1911</v>
      </c>
      <c r="D25" s="6" t="s">
        <v>6</v>
      </c>
      <c r="E25" s="6">
        <v>300</v>
      </c>
      <c r="F25" s="6">
        <v>600</v>
      </c>
    </row>
    <row r="26" spans="1:6" x14ac:dyDescent="0.35">
      <c r="A26" s="6" t="s">
        <v>274</v>
      </c>
      <c r="B26" s="6" t="s">
        <v>275</v>
      </c>
      <c r="C26" s="6">
        <v>1912</v>
      </c>
      <c r="D26" s="6" t="s">
        <v>6</v>
      </c>
      <c r="E26" s="6">
        <v>329</v>
      </c>
      <c r="F26" s="6">
        <v>658</v>
      </c>
    </row>
    <row r="27" spans="1:6" x14ac:dyDescent="0.35">
      <c r="A27" s="6" t="s">
        <v>274</v>
      </c>
      <c r="B27" s="6" t="s">
        <v>275</v>
      </c>
      <c r="C27" s="6">
        <v>1913</v>
      </c>
      <c r="D27" s="6" t="s">
        <v>6</v>
      </c>
      <c r="E27" s="6">
        <v>314</v>
      </c>
      <c r="F27" s="6">
        <v>628</v>
      </c>
    </row>
    <row r="28" spans="1:6" x14ac:dyDescent="0.35">
      <c r="A28" s="6" t="s">
        <v>274</v>
      </c>
      <c r="B28" s="6" t="s">
        <v>275</v>
      </c>
      <c r="C28" s="6">
        <v>1914</v>
      </c>
      <c r="D28" s="6" t="s">
        <v>6</v>
      </c>
      <c r="E28" s="6">
        <v>350</v>
      </c>
      <c r="F28" s="6">
        <v>700</v>
      </c>
    </row>
    <row r="29" spans="1:6" x14ac:dyDescent="0.35">
      <c r="A29" s="6" t="s">
        <v>274</v>
      </c>
      <c r="B29" s="6" t="s">
        <v>275</v>
      </c>
      <c r="C29" s="6">
        <v>1915</v>
      </c>
      <c r="D29" s="6" t="s">
        <v>6</v>
      </c>
      <c r="E29" s="6">
        <v>302</v>
      </c>
      <c r="F29" s="6">
        <v>604</v>
      </c>
    </row>
    <row r="30" spans="1:6" x14ac:dyDescent="0.35">
      <c r="A30" s="6" t="s">
        <v>274</v>
      </c>
      <c r="B30" s="6" t="s">
        <v>275</v>
      </c>
      <c r="C30" s="6">
        <v>1916</v>
      </c>
      <c r="D30" s="6" t="s">
        <v>6</v>
      </c>
      <c r="E30" s="6">
        <v>323</v>
      </c>
      <c r="F30" s="6">
        <v>646</v>
      </c>
    </row>
    <row r="31" spans="1:6" x14ac:dyDescent="0.35">
      <c r="A31" s="6" t="s">
        <v>274</v>
      </c>
      <c r="B31" s="6" t="s">
        <v>275</v>
      </c>
      <c r="C31" s="6">
        <v>1917</v>
      </c>
      <c r="D31" s="6" t="s">
        <v>6</v>
      </c>
      <c r="E31" s="6">
        <v>312</v>
      </c>
      <c r="F31" s="6">
        <v>624</v>
      </c>
    </row>
    <row r="32" spans="1:6" x14ac:dyDescent="0.35">
      <c r="A32" s="6" t="s">
        <v>274</v>
      </c>
      <c r="B32" s="6" t="s">
        <v>275</v>
      </c>
      <c r="C32" s="6">
        <v>1918</v>
      </c>
      <c r="D32" s="6" t="s">
        <v>6</v>
      </c>
      <c r="E32" s="6">
        <v>294</v>
      </c>
      <c r="F32" s="6">
        <v>588</v>
      </c>
    </row>
    <row r="33" spans="1:6" x14ac:dyDescent="0.35">
      <c r="A33" s="6" t="s">
        <v>274</v>
      </c>
      <c r="B33" s="6" t="s">
        <v>275</v>
      </c>
      <c r="C33" s="6">
        <v>1919</v>
      </c>
      <c r="D33" s="6" t="s">
        <v>6</v>
      </c>
      <c r="E33" s="6">
        <v>270</v>
      </c>
      <c r="F33" s="6">
        <v>540</v>
      </c>
    </row>
    <row r="34" spans="1:6" x14ac:dyDescent="0.35">
      <c r="A34" s="6" t="s">
        <v>274</v>
      </c>
      <c r="B34" s="6" t="s">
        <v>275</v>
      </c>
      <c r="C34" s="6">
        <v>1920</v>
      </c>
      <c r="D34" s="6" t="s">
        <v>6</v>
      </c>
      <c r="E34" s="6">
        <v>365</v>
      </c>
      <c r="F34" s="6">
        <v>730</v>
      </c>
    </row>
    <row r="35" spans="1:6" x14ac:dyDescent="0.35">
      <c r="A35" s="6" t="s">
        <v>274</v>
      </c>
      <c r="B35" s="6" t="s">
        <v>275</v>
      </c>
      <c r="C35" s="6">
        <v>1921</v>
      </c>
      <c r="D35" s="6" t="s">
        <v>6</v>
      </c>
      <c r="E35" s="6">
        <v>347</v>
      </c>
      <c r="F35" s="6">
        <v>694</v>
      </c>
    </row>
    <row r="36" spans="1:6" x14ac:dyDescent="0.35">
      <c r="A36" s="6" t="s">
        <v>274</v>
      </c>
      <c r="B36" s="6" t="s">
        <v>275</v>
      </c>
      <c r="C36" s="6">
        <v>1922</v>
      </c>
      <c r="D36" s="6" t="s">
        <v>6</v>
      </c>
      <c r="E36" s="6">
        <v>328</v>
      </c>
      <c r="F36" s="6">
        <v>656</v>
      </c>
    </row>
    <row r="37" spans="1:6" x14ac:dyDescent="0.35">
      <c r="A37" s="6" t="s">
        <v>274</v>
      </c>
      <c r="B37" s="6" t="s">
        <v>275</v>
      </c>
      <c r="C37" s="6">
        <v>1923</v>
      </c>
      <c r="D37" s="6" t="s">
        <v>6</v>
      </c>
      <c r="E37" s="6">
        <v>289</v>
      </c>
      <c r="F37" s="6">
        <v>578</v>
      </c>
    </row>
    <row r="38" spans="1:6" x14ac:dyDescent="0.35">
      <c r="A38" s="6" t="s">
        <v>274</v>
      </c>
      <c r="B38" s="6" t="s">
        <v>275</v>
      </c>
      <c r="C38" s="6">
        <v>1924</v>
      </c>
      <c r="D38" s="6" t="s">
        <v>6</v>
      </c>
      <c r="E38" s="6">
        <v>296</v>
      </c>
      <c r="F38" s="6">
        <v>592</v>
      </c>
    </row>
    <row r="39" spans="1:6" x14ac:dyDescent="0.35">
      <c r="A39" s="6" t="s">
        <v>274</v>
      </c>
      <c r="B39" s="6" t="s">
        <v>275</v>
      </c>
      <c r="C39" s="6">
        <v>1925</v>
      </c>
      <c r="D39" s="6" t="s">
        <v>6</v>
      </c>
      <c r="E39" s="6">
        <v>301</v>
      </c>
      <c r="F39" s="6">
        <v>602</v>
      </c>
    </row>
    <row r="40" spans="1:6" x14ac:dyDescent="0.35">
      <c r="A40" s="6" t="s">
        <v>274</v>
      </c>
      <c r="B40" s="6" t="s">
        <v>275</v>
      </c>
      <c r="C40" s="6">
        <v>1926</v>
      </c>
      <c r="D40" s="6" t="s">
        <v>6</v>
      </c>
      <c r="E40" s="6">
        <v>358</v>
      </c>
      <c r="F40" s="6">
        <v>716</v>
      </c>
    </row>
    <row r="41" spans="1:6" x14ac:dyDescent="0.35">
      <c r="A41" s="6" t="s">
        <v>274</v>
      </c>
      <c r="B41" s="6" t="s">
        <v>275</v>
      </c>
      <c r="C41" s="6">
        <v>1927</v>
      </c>
      <c r="D41" s="6" t="s">
        <v>6</v>
      </c>
      <c r="E41" s="6">
        <v>331</v>
      </c>
      <c r="F41" s="6">
        <v>662</v>
      </c>
    </row>
    <row r="42" spans="1:6" x14ac:dyDescent="0.35">
      <c r="A42" s="6" t="s">
        <v>274</v>
      </c>
      <c r="B42" s="6" t="s">
        <v>275</v>
      </c>
      <c r="C42" s="6">
        <v>1928</v>
      </c>
      <c r="D42" s="6" t="s">
        <v>6</v>
      </c>
      <c r="E42" s="6">
        <v>273</v>
      </c>
      <c r="F42" s="6">
        <v>546</v>
      </c>
    </row>
    <row r="43" spans="1:6" x14ac:dyDescent="0.35">
      <c r="A43" s="6" t="s">
        <v>274</v>
      </c>
      <c r="B43" s="6" t="s">
        <v>275</v>
      </c>
      <c r="C43" s="6">
        <v>1928</v>
      </c>
      <c r="D43" s="6" t="s">
        <v>6</v>
      </c>
      <c r="E43" s="6">
        <v>300</v>
      </c>
      <c r="F43" s="6" t="s">
        <v>6</v>
      </c>
    </row>
    <row r="44" spans="1:6" x14ac:dyDescent="0.35">
      <c r="A44" s="6" t="s">
        <v>274</v>
      </c>
      <c r="B44" s="6" t="s">
        <v>275</v>
      </c>
      <c r="C44" s="6">
        <v>1929</v>
      </c>
      <c r="D44" s="6" t="s">
        <v>6</v>
      </c>
      <c r="E44" s="6">
        <v>275</v>
      </c>
      <c r="F44" s="6">
        <v>550</v>
      </c>
    </row>
    <row r="45" spans="1:6" x14ac:dyDescent="0.35">
      <c r="A45" s="6" t="s">
        <v>274</v>
      </c>
      <c r="B45" s="6" t="s">
        <v>275</v>
      </c>
      <c r="C45" s="6">
        <v>1929</v>
      </c>
      <c r="D45" s="6" t="s">
        <v>6</v>
      </c>
      <c r="E45" s="6">
        <v>321</v>
      </c>
      <c r="F45" s="6" t="s">
        <v>6</v>
      </c>
    </row>
    <row r="46" spans="1:6" x14ac:dyDescent="0.35">
      <c r="A46" s="6" t="s">
        <v>274</v>
      </c>
      <c r="B46" s="6" t="s">
        <v>275</v>
      </c>
      <c r="C46" s="6">
        <v>1930</v>
      </c>
      <c r="D46" s="6" t="s">
        <v>6</v>
      </c>
      <c r="E46" s="6">
        <v>304</v>
      </c>
      <c r="F46" s="6">
        <v>610</v>
      </c>
    </row>
    <row r="47" spans="1:6" x14ac:dyDescent="0.35">
      <c r="A47" s="6" t="s">
        <v>274</v>
      </c>
      <c r="B47" s="6" t="s">
        <v>275</v>
      </c>
      <c r="C47" s="6">
        <v>1930</v>
      </c>
      <c r="D47" s="6" t="s">
        <v>6</v>
      </c>
      <c r="E47" s="6">
        <v>340</v>
      </c>
      <c r="F47" s="6" t="s">
        <v>6</v>
      </c>
    </row>
    <row r="48" spans="1:6" x14ac:dyDescent="0.35">
      <c r="A48" s="6" t="s">
        <v>274</v>
      </c>
      <c r="B48" s="6" t="s">
        <v>275</v>
      </c>
      <c r="C48" s="6">
        <v>1931</v>
      </c>
      <c r="D48" s="6" t="s">
        <v>6</v>
      </c>
      <c r="E48" s="6">
        <v>288</v>
      </c>
      <c r="F48" s="6">
        <v>570</v>
      </c>
    </row>
    <row r="49" spans="1:6" x14ac:dyDescent="0.35">
      <c r="A49" s="6" t="s">
        <v>274</v>
      </c>
      <c r="B49" s="6" t="s">
        <v>275</v>
      </c>
      <c r="C49" s="6">
        <v>1931</v>
      </c>
      <c r="D49" s="6" t="s">
        <v>6</v>
      </c>
      <c r="E49" s="6">
        <v>331</v>
      </c>
      <c r="F49" s="6" t="s">
        <v>6</v>
      </c>
    </row>
    <row r="50" spans="1:6" x14ac:dyDescent="0.35">
      <c r="A50" s="6" t="s">
        <v>274</v>
      </c>
      <c r="B50" s="6" t="s">
        <v>275</v>
      </c>
      <c r="C50" s="6">
        <v>1932</v>
      </c>
      <c r="D50" s="6" t="s">
        <v>6</v>
      </c>
      <c r="E50" s="6">
        <v>260</v>
      </c>
      <c r="F50" s="6">
        <v>520</v>
      </c>
    </row>
    <row r="51" spans="1:6" x14ac:dyDescent="0.35">
      <c r="A51" s="6" t="s">
        <v>274</v>
      </c>
      <c r="B51" s="6" t="s">
        <v>275</v>
      </c>
      <c r="C51" s="6">
        <v>1932</v>
      </c>
      <c r="D51" s="6" t="s">
        <v>6</v>
      </c>
      <c r="E51" s="6">
        <v>291</v>
      </c>
      <c r="F51" s="6" t="s">
        <v>6</v>
      </c>
    </row>
    <row r="52" spans="1:6" x14ac:dyDescent="0.35">
      <c r="A52" s="6" t="s">
        <v>274</v>
      </c>
      <c r="B52" s="6" t="s">
        <v>275</v>
      </c>
      <c r="C52" s="6">
        <v>1933</v>
      </c>
      <c r="D52" s="6" t="s">
        <v>6</v>
      </c>
      <c r="E52" s="6">
        <v>250</v>
      </c>
      <c r="F52" s="6">
        <v>502</v>
      </c>
    </row>
    <row r="53" spans="1:6" x14ac:dyDescent="0.35">
      <c r="A53" s="6" t="s">
        <v>274</v>
      </c>
      <c r="B53" s="6" t="s">
        <v>275</v>
      </c>
      <c r="C53" s="6">
        <v>1933</v>
      </c>
      <c r="D53" s="6" t="s">
        <v>6</v>
      </c>
      <c r="E53" s="6">
        <v>290</v>
      </c>
      <c r="F53" s="6" t="s">
        <v>6</v>
      </c>
    </row>
    <row r="54" spans="1:6" x14ac:dyDescent="0.35">
      <c r="A54" s="6" t="s">
        <v>274</v>
      </c>
      <c r="B54" s="6" t="s">
        <v>275</v>
      </c>
      <c r="C54" s="6">
        <v>1934</v>
      </c>
      <c r="D54" s="6" t="s">
        <v>6</v>
      </c>
      <c r="E54" s="6">
        <v>258</v>
      </c>
      <c r="F54" s="6">
        <v>516</v>
      </c>
    </row>
    <row r="55" spans="1:6" x14ac:dyDescent="0.35">
      <c r="A55" s="6" t="s">
        <v>274</v>
      </c>
      <c r="B55" s="6" t="s">
        <v>275</v>
      </c>
      <c r="C55" s="6">
        <v>1934</v>
      </c>
      <c r="D55" s="6" t="s">
        <v>6</v>
      </c>
      <c r="E55" s="6">
        <v>293</v>
      </c>
      <c r="F55" s="6" t="s">
        <v>6</v>
      </c>
    </row>
    <row r="56" spans="1:6" x14ac:dyDescent="0.35">
      <c r="A56" s="6" t="s">
        <v>274</v>
      </c>
      <c r="B56" s="6" t="s">
        <v>275</v>
      </c>
      <c r="C56" s="6">
        <v>1935</v>
      </c>
      <c r="D56" s="6" t="s">
        <v>6</v>
      </c>
      <c r="E56" s="6">
        <v>275</v>
      </c>
      <c r="F56" s="6">
        <v>550</v>
      </c>
    </row>
    <row r="57" spans="1:6" x14ac:dyDescent="0.35">
      <c r="A57" s="6" t="s">
        <v>274</v>
      </c>
      <c r="B57" s="6" t="s">
        <v>275</v>
      </c>
      <c r="C57" s="6">
        <v>1935</v>
      </c>
      <c r="D57" s="6" t="s">
        <v>6</v>
      </c>
      <c r="E57" s="6">
        <v>303</v>
      </c>
      <c r="F57" s="6" t="s">
        <v>6</v>
      </c>
    </row>
    <row r="58" spans="1:6" x14ac:dyDescent="0.35">
      <c r="A58" s="6" t="s">
        <v>274</v>
      </c>
      <c r="B58" s="6" t="s">
        <v>275</v>
      </c>
      <c r="C58" s="6">
        <v>1936</v>
      </c>
      <c r="D58" s="6" t="s">
        <v>6</v>
      </c>
      <c r="E58" s="6">
        <v>225</v>
      </c>
      <c r="F58" s="6">
        <v>450</v>
      </c>
    </row>
    <row r="59" spans="1:6" x14ac:dyDescent="0.35">
      <c r="A59" s="6" t="s">
        <v>274</v>
      </c>
      <c r="B59" s="6" t="s">
        <v>275</v>
      </c>
      <c r="C59" s="6">
        <v>1936</v>
      </c>
      <c r="D59" s="6" t="s">
        <v>6</v>
      </c>
      <c r="E59" s="6">
        <v>267</v>
      </c>
      <c r="F59" s="6" t="s">
        <v>6</v>
      </c>
    </row>
    <row r="60" spans="1:6" x14ac:dyDescent="0.35">
      <c r="A60" s="6" t="s">
        <v>274</v>
      </c>
      <c r="B60" s="6" t="s">
        <v>275</v>
      </c>
      <c r="C60" s="6">
        <v>1937</v>
      </c>
      <c r="D60" s="6" t="s">
        <v>6</v>
      </c>
      <c r="E60" s="6">
        <v>276</v>
      </c>
      <c r="F60" s="6">
        <v>554</v>
      </c>
    </row>
    <row r="61" spans="1:6" x14ac:dyDescent="0.35">
      <c r="A61" s="6" t="s">
        <v>274</v>
      </c>
      <c r="B61" s="6" t="s">
        <v>275</v>
      </c>
      <c r="C61" s="6">
        <v>1937</v>
      </c>
      <c r="D61" s="6" t="s">
        <v>6</v>
      </c>
      <c r="E61" s="6">
        <v>309</v>
      </c>
      <c r="F61" s="6" t="s">
        <v>6</v>
      </c>
    </row>
    <row r="62" spans="1:6" x14ac:dyDescent="0.35">
      <c r="A62" s="6" t="s">
        <v>274</v>
      </c>
      <c r="B62" s="6" t="s">
        <v>275</v>
      </c>
      <c r="C62" s="6">
        <v>1938</v>
      </c>
      <c r="D62" s="6" t="s">
        <v>6</v>
      </c>
      <c r="E62" s="6">
        <v>296</v>
      </c>
      <c r="F62" s="6">
        <v>592</v>
      </c>
    </row>
    <row r="63" spans="1:6" x14ac:dyDescent="0.35">
      <c r="A63" s="6" t="s">
        <v>274</v>
      </c>
      <c r="B63" s="6" t="s">
        <v>275</v>
      </c>
      <c r="C63" s="6">
        <v>1938</v>
      </c>
      <c r="D63" s="6" t="s">
        <v>6</v>
      </c>
      <c r="E63" s="6">
        <v>326</v>
      </c>
      <c r="F63" s="6" t="s">
        <v>6</v>
      </c>
    </row>
    <row r="64" spans="1:6" x14ac:dyDescent="0.35">
      <c r="A64" s="6" t="s">
        <v>274</v>
      </c>
      <c r="B64" s="6" t="s">
        <v>275</v>
      </c>
      <c r="C64" s="6">
        <v>1939</v>
      </c>
      <c r="D64" s="6" t="s">
        <v>6</v>
      </c>
      <c r="E64" s="6">
        <v>299</v>
      </c>
      <c r="F64" s="6">
        <v>598</v>
      </c>
    </row>
    <row r="65" spans="1:6" x14ac:dyDescent="0.35">
      <c r="A65" s="6" t="s">
        <v>274</v>
      </c>
      <c r="B65" s="6" t="s">
        <v>275</v>
      </c>
      <c r="C65" s="6">
        <v>1939</v>
      </c>
      <c r="D65" s="6" t="s">
        <v>6</v>
      </c>
      <c r="E65" s="6">
        <v>330</v>
      </c>
      <c r="F65" s="6" t="s">
        <v>6</v>
      </c>
    </row>
    <row r="66" spans="1:6" x14ac:dyDescent="0.35">
      <c r="A66" s="6" t="s">
        <v>274</v>
      </c>
      <c r="B66" s="6" t="s">
        <v>275</v>
      </c>
      <c r="C66" s="6">
        <v>1940</v>
      </c>
      <c r="D66" s="6" t="s">
        <v>6</v>
      </c>
      <c r="E66" s="6">
        <v>344</v>
      </c>
      <c r="F66" s="6">
        <v>688</v>
      </c>
    </row>
    <row r="67" spans="1:6" x14ac:dyDescent="0.35">
      <c r="A67" s="6" t="s">
        <v>274</v>
      </c>
      <c r="B67" s="6" t="s">
        <v>275</v>
      </c>
      <c r="C67" s="6">
        <v>1940</v>
      </c>
      <c r="D67" s="6" t="s">
        <v>6</v>
      </c>
      <c r="E67" s="6">
        <v>399</v>
      </c>
      <c r="F67" s="6" t="s">
        <v>6</v>
      </c>
    </row>
    <row r="68" spans="1:6" x14ac:dyDescent="0.35">
      <c r="A68" s="6" t="s">
        <v>274</v>
      </c>
      <c r="B68" s="6" t="s">
        <v>275</v>
      </c>
      <c r="C68" s="6">
        <v>1941</v>
      </c>
      <c r="D68" s="6" t="s">
        <v>6</v>
      </c>
      <c r="E68" s="6">
        <v>398</v>
      </c>
      <c r="F68" s="6">
        <v>794</v>
      </c>
    </row>
    <row r="69" spans="1:6" x14ac:dyDescent="0.35">
      <c r="A69" s="6" t="s">
        <v>274</v>
      </c>
      <c r="B69" s="6" t="s">
        <v>275</v>
      </c>
      <c r="C69" s="6">
        <v>1941</v>
      </c>
      <c r="D69" s="6" t="s">
        <v>6</v>
      </c>
      <c r="E69" s="6">
        <v>463</v>
      </c>
      <c r="F69" s="6" t="s">
        <v>6</v>
      </c>
    </row>
    <row r="70" spans="1:6" x14ac:dyDescent="0.35">
      <c r="A70" s="6" t="s">
        <v>274</v>
      </c>
      <c r="B70" s="6" t="s">
        <v>275</v>
      </c>
      <c r="C70" s="6">
        <v>1942</v>
      </c>
      <c r="D70" s="6" t="s">
        <v>6</v>
      </c>
      <c r="E70" s="6">
        <v>400</v>
      </c>
      <c r="F70" s="6">
        <v>800</v>
      </c>
    </row>
    <row r="71" spans="1:6" x14ac:dyDescent="0.35">
      <c r="A71" s="6" t="s">
        <v>274</v>
      </c>
      <c r="B71" s="6" t="s">
        <v>275</v>
      </c>
      <c r="C71" s="6">
        <v>1942</v>
      </c>
      <c r="D71" s="6" t="s">
        <v>6</v>
      </c>
      <c r="E71" s="6">
        <v>437</v>
      </c>
      <c r="F71" s="6" t="s">
        <v>6</v>
      </c>
    </row>
    <row r="72" spans="1:6" x14ac:dyDescent="0.35">
      <c r="A72" s="6" t="s">
        <v>274</v>
      </c>
      <c r="B72" s="6" t="s">
        <v>275</v>
      </c>
      <c r="C72" s="6">
        <v>1943</v>
      </c>
      <c r="D72" s="6" t="s">
        <v>6</v>
      </c>
      <c r="E72" s="6">
        <v>332</v>
      </c>
      <c r="F72" s="6">
        <v>664</v>
      </c>
    </row>
    <row r="73" spans="1:6" x14ac:dyDescent="0.35">
      <c r="A73" s="6" t="s">
        <v>274</v>
      </c>
      <c r="B73" s="6" t="s">
        <v>275</v>
      </c>
      <c r="C73" s="6">
        <v>1943</v>
      </c>
      <c r="D73" s="6" t="s">
        <v>6</v>
      </c>
      <c r="E73" s="6">
        <v>384</v>
      </c>
      <c r="F73" s="6" t="s">
        <v>6</v>
      </c>
    </row>
    <row r="74" spans="1:6" x14ac:dyDescent="0.35">
      <c r="A74" s="6" t="s">
        <v>274</v>
      </c>
      <c r="B74" s="6" t="s">
        <v>275</v>
      </c>
      <c r="C74" s="6">
        <v>1944</v>
      </c>
      <c r="D74" s="6" t="s">
        <v>6</v>
      </c>
      <c r="E74" s="6">
        <v>430</v>
      </c>
      <c r="F74" s="6">
        <v>860</v>
      </c>
    </row>
    <row r="75" spans="1:6" x14ac:dyDescent="0.35">
      <c r="A75" s="6" t="s">
        <v>274</v>
      </c>
      <c r="B75" s="6" t="s">
        <v>275</v>
      </c>
      <c r="C75" s="6">
        <v>1944</v>
      </c>
      <c r="D75" s="6" t="s">
        <v>6</v>
      </c>
      <c r="E75" s="6">
        <v>473</v>
      </c>
      <c r="F75" s="6" t="s">
        <v>6</v>
      </c>
    </row>
    <row r="76" spans="1:6" x14ac:dyDescent="0.35">
      <c r="A76" s="6" t="s">
        <v>274</v>
      </c>
      <c r="B76" s="6" t="s">
        <v>275</v>
      </c>
      <c r="C76" s="6">
        <v>1945</v>
      </c>
      <c r="D76" s="6" t="s">
        <v>6</v>
      </c>
      <c r="E76" s="6">
        <v>463</v>
      </c>
      <c r="F76" s="6" t="s">
        <v>6</v>
      </c>
    </row>
    <row r="77" spans="1:6" x14ac:dyDescent="0.35">
      <c r="A77" s="6" t="s">
        <v>274</v>
      </c>
      <c r="B77" s="6" t="s">
        <v>275</v>
      </c>
      <c r="C77" s="6">
        <v>1945</v>
      </c>
      <c r="D77" s="6" t="s">
        <v>6</v>
      </c>
      <c r="E77" s="6">
        <v>511</v>
      </c>
      <c r="F77" s="6" t="s">
        <v>6</v>
      </c>
    </row>
    <row r="78" spans="1:6" x14ac:dyDescent="0.35">
      <c r="A78" s="6" t="s">
        <v>274</v>
      </c>
      <c r="B78" s="6" t="s">
        <v>275</v>
      </c>
      <c r="C78" s="6">
        <v>1946</v>
      </c>
      <c r="D78" s="6" t="s">
        <v>6</v>
      </c>
      <c r="E78" s="6">
        <v>518</v>
      </c>
      <c r="F78" s="6" t="s">
        <v>6</v>
      </c>
    </row>
    <row r="79" spans="1:6" x14ac:dyDescent="0.35">
      <c r="A79" s="6" t="s">
        <v>274</v>
      </c>
      <c r="B79" s="6" t="s">
        <v>275</v>
      </c>
      <c r="C79" s="6">
        <v>1946</v>
      </c>
      <c r="D79" s="6" t="s">
        <v>6</v>
      </c>
      <c r="E79" s="6">
        <v>574</v>
      </c>
      <c r="F79" s="6" t="s">
        <v>6</v>
      </c>
    </row>
    <row r="80" spans="1:6" x14ac:dyDescent="0.35">
      <c r="A80" s="6" t="s">
        <v>274</v>
      </c>
      <c r="B80" s="6" t="s">
        <v>275</v>
      </c>
      <c r="C80" s="6">
        <v>1947</v>
      </c>
      <c r="D80" s="6" t="s">
        <v>6</v>
      </c>
      <c r="E80" s="6">
        <v>529</v>
      </c>
      <c r="F80" s="6">
        <v>1058</v>
      </c>
    </row>
    <row r="81" spans="1:6" x14ac:dyDescent="0.35">
      <c r="A81" s="6" t="s">
        <v>274</v>
      </c>
      <c r="B81" s="6" t="s">
        <v>275</v>
      </c>
      <c r="C81" s="6">
        <v>1947</v>
      </c>
      <c r="D81" s="6" t="s">
        <v>6</v>
      </c>
      <c r="E81" s="6">
        <v>578</v>
      </c>
      <c r="F81" s="6" t="s">
        <v>6</v>
      </c>
    </row>
    <row r="82" spans="1:6" x14ac:dyDescent="0.35">
      <c r="A82" s="6" t="s">
        <v>274</v>
      </c>
      <c r="B82" s="6" t="s">
        <v>275</v>
      </c>
      <c r="C82" s="6">
        <v>1948</v>
      </c>
      <c r="D82" s="6" t="s">
        <v>6</v>
      </c>
      <c r="E82" s="6">
        <v>522</v>
      </c>
      <c r="F82" s="6" t="s">
        <v>6</v>
      </c>
    </row>
    <row r="83" spans="1:6" x14ac:dyDescent="0.35">
      <c r="A83" s="6" t="s">
        <v>274</v>
      </c>
      <c r="B83" s="6" t="s">
        <v>275</v>
      </c>
      <c r="C83" s="6">
        <v>1948</v>
      </c>
      <c r="D83" s="6" t="s">
        <v>6</v>
      </c>
      <c r="E83" s="6">
        <v>559</v>
      </c>
      <c r="F83" s="6" t="s">
        <v>6</v>
      </c>
    </row>
    <row r="84" spans="1:6" x14ac:dyDescent="0.35">
      <c r="A84" s="6" t="s">
        <v>274</v>
      </c>
      <c r="B84" s="6" t="s">
        <v>275</v>
      </c>
      <c r="C84" s="6">
        <v>1949</v>
      </c>
      <c r="D84" s="6" t="s">
        <v>6</v>
      </c>
      <c r="E84" s="6">
        <v>532</v>
      </c>
      <c r="F84" s="6">
        <v>1064</v>
      </c>
    </row>
    <row r="85" spans="1:6" x14ac:dyDescent="0.35">
      <c r="A85" s="6" t="s">
        <v>274</v>
      </c>
      <c r="B85" s="6" t="s">
        <v>275</v>
      </c>
      <c r="C85" s="6">
        <v>1949</v>
      </c>
      <c r="D85" s="6" t="s">
        <v>6</v>
      </c>
      <c r="E85" s="6">
        <v>584</v>
      </c>
      <c r="F85" s="6" t="s">
        <v>6</v>
      </c>
    </row>
    <row r="86" spans="1:6" x14ac:dyDescent="0.35">
      <c r="A86" s="6" t="s">
        <v>274</v>
      </c>
      <c r="B86" s="6" t="s">
        <v>275</v>
      </c>
      <c r="C86" s="6">
        <v>1950</v>
      </c>
      <c r="D86" s="6" t="s">
        <v>6</v>
      </c>
      <c r="E86" s="6">
        <v>540</v>
      </c>
      <c r="F86" s="6" t="s">
        <v>6</v>
      </c>
    </row>
    <row r="87" spans="1:6" x14ac:dyDescent="0.35">
      <c r="A87" s="6" t="s">
        <v>274</v>
      </c>
      <c r="B87" s="6" t="s">
        <v>275</v>
      </c>
      <c r="C87" s="6">
        <v>1950</v>
      </c>
      <c r="D87" s="6" t="s">
        <v>6</v>
      </c>
      <c r="E87" s="6">
        <v>598</v>
      </c>
      <c r="F87" s="6" t="s">
        <v>6</v>
      </c>
    </row>
    <row r="88" spans="1:6" x14ac:dyDescent="0.35">
      <c r="A88" s="6" t="s">
        <v>274</v>
      </c>
      <c r="B88" s="6" t="s">
        <v>275</v>
      </c>
      <c r="C88" s="6">
        <v>1951</v>
      </c>
      <c r="D88" s="6" t="s">
        <v>6</v>
      </c>
      <c r="E88" s="6">
        <v>509</v>
      </c>
      <c r="F88" s="6" t="s">
        <v>6</v>
      </c>
    </row>
    <row r="89" spans="1:6" x14ac:dyDescent="0.35">
      <c r="A89" s="6" t="s">
        <v>274</v>
      </c>
      <c r="B89" s="6" t="s">
        <v>275</v>
      </c>
      <c r="C89" s="6">
        <v>1951</v>
      </c>
      <c r="D89" s="6" t="s">
        <v>6</v>
      </c>
      <c r="E89" s="6">
        <v>559</v>
      </c>
      <c r="F89" s="6" t="s">
        <v>6</v>
      </c>
    </row>
    <row r="90" spans="1:6" x14ac:dyDescent="0.35">
      <c r="A90" s="6" t="s">
        <v>274</v>
      </c>
      <c r="B90" s="6" t="s">
        <v>275</v>
      </c>
      <c r="C90" s="6">
        <v>1952</v>
      </c>
      <c r="D90" s="6" t="s">
        <v>6</v>
      </c>
      <c r="E90" s="6">
        <v>569</v>
      </c>
      <c r="F90" s="6" t="s">
        <v>6</v>
      </c>
    </row>
    <row r="91" spans="1:6" x14ac:dyDescent="0.35">
      <c r="A91" s="6" t="s">
        <v>274</v>
      </c>
      <c r="B91" s="6" t="s">
        <v>275</v>
      </c>
      <c r="C91" s="6">
        <v>1952</v>
      </c>
      <c r="D91" s="6" t="s">
        <v>6</v>
      </c>
      <c r="E91" s="6">
        <v>624</v>
      </c>
      <c r="F91" s="6" t="s">
        <v>6</v>
      </c>
    </row>
    <row r="92" spans="1:6" x14ac:dyDescent="0.35">
      <c r="A92" s="6" t="s">
        <v>274</v>
      </c>
      <c r="B92" s="6" t="s">
        <v>275</v>
      </c>
      <c r="C92" s="6">
        <v>1953</v>
      </c>
      <c r="D92" s="6" t="s">
        <v>6</v>
      </c>
      <c r="E92" s="6">
        <v>562</v>
      </c>
      <c r="F92" s="6" t="s">
        <v>6</v>
      </c>
    </row>
    <row r="93" spans="1:6" x14ac:dyDescent="0.35">
      <c r="A93" s="6" t="s">
        <v>274</v>
      </c>
      <c r="B93" s="6" t="s">
        <v>275</v>
      </c>
      <c r="C93" s="6">
        <v>1953</v>
      </c>
      <c r="D93" s="6" t="s">
        <v>6</v>
      </c>
      <c r="E93" s="6">
        <v>613</v>
      </c>
      <c r="F93" s="6" t="s">
        <v>6</v>
      </c>
    </row>
    <row r="94" spans="1:6" x14ac:dyDescent="0.35">
      <c r="A94" s="6" t="s">
        <v>274</v>
      </c>
      <c r="B94" s="6" t="s">
        <v>275</v>
      </c>
      <c r="C94" s="6">
        <v>1954</v>
      </c>
      <c r="D94" s="6" t="s">
        <v>6</v>
      </c>
      <c r="E94" s="6">
        <v>600</v>
      </c>
      <c r="F94" s="6" t="s">
        <v>6</v>
      </c>
    </row>
    <row r="95" spans="1:6" x14ac:dyDescent="0.35">
      <c r="A95" s="6" t="s">
        <v>274</v>
      </c>
      <c r="B95" s="6" t="s">
        <v>275</v>
      </c>
      <c r="C95" s="6">
        <v>1954</v>
      </c>
      <c r="D95" s="6" t="s">
        <v>6</v>
      </c>
      <c r="E95" s="6">
        <v>646</v>
      </c>
      <c r="F95" s="6" t="s">
        <v>6</v>
      </c>
    </row>
    <row r="96" spans="1:6" x14ac:dyDescent="0.35">
      <c r="A96" s="6" t="s">
        <v>274</v>
      </c>
      <c r="B96" s="6" t="s">
        <v>275</v>
      </c>
      <c r="C96" s="6">
        <v>1955</v>
      </c>
      <c r="D96" s="6" t="s">
        <v>6</v>
      </c>
      <c r="E96" s="6">
        <v>605</v>
      </c>
      <c r="F96" s="6" t="s">
        <v>6</v>
      </c>
    </row>
    <row r="97" spans="1:6" x14ac:dyDescent="0.35">
      <c r="A97" s="6" t="s">
        <v>274</v>
      </c>
      <c r="B97" s="6" t="s">
        <v>275</v>
      </c>
      <c r="C97" s="6">
        <v>1955</v>
      </c>
      <c r="D97" s="6" t="s">
        <v>6</v>
      </c>
      <c r="E97" s="6">
        <v>658</v>
      </c>
      <c r="F97" s="6" t="s">
        <v>6</v>
      </c>
    </row>
    <row r="98" spans="1:6" x14ac:dyDescent="0.35">
      <c r="A98" s="6" t="s">
        <v>274</v>
      </c>
      <c r="B98" s="6" t="s">
        <v>275</v>
      </c>
      <c r="C98" s="6">
        <v>1956</v>
      </c>
      <c r="D98" s="6" t="s">
        <v>6</v>
      </c>
      <c r="E98" s="6">
        <v>619</v>
      </c>
      <c r="F98" s="6" t="s">
        <v>6</v>
      </c>
    </row>
    <row r="99" spans="1:6" x14ac:dyDescent="0.35">
      <c r="A99" s="6" t="s">
        <v>274</v>
      </c>
      <c r="B99" s="6" t="s">
        <v>275</v>
      </c>
      <c r="C99" s="6">
        <v>1956</v>
      </c>
      <c r="D99" s="6" t="s">
        <v>6</v>
      </c>
      <c r="E99" s="6">
        <v>685</v>
      </c>
      <c r="F99" s="6" t="s">
        <v>6</v>
      </c>
    </row>
    <row r="100" spans="1:6" x14ac:dyDescent="0.35">
      <c r="A100" s="6" t="s">
        <v>274</v>
      </c>
      <c r="B100" s="6" t="s">
        <v>275</v>
      </c>
      <c r="C100" s="6">
        <v>1957</v>
      </c>
      <c r="D100" s="6" t="s">
        <v>6</v>
      </c>
      <c r="E100" s="6">
        <v>555</v>
      </c>
      <c r="F100" s="6" t="s">
        <v>6</v>
      </c>
    </row>
    <row r="101" spans="1:6" x14ac:dyDescent="0.35">
      <c r="A101" s="6" t="s">
        <v>274</v>
      </c>
      <c r="B101" s="6" t="s">
        <v>275</v>
      </c>
      <c r="C101" s="6">
        <v>1957</v>
      </c>
      <c r="D101" s="6" t="s">
        <v>6</v>
      </c>
      <c r="E101" s="6">
        <v>615</v>
      </c>
      <c r="F101" s="6" t="s">
        <v>6</v>
      </c>
    </row>
    <row r="102" spans="1:6" x14ac:dyDescent="0.35">
      <c r="A102" s="6" t="s">
        <v>274</v>
      </c>
      <c r="B102" s="6" t="s">
        <v>275</v>
      </c>
      <c r="C102" s="6">
        <v>1958</v>
      </c>
      <c r="D102" s="6" t="s">
        <v>6</v>
      </c>
      <c r="E102" s="6">
        <v>620</v>
      </c>
      <c r="F102" s="6" t="s">
        <v>6</v>
      </c>
    </row>
    <row r="103" spans="1:6" x14ac:dyDescent="0.35">
      <c r="A103" s="6" t="s">
        <v>274</v>
      </c>
      <c r="B103" s="6" t="s">
        <v>275</v>
      </c>
      <c r="C103" s="6">
        <v>1958</v>
      </c>
      <c r="D103" s="6" t="s">
        <v>6</v>
      </c>
      <c r="E103" s="6">
        <v>651</v>
      </c>
      <c r="F103" s="6" t="s">
        <v>6</v>
      </c>
    </row>
    <row r="104" spans="1:6" x14ac:dyDescent="0.35">
      <c r="A104" s="6" t="s">
        <v>274</v>
      </c>
      <c r="B104" s="6" t="s">
        <v>275</v>
      </c>
      <c r="C104" s="6">
        <v>1959</v>
      </c>
      <c r="D104" s="6" t="s">
        <v>6</v>
      </c>
      <c r="E104" s="6">
        <v>706</v>
      </c>
      <c r="F104" s="6" t="s">
        <v>6</v>
      </c>
    </row>
    <row r="105" spans="1:6" x14ac:dyDescent="0.35">
      <c r="A105" s="6" t="s">
        <v>274</v>
      </c>
      <c r="B105" s="6" t="s">
        <v>275</v>
      </c>
      <c r="C105" s="6">
        <v>1959</v>
      </c>
      <c r="D105" s="6" t="s">
        <v>6</v>
      </c>
      <c r="E105" s="6">
        <v>755</v>
      </c>
      <c r="F105" s="6" t="s">
        <v>6</v>
      </c>
    </row>
    <row r="106" spans="1:6" x14ac:dyDescent="0.35">
      <c r="A106" s="6" t="s">
        <v>274</v>
      </c>
      <c r="B106" s="6" t="s">
        <v>275</v>
      </c>
      <c r="C106" s="6">
        <v>1960</v>
      </c>
      <c r="D106" s="6" t="s">
        <v>6</v>
      </c>
      <c r="E106" s="6">
        <v>624</v>
      </c>
      <c r="F106" s="6" t="s">
        <v>6</v>
      </c>
    </row>
    <row r="107" spans="1:6" x14ac:dyDescent="0.35">
      <c r="A107" s="6" t="s">
        <v>274</v>
      </c>
      <c r="B107" s="6" t="s">
        <v>275</v>
      </c>
      <c r="C107" s="6">
        <v>1960</v>
      </c>
      <c r="D107" s="6" t="s">
        <v>6</v>
      </c>
      <c r="E107" s="6">
        <v>679</v>
      </c>
      <c r="F107" s="6" t="s">
        <v>6</v>
      </c>
    </row>
    <row r="108" spans="1:6" x14ac:dyDescent="0.35">
      <c r="A108" s="6" t="s">
        <v>274</v>
      </c>
      <c r="B108" s="6" t="s">
        <v>275</v>
      </c>
      <c r="C108" s="6">
        <v>1961</v>
      </c>
      <c r="D108" s="6" t="s">
        <v>6</v>
      </c>
      <c r="E108" s="6">
        <v>657</v>
      </c>
      <c r="F108" s="6" t="s">
        <v>6</v>
      </c>
    </row>
    <row r="109" spans="1:6" x14ac:dyDescent="0.35">
      <c r="A109" s="6" t="s">
        <v>274</v>
      </c>
      <c r="B109" s="6" t="s">
        <v>275</v>
      </c>
      <c r="C109" s="6">
        <v>1961</v>
      </c>
      <c r="D109" s="6" t="s">
        <v>6</v>
      </c>
      <c r="E109" s="6">
        <v>694</v>
      </c>
      <c r="F109" s="6" t="s">
        <v>6</v>
      </c>
    </row>
    <row r="110" spans="1:6" x14ac:dyDescent="0.35">
      <c r="A110" s="6" t="s">
        <v>274</v>
      </c>
      <c r="B110" s="6" t="s">
        <v>275</v>
      </c>
      <c r="C110" s="6">
        <v>1962</v>
      </c>
      <c r="D110" s="6" t="s">
        <v>6</v>
      </c>
      <c r="E110" s="6">
        <v>663</v>
      </c>
      <c r="F110" s="6" t="s">
        <v>6</v>
      </c>
    </row>
    <row r="111" spans="1:6" x14ac:dyDescent="0.35">
      <c r="A111" s="6" t="s">
        <v>274</v>
      </c>
      <c r="B111" s="6" t="s">
        <v>275</v>
      </c>
      <c r="C111" s="6">
        <v>1962</v>
      </c>
      <c r="D111" s="6" t="s">
        <v>6</v>
      </c>
      <c r="E111" s="6">
        <v>704</v>
      </c>
      <c r="F111" s="6" t="s">
        <v>6</v>
      </c>
    </row>
    <row r="112" spans="1:6" x14ac:dyDescent="0.35">
      <c r="A112" s="6" t="s">
        <v>274</v>
      </c>
      <c r="B112" s="6" t="s">
        <v>275</v>
      </c>
      <c r="C112" s="6">
        <v>1963</v>
      </c>
      <c r="D112" s="6" t="s">
        <v>6</v>
      </c>
      <c r="E112" s="6">
        <v>681</v>
      </c>
      <c r="F112" s="6" t="s">
        <v>6</v>
      </c>
    </row>
    <row r="113" spans="1:6" x14ac:dyDescent="0.35">
      <c r="A113" s="6" t="s">
        <v>274</v>
      </c>
      <c r="B113" s="6" t="s">
        <v>275</v>
      </c>
      <c r="C113" s="6">
        <v>1963</v>
      </c>
      <c r="D113" s="6" t="s">
        <v>6</v>
      </c>
      <c r="E113" s="6">
        <v>725</v>
      </c>
      <c r="F113" s="6" t="s">
        <v>6</v>
      </c>
    </row>
    <row r="114" spans="1:6" x14ac:dyDescent="0.35">
      <c r="A114" s="6" t="s">
        <v>274</v>
      </c>
      <c r="B114" s="6" t="s">
        <v>275</v>
      </c>
      <c r="C114" s="6">
        <v>1964</v>
      </c>
      <c r="D114" s="6" t="s">
        <v>6</v>
      </c>
      <c r="E114" s="6">
        <v>684</v>
      </c>
      <c r="F114" s="6" t="s">
        <v>6</v>
      </c>
    </row>
    <row r="115" spans="1:6" x14ac:dyDescent="0.35">
      <c r="A115" s="6" t="s">
        <v>274</v>
      </c>
      <c r="B115" s="6" t="s">
        <v>275</v>
      </c>
      <c r="C115" s="6">
        <v>1964</v>
      </c>
      <c r="D115" s="6" t="s">
        <v>6</v>
      </c>
      <c r="E115" s="6">
        <v>721</v>
      </c>
      <c r="F115" s="6" t="s">
        <v>6</v>
      </c>
    </row>
    <row r="116" spans="1:6" x14ac:dyDescent="0.35">
      <c r="A116" s="6" t="s">
        <v>274</v>
      </c>
      <c r="B116" s="6" t="s">
        <v>275</v>
      </c>
      <c r="C116" s="6">
        <v>1965</v>
      </c>
      <c r="D116" s="6" t="s">
        <v>6</v>
      </c>
      <c r="E116" s="6">
        <v>600</v>
      </c>
      <c r="F116" s="6" t="s">
        <v>6</v>
      </c>
    </row>
    <row r="117" spans="1:6" x14ac:dyDescent="0.35">
      <c r="A117" s="6" t="s">
        <v>274</v>
      </c>
      <c r="B117" s="6" t="s">
        <v>275</v>
      </c>
      <c r="C117" s="6">
        <v>1965</v>
      </c>
      <c r="D117" s="6" t="s">
        <v>6</v>
      </c>
      <c r="E117" s="6">
        <v>633</v>
      </c>
      <c r="F117" s="6" t="s">
        <v>6</v>
      </c>
    </row>
    <row r="118" spans="1:6" x14ac:dyDescent="0.35">
      <c r="A118" s="6" t="s">
        <v>274</v>
      </c>
      <c r="B118" s="6" t="s">
        <v>275</v>
      </c>
      <c r="C118" s="6">
        <v>1966</v>
      </c>
      <c r="D118" s="6" t="s">
        <v>6</v>
      </c>
      <c r="E118" s="6">
        <v>589</v>
      </c>
      <c r="F118" s="6" t="s">
        <v>6</v>
      </c>
    </row>
    <row r="119" spans="1:6" x14ac:dyDescent="0.35">
      <c r="A119" s="6" t="s">
        <v>274</v>
      </c>
      <c r="B119" s="6" t="s">
        <v>275</v>
      </c>
      <c r="C119" s="6">
        <v>1966</v>
      </c>
      <c r="D119" s="6" t="s">
        <v>6</v>
      </c>
      <c r="E119" s="6">
        <v>619</v>
      </c>
      <c r="F119" s="6" t="s">
        <v>6</v>
      </c>
    </row>
    <row r="120" spans="1:6" x14ac:dyDescent="0.35">
      <c r="A120" s="6" t="s">
        <v>274</v>
      </c>
      <c r="B120" s="6" t="s">
        <v>275</v>
      </c>
      <c r="C120" s="6">
        <v>1967</v>
      </c>
      <c r="D120" s="6" t="s">
        <v>6</v>
      </c>
      <c r="E120" s="6">
        <v>590</v>
      </c>
      <c r="F120" s="6" t="s">
        <v>6</v>
      </c>
    </row>
    <row r="121" spans="1:6" x14ac:dyDescent="0.35">
      <c r="A121" s="6" t="s">
        <v>274</v>
      </c>
      <c r="B121" s="6" t="s">
        <v>275</v>
      </c>
      <c r="C121" s="6">
        <v>1967</v>
      </c>
      <c r="D121" s="6" t="s">
        <v>6</v>
      </c>
      <c r="E121" s="6">
        <v>615</v>
      </c>
      <c r="F121" s="6" t="s">
        <v>6</v>
      </c>
    </row>
    <row r="122" spans="1:6" x14ac:dyDescent="0.35">
      <c r="A122" s="6" t="s">
        <v>274</v>
      </c>
      <c r="B122" s="6" t="s">
        <v>275</v>
      </c>
      <c r="C122" s="6">
        <v>1968</v>
      </c>
      <c r="D122" s="6" t="s">
        <v>6</v>
      </c>
      <c r="E122" s="6">
        <v>666</v>
      </c>
      <c r="F122" s="6" t="s">
        <v>6</v>
      </c>
    </row>
    <row r="123" spans="1:6" x14ac:dyDescent="0.35">
      <c r="A123" s="6" t="s">
        <v>274</v>
      </c>
      <c r="B123" s="6" t="s">
        <v>275</v>
      </c>
      <c r="C123" s="6">
        <v>1968</v>
      </c>
      <c r="D123" s="6" t="s">
        <v>6</v>
      </c>
      <c r="E123" s="6">
        <v>690</v>
      </c>
      <c r="F123" s="6" t="s">
        <v>6</v>
      </c>
    </row>
    <row r="124" spans="1:6" x14ac:dyDescent="0.35">
      <c r="A124" s="6" t="s">
        <v>274</v>
      </c>
      <c r="B124" s="6" t="s">
        <v>275</v>
      </c>
      <c r="C124" s="6">
        <v>1969</v>
      </c>
      <c r="D124" s="6" t="s">
        <v>6</v>
      </c>
      <c r="E124" s="6">
        <v>627</v>
      </c>
      <c r="F124" s="6" t="s">
        <v>6</v>
      </c>
    </row>
    <row r="125" spans="1:6" x14ac:dyDescent="0.35">
      <c r="A125" s="6" t="s">
        <v>274</v>
      </c>
      <c r="B125" s="6" t="s">
        <v>275</v>
      </c>
      <c r="C125" s="6">
        <v>1969</v>
      </c>
      <c r="D125" s="6" t="s">
        <v>6</v>
      </c>
      <c r="E125" s="6">
        <v>646</v>
      </c>
      <c r="F125" s="6" t="s">
        <v>6</v>
      </c>
    </row>
    <row r="126" spans="1:6" x14ac:dyDescent="0.35">
      <c r="A126" s="6" t="s">
        <v>274</v>
      </c>
      <c r="B126" s="6" t="s">
        <v>275</v>
      </c>
      <c r="C126" s="6">
        <v>1970</v>
      </c>
      <c r="D126" s="6" t="s">
        <v>6</v>
      </c>
      <c r="E126" s="6">
        <v>647</v>
      </c>
      <c r="F126" s="6" t="s">
        <v>6</v>
      </c>
    </row>
    <row r="127" spans="1:6" x14ac:dyDescent="0.35">
      <c r="A127" s="6" t="s">
        <v>274</v>
      </c>
      <c r="B127" s="6" t="s">
        <v>275</v>
      </c>
      <c r="C127" s="6">
        <v>1970</v>
      </c>
      <c r="D127" s="6" t="s">
        <v>6</v>
      </c>
      <c r="E127" s="6">
        <v>673</v>
      </c>
      <c r="F127" s="6" t="s">
        <v>6</v>
      </c>
    </row>
    <row r="128" spans="1:6" x14ac:dyDescent="0.35">
      <c r="A128" s="6" t="s">
        <v>274</v>
      </c>
      <c r="B128" s="6" t="s">
        <v>275</v>
      </c>
      <c r="C128" s="6">
        <v>1971</v>
      </c>
      <c r="D128" s="6">
        <v>63735</v>
      </c>
      <c r="E128" s="6">
        <v>678</v>
      </c>
      <c r="F128" s="6" t="s">
        <v>6</v>
      </c>
    </row>
    <row r="129" spans="1:6" x14ac:dyDescent="0.35">
      <c r="A129" s="6" t="s">
        <v>274</v>
      </c>
      <c r="B129" s="6" t="s">
        <v>275</v>
      </c>
      <c r="C129" s="6">
        <v>1972</v>
      </c>
      <c r="D129" s="6">
        <v>62586</v>
      </c>
      <c r="E129" s="6">
        <v>618</v>
      </c>
      <c r="F129" s="6" t="s">
        <v>6</v>
      </c>
    </row>
    <row r="130" spans="1:6" x14ac:dyDescent="0.35">
      <c r="A130" s="6" t="s">
        <v>274</v>
      </c>
      <c r="B130" s="6" t="s">
        <v>275</v>
      </c>
      <c r="C130" s="6">
        <v>1973</v>
      </c>
      <c r="D130" s="6">
        <v>60093</v>
      </c>
      <c r="E130" s="6">
        <v>591</v>
      </c>
      <c r="F130" s="6" t="s">
        <v>6</v>
      </c>
    </row>
    <row r="131" spans="1:6" x14ac:dyDescent="0.35">
      <c r="A131" s="6" t="s">
        <v>274</v>
      </c>
      <c r="B131" s="6" t="s">
        <v>275</v>
      </c>
      <c r="C131" s="6">
        <v>1974</v>
      </c>
      <c r="D131" s="6">
        <v>58692</v>
      </c>
      <c r="E131" s="6">
        <v>570</v>
      </c>
      <c r="F131" s="6" t="s">
        <v>6</v>
      </c>
    </row>
    <row r="132" spans="1:6" x14ac:dyDescent="0.35">
      <c r="A132" s="6" t="s">
        <v>274</v>
      </c>
      <c r="B132" s="6" t="s">
        <v>275</v>
      </c>
      <c r="C132" s="6">
        <v>1975</v>
      </c>
      <c r="D132" s="6">
        <v>55902</v>
      </c>
      <c r="E132" s="6">
        <v>597</v>
      </c>
      <c r="F132" s="6" t="s">
        <v>6</v>
      </c>
    </row>
    <row r="133" spans="1:6" x14ac:dyDescent="0.35">
      <c r="A133" s="6" t="s">
        <v>274</v>
      </c>
      <c r="B133" s="6" t="s">
        <v>275</v>
      </c>
      <c r="C133" s="6">
        <v>1976</v>
      </c>
      <c r="D133" s="6">
        <v>54447</v>
      </c>
      <c r="E133" s="6">
        <v>534</v>
      </c>
      <c r="F133" s="6" t="s">
        <v>6</v>
      </c>
    </row>
    <row r="134" spans="1:6" x14ac:dyDescent="0.35">
      <c r="A134" s="6" t="s">
        <v>274</v>
      </c>
      <c r="B134" s="6" t="s">
        <v>275</v>
      </c>
      <c r="C134" s="6">
        <v>1977</v>
      </c>
      <c r="D134" s="6">
        <v>53487</v>
      </c>
      <c r="E134" s="6">
        <v>543</v>
      </c>
      <c r="F134" s="6" t="s">
        <v>6</v>
      </c>
    </row>
    <row r="135" spans="1:6" x14ac:dyDescent="0.35">
      <c r="A135" s="6" t="s">
        <v>274</v>
      </c>
      <c r="B135" s="6" t="s">
        <v>275</v>
      </c>
      <c r="C135" s="6">
        <v>1978</v>
      </c>
      <c r="D135" s="6">
        <v>50310</v>
      </c>
      <c r="E135" s="6">
        <v>528</v>
      </c>
      <c r="F135" s="6" t="s">
        <v>6</v>
      </c>
    </row>
    <row r="136" spans="1:6" x14ac:dyDescent="0.35">
      <c r="A136" s="6" t="s">
        <v>274</v>
      </c>
      <c r="B136" s="6" t="s">
        <v>275</v>
      </c>
      <c r="C136" s="6">
        <v>1979</v>
      </c>
      <c r="D136" s="6">
        <v>51576</v>
      </c>
      <c r="E136" s="6">
        <v>516</v>
      </c>
      <c r="F136" s="6" t="s">
        <v>6</v>
      </c>
    </row>
    <row r="137" spans="1:6" x14ac:dyDescent="0.35">
      <c r="A137" s="6" t="s">
        <v>274</v>
      </c>
      <c r="B137" s="6" t="s">
        <v>275</v>
      </c>
      <c r="C137" s="6">
        <v>1980</v>
      </c>
      <c r="D137" s="6">
        <v>49848</v>
      </c>
      <c r="E137" s="6">
        <v>510</v>
      </c>
      <c r="F137" s="6" t="s">
        <v>6</v>
      </c>
    </row>
    <row r="138" spans="1:6" x14ac:dyDescent="0.35">
      <c r="A138" s="6" t="s">
        <v>274</v>
      </c>
      <c r="B138" s="6" t="s">
        <v>275</v>
      </c>
      <c r="C138" s="6">
        <v>1981</v>
      </c>
      <c r="D138" s="6">
        <v>50052</v>
      </c>
      <c r="E138" s="6">
        <v>522</v>
      </c>
      <c r="F138" s="6" t="s">
        <v>6</v>
      </c>
    </row>
    <row r="139" spans="1:6" x14ac:dyDescent="0.35">
      <c r="A139" s="6" t="s">
        <v>274</v>
      </c>
      <c r="B139" s="6" t="s">
        <v>275</v>
      </c>
      <c r="C139" s="6">
        <v>1982</v>
      </c>
      <c r="D139" s="6">
        <v>49203</v>
      </c>
      <c r="E139" s="6">
        <v>501</v>
      </c>
      <c r="F139" s="6" t="s">
        <v>6</v>
      </c>
    </row>
    <row r="140" spans="1:6" x14ac:dyDescent="0.35">
      <c r="A140" s="6" t="s">
        <v>274</v>
      </c>
      <c r="B140" s="6" t="s">
        <v>275</v>
      </c>
      <c r="C140" s="6">
        <v>1983</v>
      </c>
      <c r="D140" s="6">
        <v>49653</v>
      </c>
      <c r="E140" s="6">
        <v>531</v>
      </c>
      <c r="F140" s="6" t="s">
        <v>6</v>
      </c>
    </row>
    <row r="141" spans="1:6" x14ac:dyDescent="0.35">
      <c r="A141" s="6" t="s">
        <v>274</v>
      </c>
      <c r="B141" s="6" t="s">
        <v>275</v>
      </c>
      <c r="C141" s="6">
        <v>1984</v>
      </c>
      <c r="D141" s="6">
        <v>50694</v>
      </c>
      <c r="E141" s="6">
        <v>582</v>
      </c>
      <c r="F141" s="6" t="s">
        <v>6</v>
      </c>
    </row>
    <row r="142" spans="1:6" x14ac:dyDescent="0.35">
      <c r="A142" s="6" t="s">
        <v>274</v>
      </c>
      <c r="B142" s="6" t="s">
        <v>275</v>
      </c>
      <c r="C142" s="6">
        <v>1985</v>
      </c>
      <c r="D142" s="6">
        <v>50916</v>
      </c>
      <c r="E142" s="6">
        <v>546</v>
      </c>
      <c r="F142" s="6" t="s">
        <v>6</v>
      </c>
    </row>
    <row r="143" spans="1:6" x14ac:dyDescent="0.35">
      <c r="A143" s="6" t="s">
        <v>274</v>
      </c>
      <c r="B143" s="6" t="s">
        <v>275</v>
      </c>
      <c r="C143" s="6">
        <v>1986</v>
      </c>
      <c r="D143" s="6">
        <v>51933</v>
      </c>
      <c r="E143" s="6">
        <v>552</v>
      </c>
      <c r="F143" s="6" t="s">
        <v>6</v>
      </c>
    </row>
    <row r="144" spans="1:6" x14ac:dyDescent="0.35">
      <c r="A144" s="6" t="s">
        <v>274</v>
      </c>
      <c r="B144" s="6" t="s">
        <v>275</v>
      </c>
      <c r="C144" s="6">
        <v>1987</v>
      </c>
      <c r="D144" s="6">
        <v>54216</v>
      </c>
      <c r="E144" s="6">
        <v>642</v>
      </c>
      <c r="F144" s="6" t="s">
        <v>6</v>
      </c>
    </row>
    <row r="145" spans="1:6" x14ac:dyDescent="0.35">
      <c r="A145" s="6" t="s">
        <v>274</v>
      </c>
      <c r="B145" s="6" t="s">
        <v>275</v>
      </c>
      <c r="C145" s="6">
        <v>1988</v>
      </c>
      <c r="D145" s="6">
        <v>56541</v>
      </c>
      <c r="E145" s="6">
        <v>630</v>
      </c>
      <c r="F145" s="6" t="s">
        <v>6</v>
      </c>
    </row>
    <row r="146" spans="1:6" x14ac:dyDescent="0.35">
      <c r="A146" s="6" t="s">
        <v>274</v>
      </c>
      <c r="B146" s="6" t="s">
        <v>275</v>
      </c>
      <c r="C146" s="6">
        <v>1989</v>
      </c>
      <c r="D146" s="6">
        <v>57003</v>
      </c>
      <c r="E146" s="6">
        <v>663</v>
      </c>
      <c r="F146" s="6" t="s">
        <v>6</v>
      </c>
    </row>
    <row r="147" spans="1:6" x14ac:dyDescent="0.35">
      <c r="A147" s="6" t="s">
        <v>274</v>
      </c>
      <c r="B147" s="6" t="s">
        <v>275</v>
      </c>
      <c r="C147" s="6">
        <v>1990</v>
      </c>
      <c r="D147" s="6">
        <v>58950</v>
      </c>
      <c r="E147" s="6">
        <v>705</v>
      </c>
      <c r="F147" s="6" t="s">
        <v>6</v>
      </c>
    </row>
    <row r="148" spans="1:6" x14ac:dyDescent="0.35">
      <c r="A148" s="6" t="s">
        <v>274</v>
      </c>
      <c r="B148" s="6" t="s">
        <v>275</v>
      </c>
      <c r="C148" s="6">
        <v>1991</v>
      </c>
      <c r="D148" s="6">
        <v>58707</v>
      </c>
      <c r="E148" s="6">
        <v>714</v>
      </c>
      <c r="F148" s="6" t="s">
        <v>6</v>
      </c>
    </row>
    <row r="149" spans="1:6" x14ac:dyDescent="0.35">
      <c r="A149" s="6" t="s">
        <v>274</v>
      </c>
      <c r="B149" s="6" t="s">
        <v>275</v>
      </c>
      <c r="C149" s="6">
        <v>1992</v>
      </c>
      <c r="D149" s="6">
        <v>57954</v>
      </c>
      <c r="E149" s="6">
        <v>714</v>
      </c>
      <c r="F149" s="6" t="s">
        <v>6</v>
      </c>
    </row>
    <row r="150" spans="1:6" x14ac:dyDescent="0.35">
      <c r="A150" s="6" t="s">
        <v>274</v>
      </c>
      <c r="B150" s="6" t="s">
        <v>275</v>
      </c>
      <c r="C150" s="6">
        <v>1993</v>
      </c>
      <c r="D150" s="6">
        <v>57480</v>
      </c>
      <c r="E150" s="6">
        <v>717</v>
      </c>
      <c r="F150" s="6" t="s">
        <v>6</v>
      </c>
    </row>
    <row r="151" spans="1:6" x14ac:dyDescent="0.35">
      <c r="A151" s="6" t="s">
        <v>274</v>
      </c>
      <c r="B151" s="6" t="s">
        <v>275</v>
      </c>
      <c r="C151" s="6">
        <v>1994</v>
      </c>
      <c r="D151" s="6">
        <v>55974</v>
      </c>
      <c r="E151" s="6">
        <v>744</v>
      </c>
      <c r="F151" s="6" t="s">
        <v>6</v>
      </c>
    </row>
    <row r="152" spans="1:6" x14ac:dyDescent="0.35">
      <c r="A152" s="6" t="s">
        <v>274</v>
      </c>
      <c r="B152" s="6" t="s">
        <v>275</v>
      </c>
      <c r="C152" s="6">
        <v>1995</v>
      </c>
      <c r="D152" s="6">
        <v>56442</v>
      </c>
      <c r="E152" s="6">
        <v>708</v>
      </c>
      <c r="F152" s="6" t="s">
        <v>6</v>
      </c>
    </row>
    <row r="153" spans="1:6" x14ac:dyDescent="0.35">
      <c r="A153" s="6" t="s">
        <v>274</v>
      </c>
      <c r="B153" s="6" t="s">
        <v>275</v>
      </c>
      <c r="C153" s="6">
        <v>1996</v>
      </c>
      <c r="D153" s="6">
        <v>56130</v>
      </c>
      <c r="E153" s="6">
        <v>735</v>
      </c>
      <c r="F153" s="6" t="s">
        <v>6</v>
      </c>
    </row>
    <row r="154" spans="1:6" x14ac:dyDescent="0.35">
      <c r="A154" s="6" t="s">
        <v>274</v>
      </c>
      <c r="B154" s="6" t="s">
        <v>275</v>
      </c>
      <c r="C154" s="6">
        <v>1997</v>
      </c>
      <c r="D154" s="6">
        <v>56283</v>
      </c>
      <c r="E154" s="6">
        <v>804</v>
      </c>
      <c r="F154" s="6" t="s">
        <v>6</v>
      </c>
    </row>
    <row r="155" spans="1:6" x14ac:dyDescent="0.35">
      <c r="A155" s="6" t="s">
        <v>274</v>
      </c>
      <c r="B155" s="6" t="s">
        <v>275</v>
      </c>
      <c r="C155" s="6">
        <v>1998</v>
      </c>
      <c r="D155" s="6">
        <v>53955</v>
      </c>
      <c r="E155" s="6">
        <v>834</v>
      </c>
      <c r="F155" s="6" t="s">
        <v>6</v>
      </c>
    </row>
    <row r="156" spans="1:6" x14ac:dyDescent="0.35">
      <c r="A156" s="6" t="s">
        <v>274</v>
      </c>
      <c r="B156" s="6" t="s">
        <v>275</v>
      </c>
      <c r="C156" s="6">
        <v>1999</v>
      </c>
      <c r="D156" s="6">
        <v>55698</v>
      </c>
      <c r="E156" s="6">
        <v>843</v>
      </c>
      <c r="F156" s="6" t="s">
        <v>6</v>
      </c>
    </row>
    <row r="157" spans="1:6" x14ac:dyDescent="0.35">
      <c r="A157" s="6" t="s">
        <v>274</v>
      </c>
      <c r="B157" s="6" t="s">
        <v>275</v>
      </c>
      <c r="C157" s="6">
        <v>2000</v>
      </c>
      <c r="D157" s="6">
        <v>55119</v>
      </c>
      <c r="E157" s="6">
        <v>882</v>
      </c>
      <c r="F157" s="6" t="s">
        <v>6</v>
      </c>
    </row>
    <row r="158" spans="1:6" x14ac:dyDescent="0.35">
      <c r="A158" s="6" t="s">
        <v>274</v>
      </c>
      <c r="B158" s="6" t="s">
        <v>275</v>
      </c>
      <c r="C158" s="6">
        <v>2001</v>
      </c>
      <c r="D158" s="6">
        <v>54333</v>
      </c>
      <c r="E158" s="6">
        <v>879</v>
      </c>
      <c r="F158" s="6" t="s">
        <v>6</v>
      </c>
    </row>
    <row r="159" spans="1:6" x14ac:dyDescent="0.35">
      <c r="A159" s="6" t="s">
        <v>274</v>
      </c>
      <c r="B159" s="6" t="s">
        <v>275</v>
      </c>
      <c r="C159" s="6">
        <v>2002</v>
      </c>
      <c r="D159" s="6">
        <v>52536</v>
      </c>
      <c r="E159" s="6">
        <v>900</v>
      </c>
      <c r="F159" s="6" t="s">
        <v>6</v>
      </c>
    </row>
    <row r="160" spans="1:6" x14ac:dyDescent="0.35">
      <c r="A160" s="6" t="s">
        <v>274</v>
      </c>
      <c r="B160" s="6" t="s">
        <v>275</v>
      </c>
      <c r="C160" s="6">
        <v>2003</v>
      </c>
      <c r="D160" s="6">
        <v>54606</v>
      </c>
      <c r="E160" s="6">
        <v>906</v>
      </c>
      <c r="F160" s="6" t="s">
        <v>6</v>
      </c>
    </row>
    <row r="161" spans="1:6" x14ac:dyDescent="0.35">
      <c r="A161" s="6" t="s">
        <v>274</v>
      </c>
      <c r="B161" s="6" t="s">
        <v>275</v>
      </c>
      <c r="C161" s="6">
        <v>2004</v>
      </c>
      <c r="D161" s="6">
        <v>56634</v>
      </c>
      <c r="E161" s="6">
        <v>945</v>
      </c>
      <c r="F161" s="6" t="s">
        <v>6</v>
      </c>
    </row>
    <row r="162" spans="1:6" x14ac:dyDescent="0.35">
      <c r="A162" s="6" t="s">
        <v>274</v>
      </c>
      <c r="B162" s="6" t="s">
        <v>275</v>
      </c>
      <c r="C162" s="6">
        <v>2005</v>
      </c>
      <c r="D162" s="6">
        <v>56295</v>
      </c>
      <c r="E162" s="6">
        <v>882</v>
      </c>
      <c r="F162" s="6" t="s">
        <v>6</v>
      </c>
    </row>
    <row r="163" spans="1:6" x14ac:dyDescent="0.35">
      <c r="A163" s="6" t="s">
        <v>274</v>
      </c>
      <c r="B163" s="6" t="s">
        <v>275</v>
      </c>
      <c r="C163" s="6">
        <v>2006</v>
      </c>
      <c r="D163" s="6">
        <v>57801</v>
      </c>
      <c r="E163" s="6">
        <v>864</v>
      </c>
      <c r="F163" s="6" t="s">
        <v>6</v>
      </c>
    </row>
    <row r="164" spans="1:6" x14ac:dyDescent="0.35">
      <c r="A164" s="6" t="s">
        <v>274</v>
      </c>
      <c r="B164" s="6" t="s">
        <v>275</v>
      </c>
      <c r="C164" s="6">
        <v>2007</v>
      </c>
      <c r="D164" s="6">
        <v>62493</v>
      </c>
      <c r="E164" s="6">
        <v>987</v>
      </c>
      <c r="F164" s="6" t="s">
        <v>6</v>
      </c>
    </row>
    <row r="165" spans="1:6" x14ac:dyDescent="0.35">
      <c r="A165" s="6" t="s">
        <v>274</v>
      </c>
      <c r="B165" s="6" t="s">
        <v>275</v>
      </c>
      <c r="C165" s="6">
        <v>2008</v>
      </c>
      <c r="D165" s="6">
        <v>62931</v>
      </c>
      <c r="E165" s="6">
        <v>939</v>
      </c>
      <c r="F165" s="6" t="s">
        <v>6</v>
      </c>
    </row>
    <row r="166" spans="1:6" x14ac:dyDescent="0.35">
      <c r="A166" s="6" t="s">
        <v>274</v>
      </c>
      <c r="B166" s="6" t="s">
        <v>275</v>
      </c>
      <c r="C166" s="6">
        <v>2009</v>
      </c>
      <c r="D166" s="6">
        <v>61131</v>
      </c>
      <c r="E166" s="6">
        <v>867</v>
      </c>
      <c r="F166" s="6" t="s">
        <v>6</v>
      </c>
    </row>
    <row r="167" spans="1:6" x14ac:dyDescent="0.35">
      <c r="A167" s="6" t="s">
        <v>274</v>
      </c>
      <c r="B167" s="6" t="s">
        <v>275</v>
      </c>
      <c r="C167" s="6">
        <v>2010</v>
      </c>
      <c r="D167" s="6">
        <v>62433</v>
      </c>
      <c r="E167" s="6">
        <v>915</v>
      </c>
      <c r="F167" s="6" t="s">
        <v>6</v>
      </c>
    </row>
    <row r="168" spans="1:6" x14ac:dyDescent="0.35">
      <c r="A168" s="6" t="s">
        <v>274</v>
      </c>
      <c r="B168" s="6" t="s">
        <v>275</v>
      </c>
      <c r="C168" s="6">
        <v>2011</v>
      </c>
      <c r="D168" s="6">
        <v>60027</v>
      </c>
      <c r="E168" s="6">
        <v>879</v>
      </c>
      <c r="F168" s="6" t="s">
        <v>6</v>
      </c>
    </row>
    <row r="169" spans="1:6" x14ac:dyDescent="0.35">
      <c r="A169" s="6" t="s">
        <v>274</v>
      </c>
      <c r="B169" s="6" t="s">
        <v>275</v>
      </c>
      <c r="C169" s="6">
        <v>2012</v>
      </c>
      <c r="D169" s="6">
        <v>59838</v>
      </c>
      <c r="E169" s="6">
        <v>837</v>
      </c>
      <c r="F169" s="6" t="s">
        <v>6</v>
      </c>
    </row>
    <row r="170" spans="1:6" x14ac:dyDescent="0.35">
      <c r="A170" s="6" t="s">
        <v>274</v>
      </c>
      <c r="B170" s="6" t="s">
        <v>275</v>
      </c>
      <c r="C170" s="6">
        <v>2013</v>
      </c>
      <c r="D170" s="6">
        <v>57327</v>
      </c>
      <c r="E170" s="6">
        <v>843</v>
      </c>
      <c r="F170" s="6" t="s">
        <v>6</v>
      </c>
    </row>
    <row r="171" spans="1:6" x14ac:dyDescent="0.35">
      <c r="A171" s="6" t="s">
        <v>274</v>
      </c>
      <c r="B171" s="6" t="s">
        <v>275</v>
      </c>
      <c r="C171" s="6">
        <v>2014</v>
      </c>
      <c r="D171" s="6">
        <v>55959</v>
      </c>
      <c r="E171" s="6">
        <v>810</v>
      </c>
      <c r="F171" s="6" t="s">
        <v>6</v>
      </c>
    </row>
    <row r="172" spans="1:6" x14ac:dyDescent="0.35">
      <c r="A172" s="6" t="s">
        <v>274</v>
      </c>
      <c r="B172" s="6" t="s">
        <v>275</v>
      </c>
      <c r="C172" s="6">
        <v>2015</v>
      </c>
      <c r="D172" s="6">
        <v>59631</v>
      </c>
      <c r="E172" s="6">
        <v>828</v>
      </c>
      <c r="F172" s="6" t="s">
        <v>6</v>
      </c>
    </row>
    <row r="173" spans="1:6" x14ac:dyDescent="0.35">
      <c r="A173" s="6" t="s">
        <v>274</v>
      </c>
      <c r="B173" s="6" t="s">
        <v>275</v>
      </c>
      <c r="C173" s="6">
        <v>2016</v>
      </c>
      <c r="D173" s="6">
        <v>58110</v>
      </c>
      <c r="E173" s="6">
        <v>810</v>
      </c>
      <c r="F173" s="6" t="s">
        <v>6</v>
      </c>
    </row>
    <row r="174" spans="1:6" x14ac:dyDescent="0.35">
      <c r="A174" s="6" t="s">
        <v>274</v>
      </c>
      <c r="B174" s="6" t="s">
        <v>275</v>
      </c>
      <c r="C174" s="6">
        <v>2017</v>
      </c>
      <c r="D174" s="6">
        <v>58383</v>
      </c>
      <c r="E174" s="6">
        <v>753</v>
      </c>
      <c r="F174" s="6" t="s">
        <v>6</v>
      </c>
    </row>
    <row r="175" spans="1:6" x14ac:dyDescent="0.35">
      <c r="A175" s="6" t="s">
        <v>274</v>
      </c>
      <c r="B175" s="6" t="s">
        <v>275</v>
      </c>
      <c r="C175" s="6">
        <v>2018</v>
      </c>
      <c r="D175" s="6">
        <v>56892</v>
      </c>
      <c r="E175" s="6">
        <v>711</v>
      </c>
      <c r="F175" s="6" t="s">
        <v>6</v>
      </c>
    </row>
    <row r="176" spans="1:6" x14ac:dyDescent="0.35">
      <c r="A176" s="6" t="s">
        <v>274</v>
      </c>
      <c r="B176" s="6" t="s">
        <v>275</v>
      </c>
      <c r="C176" s="6">
        <v>2019</v>
      </c>
      <c r="D176" s="6">
        <v>58398</v>
      </c>
      <c r="E176" s="6">
        <v>762</v>
      </c>
      <c r="F176" s="6" t="s">
        <v>6</v>
      </c>
    </row>
    <row r="177" spans="1:6" x14ac:dyDescent="0.35">
      <c r="A177" s="6" t="s">
        <v>274</v>
      </c>
      <c r="B177" s="6" t="s">
        <v>275</v>
      </c>
      <c r="C177" s="6">
        <v>2020</v>
      </c>
      <c r="D177" s="6">
        <v>56418</v>
      </c>
      <c r="E177" s="6">
        <v>738</v>
      </c>
      <c r="F177" s="6" t="s">
        <v>6</v>
      </c>
    </row>
    <row r="178" spans="1:6" x14ac:dyDescent="0.35">
      <c r="A178" s="6" t="s">
        <v>274</v>
      </c>
      <c r="B178" s="6" t="s">
        <v>275</v>
      </c>
      <c r="C178" s="6">
        <v>2021</v>
      </c>
      <c r="D178" s="6">
        <v>57438</v>
      </c>
      <c r="E178" s="6">
        <v>765</v>
      </c>
      <c r="F178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F5FA-2289-48B3-BFDA-8ACBAEB20263}">
  <dimension ref="A1:F166"/>
  <sheetViews>
    <sheetView zoomScale="55" zoomScaleNormal="55" workbookViewId="0">
      <selection sqref="A1:F166"/>
    </sheetView>
  </sheetViews>
  <sheetFormatPr defaultRowHeight="14.5" x14ac:dyDescent="0.35"/>
  <cols>
    <col min="1" max="1" width="11.08984375" style="3" customWidth="1"/>
    <col min="2" max="2" width="11" style="3" customWidth="1"/>
    <col min="3" max="3" width="7.7265625" style="3" customWidth="1"/>
    <col min="4" max="4" width="14.08984375" style="3" customWidth="1"/>
    <col min="5" max="5" width="19.1796875" style="3" customWidth="1"/>
    <col min="6" max="6" width="17.7265625" style="3" customWidth="1"/>
  </cols>
  <sheetData>
    <row r="1" spans="1:6" ht="26.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6" t="s">
        <v>276</v>
      </c>
      <c r="B2" s="6" t="s">
        <v>277</v>
      </c>
      <c r="C2" s="3">
        <v>1856</v>
      </c>
      <c r="D2" s="3" t="s">
        <v>6</v>
      </c>
      <c r="E2" s="3">
        <v>1267</v>
      </c>
      <c r="F2" s="3" t="s">
        <v>6</v>
      </c>
    </row>
    <row r="3" spans="1:6" x14ac:dyDescent="0.35">
      <c r="A3" s="6" t="s">
        <v>276</v>
      </c>
      <c r="B3" s="6" t="s">
        <v>277</v>
      </c>
      <c r="C3" s="3">
        <v>1857</v>
      </c>
      <c r="D3" s="3" t="s">
        <v>6</v>
      </c>
      <c r="E3" s="3">
        <v>1300</v>
      </c>
      <c r="F3" s="3" t="s">
        <v>6</v>
      </c>
    </row>
    <row r="4" spans="1:6" x14ac:dyDescent="0.35">
      <c r="A4" s="6" t="s">
        <v>276</v>
      </c>
      <c r="B4" s="6" t="s">
        <v>277</v>
      </c>
      <c r="C4" s="3">
        <v>1858</v>
      </c>
      <c r="D4" s="3" t="s">
        <v>6</v>
      </c>
      <c r="E4" s="3">
        <v>1262</v>
      </c>
      <c r="F4" s="3" t="s">
        <v>6</v>
      </c>
    </row>
    <row r="5" spans="1:6" x14ac:dyDescent="0.35">
      <c r="A5" s="6" t="s">
        <v>276</v>
      </c>
      <c r="B5" s="6" t="s">
        <v>277</v>
      </c>
      <c r="C5" s="3">
        <v>1859</v>
      </c>
      <c r="D5" s="3" t="s">
        <v>6</v>
      </c>
      <c r="E5" s="3">
        <v>1335</v>
      </c>
      <c r="F5" s="3" t="s">
        <v>6</v>
      </c>
    </row>
    <row r="6" spans="1:6" x14ac:dyDescent="0.35">
      <c r="A6" s="6" t="s">
        <v>276</v>
      </c>
      <c r="B6" s="6" t="s">
        <v>277</v>
      </c>
      <c r="C6" s="3">
        <v>1860</v>
      </c>
      <c r="D6" s="3" t="s">
        <v>6</v>
      </c>
      <c r="E6" s="3">
        <v>1247</v>
      </c>
      <c r="F6" s="3" t="s">
        <v>6</v>
      </c>
    </row>
    <row r="7" spans="1:6" x14ac:dyDescent="0.35">
      <c r="A7" s="6" t="s">
        <v>276</v>
      </c>
      <c r="B7" s="6" t="s">
        <v>277</v>
      </c>
      <c r="C7" s="3">
        <v>1861</v>
      </c>
      <c r="D7" s="3" t="s">
        <v>6</v>
      </c>
      <c r="E7" s="3">
        <v>1249</v>
      </c>
      <c r="F7" s="3" t="s">
        <v>6</v>
      </c>
    </row>
    <row r="8" spans="1:6" x14ac:dyDescent="0.35">
      <c r="A8" s="6" t="s">
        <v>276</v>
      </c>
      <c r="B8" s="6" t="s">
        <v>277</v>
      </c>
      <c r="C8" s="3">
        <v>1862</v>
      </c>
      <c r="D8" s="3" t="s">
        <v>6</v>
      </c>
      <c r="E8" s="3">
        <v>1279</v>
      </c>
      <c r="F8" s="3" t="s">
        <v>6</v>
      </c>
    </row>
    <row r="9" spans="1:6" x14ac:dyDescent="0.35">
      <c r="A9" s="6" t="s">
        <v>276</v>
      </c>
      <c r="B9" s="6" t="s">
        <v>277</v>
      </c>
      <c r="C9" s="3">
        <v>1863</v>
      </c>
      <c r="D9" s="3" t="s">
        <v>6</v>
      </c>
      <c r="E9" s="3">
        <v>1267</v>
      </c>
      <c r="F9" s="3" t="s">
        <v>6</v>
      </c>
    </row>
    <row r="10" spans="1:6" x14ac:dyDescent="0.35">
      <c r="A10" s="6" t="s">
        <v>276</v>
      </c>
      <c r="B10" s="6" t="s">
        <v>277</v>
      </c>
      <c r="C10" s="3">
        <v>1864</v>
      </c>
      <c r="D10" s="3" t="s">
        <v>6</v>
      </c>
      <c r="E10" s="3">
        <v>1332</v>
      </c>
      <c r="F10" s="3" t="s">
        <v>6</v>
      </c>
    </row>
    <row r="11" spans="1:6" x14ac:dyDescent="0.35">
      <c r="A11" s="6" t="s">
        <v>276</v>
      </c>
      <c r="B11" s="6" t="s">
        <v>277</v>
      </c>
      <c r="C11" s="3">
        <v>1865</v>
      </c>
      <c r="D11" s="3" t="s">
        <v>6</v>
      </c>
      <c r="E11" s="3">
        <v>1364</v>
      </c>
      <c r="F11" s="3" t="s">
        <v>6</v>
      </c>
    </row>
    <row r="12" spans="1:6" x14ac:dyDescent="0.35">
      <c r="A12" s="6" t="s">
        <v>276</v>
      </c>
      <c r="B12" s="6" t="s">
        <v>277</v>
      </c>
      <c r="C12" s="3">
        <v>1866</v>
      </c>
      <c r="D12" s="3" t="s">
        <v>6</v>
      </c>
      <c r="E12" s="3">
        <v>1366</v>
      </c>
      <c r="F12" s="3" t="s">
        <v>6</v>
      </c>
    </row>
    <row r="13" spans="1:6" x14ac:dyDescent="0.35">
      <c r="A13" s="6" t="s">
        <v>276</v>
      </c>
      <c r="B13" s="6" t="s">
        <v>277</v>
      </c>
      <c r="C13" s="3">
        <v>1867</v>
      </c>
      <c r="D13" s="3" t="s">
        <v>6</v>
      </c>
      <c r="E13" s="3">
        <v>1365</v>
      </c>
      <c r="F13" s="3" t="s">
        <v>6</v>
      </c>
    </row>
    <row r="14" spans="1:6" x14ac:dyDescent="0.35">
      <c r="A14" s="6" t="s">
        <v>276</v>
      </c>
      <c r="B14" s="6" t="s">
        <v>277</v>
      </c>
      <c r="C14" s="3">
        <v>1868</v>
      </c>
      <c r="D14" s="3" t="s">
        <v>6</v>
      </c>
      <c r="E14" s="3">
        <v>1443</v>
      </c>
      <c r="F14" s="3" t="s">
        <v>6</v>
      </c>
    </row>
    <row r="15" spans="1:6" x14ac:dyDescent="0.35">
      <c r="A15" s="6" t="s">
        <v>276</v>
      </c>
      <c r="B15" s="6" t="s">
        <v>277</v>
      </c>
      <c r="C15" s="3">
        <v>1869</v>
      </c>
      <c r="D15" s="3" t="s">
        <v>6</v>
      </c>
      <c r="E15" s="3">
        <v>1407</v>
      </c>
      <c r="F15" s="3" t="s">
        <v>6</v>
      </c>
    </row>
    <row r="16" spans="1:6" x14ac:dyDescent="0.35">
      <c r="A16" s="6" t="s">
        <v>276</v>
      </c>
      <c r="B16" s="6" t="s">
        <v>277</v>
      </c>
      <c r="C16" s="3">
        <v>1870</v>
      </c>
      <c r="D16" s="3" t="s">
        <v>6</v>
      </c>
      <c r="E16" s="3">
        <v>1384</v>
      </c>
      <c r="F16" s="3" t="s">
        <v>6</v>
      </c>
    </row>
    <row r="17" spans="1:6" x14ac:dyDescent="0.35">
      <c r="A17" s="6" t="s">
        <v>276</v>
      </c>
      <c r="B17" s="6" t="s">
        <v>277</v>
      </c>
      <c r="C17" s="3">
        <v>1871</v>
      </c>
      <c r="D17" s="3" t="s">
        <v>6</v>
      </c>
      <c r="E17" s="3">
        <v>1299</v>
      </c>
      <c r="F17" s="3" t="s">
        <v>6</v>
      </c>
    </row>
    <row r="18" spans="1:6" x14ac:dyDescent="0.35">
      <c r="A18" s="6" t="s">
        <v>276</v>
      </c>
      <c r="B18" s="6" t="s">
        <v>277</v>
      </c>
      <c r="C18" s="3">
        <v>1872</v>
      </c>
      <c r="D18" s="3" t="s">
        <v>6</v>
      </c>
      <c r="E18" s="3">
        <v>1383</v>
      </c>
      <c r="F18" s="3" t="s">
        <v>6</v>
      </c>
    </row>
    <row r="19" spans="1:6" x14ac:dyDescent="0.35">
      <c r="A19" s="6" t="s">
        <v>276</v>
      </c>
      <c r="B19" s="6" t="s">
        <v>277</v>
      </c>
      <c r="C19" s="3">
        <v>1873</v>
      </c>
      <c r="D19" s="3" t="s">
        <v>6</v>
      </c>
      <c r="E19" s="3">
        <v>1410</v>
      </c>
      <c r="F19" s="3" t="s">
        <v>6</v>
      </c>
    </row>
    <row r="20" spans="1:6" x14ac:dyDescent="0.35">
      <c r="A20" s="6" t="s">
        <v>276</v>
      </c>
      <c r="B20" s="6" t="s">
        <v>277</v>
      </c>
      <c r="C20" s="3">
        <v>1874</v>
      </c>
      <c r="D20" s="3" t="s">
        <v>6</v>
      </c>
      <c r="E20" s="3">
        <v>1512</v>
      </c>
      <c r="F20" s="3" t="s">
        <v>6</v>
      </c>
    </row>
    <row r="21" spans="1:6" x14ac:dyDescent="0.35">
      <c r="A21" s="6" t="s">
        <v>276</v>
      </c>
      <c r="B21" s="6" t="s">
        <v>277</v>
      </c>
      <c r="C21" s="3">
        <v>1875</v>
      </c>
      <c r="D21" s="3" t="s">
        <v>6</v>
      </c>
      <c r="E21" s="3">
        <v>1477</v>
      </c>
      <c r="F21" s="3" t="s">
        <v>6</v>
      </c>
    </row>
    <row r="22" spans="1:6" x14ac:dyDescent="0.35">
      <c r="A22" s="6" t="s">
        <v>276</v>
      </c>
      <c r="B22" s="6" t="s">
        <v>277</v>
      </c>
      <c r="C22" s="3">
        <v>1876</v>
      </c>
      <c r="D22" s="3" t="s">
        <v>6</v>
      </c>
      <c r="E22" s="3">
        <v>1463</v>
      </c>
      <c r="F22" s="3" t="s">
        <v>6</v>
      </c>
    </row>
    <row r="23" spans="1:6" x14ac:dyDescent="0.35">
      <c r="A23" s="6" t="s">
        <v>276</v>
      </c>
      <c r="B23" s="6" t="s">
        <v>277</v>
      </c>
      <c r="C23" s="3">
        <v>1877</v>
      </c>
      <c r="D23" s="3" t="s">
        <v>6</v>
      </c>
      <c r="E23" s="3">
        <v>1429</v>
      </c>
      <c r="F23" s="3" t="s">
        <v>6</v>
      </c>
    </row>
    <row r="24" spans="1:6" x14ac:dyDescent="0.35">
      <c r="A24" s="6" t="s">
        <v>276</v>
      </c>
      <c r="B24" s="6" t="s">
        <v>277</v>
      </c>
      <c r="C24" s="3">
        <v>1878</v>
      </c>
      <c r="D24" s="3" t="s">
        <v>6</v>
      </c>
      <c r="E24" s="3">
        <v>1367</v>
      </c>
      <c r="F24" s="3" t="s">
        <v>6</v>
      </c>
    </row>
    <row r="25" spans="1:6" x14ac:dyDescent="0.35">
      <c r="A25" s="6" t="s">
        <v>276</v>
      </c>
      <c r="B25" s="6" t="s">
        <v>277</v>
      </c>
      <c r="C25" s="3">
        <v>1879</v>
      </c>
      <c r="D25" s="3" t="s">
        <v>6</v>
      </c>
      <c r="E25" s="3">
        <v>1452</v>
      </c>
      <c r="F25" s="3" t="s">
        <v>6</v>
      </c>
    </row>
    <row r="26" spans="1:6" x14ac:dyDescent="0.35">
      <c r="A26" s="6" t="s">
        <v>276</v>
      </c>
      <c r="B26" s="6" t="s">
        <v>277</v>
      </c>
      <c r="C26" s="3">
        <v>1880</v>
      </c>
      <c r="D26" s="3" t="s">
        <v>6</v>
      </c>
      <c r="E26" s="3">
        <v>1438</v>
      </c>
      <c r="F26" s="3" t="s">
        <v>6</v>
      </c>
    </row>
    <row r="27" spans="1:6" x14ac:dyDescent="0.35">
      <c r="A27" s="6" t="s">
        <v>276</v>
      </c>
      <c r="B27" s="6" t="s">
        <v>277</v>
      </c>
      <c r="C27" s="3">
        <v>1881</v>
      </c>
      <c r="D27" s="3" t="s">
        <v>6</v>
      </c>
      <c r="E27" s="3">
        <v>1418</v>
      </c>
      <c r="F27" s="3" t="s">
        <v>6</v>
      </c>
    </row>
    <row r="28" spans="1:6" x14ac:dyDescent="0.35">
      <c r="A28" s="6" t="s">
        <v>276</v>
      </c>
      <c r="B28" s="6" t="s">
        <v>277</v>
      </c>
      <c r="C28" s="3">
        <v>1882</v>
      </c>
      <c r="D28" s="3" t="s">
        <v>6</v>
      </c>
      <c r="E28" s="3">
        <v>1415</v>
      </c>
      <c r="F28" s="3" t="s">
        <v>6</v>
      </c>
    </row>
    <row r="29" spans="1:6" x14ac:dyDescent="0.35">
      <c r="A29" s="6" t="s">
        <v>276</v>
      </c>
      <c r="B29" s="6" t="s">
        <v>277</v>
      </c>
      <c r="C29" s="3">
        <v>1883</v>
      </c>
      <c r="D29" s="3" t="s">
        <v>6</v>
      </c>
      <c r="E29" s="3">
        <v>1370</v>
      </c>
      <c r="F29" s="3" t="s">
        <v>6</v>
      </c>
    </row>
    <row r="30" spans="1:6" x14ac:dyDescent="0.35">
      <c r="A30" s="6" t="s">
        <v>276</v>
      </c>
      <c r="B30" s="6" t="s">
        <v>277</v>
      </c>
      <c r="C30" s="3">
        <v>1884</v>
      </c>
      <c r="D30" s="3" t="s">
        <v>6</v>
      </c>
      <c r="E30" s="3">
        <v>1457</v>
      </c>
      <c r="F30" s="3" t="s">
        <v>6</v>
      </c>
    </row>
    <row r="31" spans="1:6" x14ac:dyDescent="0.35">
      <c r="A31" s="6" t="s">
        <v>276</v>
      </c>
      <c r="B31" s="6" t="s">
        <v>277</v>
      </c>
      <c r="C31" s="3">
        <v>1885</v>
      </c>
      <c r="D31" s="3" t="s">
        <v>6</v>
      </c>
      <c r="E31" s="3">
        <v>1423</v>
      </c>
      <c r="F31" s="3" t="s">
        <v>6</v>
      </c>
    </row>
    <row r="32" spans="1:6" x14ac:dyDescent="0.35">
      <c r="A32" s="6" t="s">
        <v>276</v>
      </c>
      <c r="B32" s="6" t="s">
        <v>277</v>
      </c>
      <c r="C32" s="3">
        <v>1886</v>
      </c>
      <c r="D32" s="3" t="s">
        <v>6</v>
      </c>
      <c r="E32" s="3">
        <v>1331</v>
      </c>
      <c r="F32" s="3" t="s">
        <v>6</v>
      </c>
    </row>
    <row r="33" spans="1:6" x14ac:dyDescent="0.35">
      <c r="A33" s="6" t="s">
        <v>276</v>
      </c>
      <c r="B33" s="6" t="s">
        <v>277</v>
      </c>
      <c r="C33" s="3">
        <v>1887</v>
      </c>
      <c r="D33" s="3" t="s">
        <v>6</v>
      </c>
      <c r="E33" s="3">
        <v>1335</v>
      </c>
      <c r="F33" s="3" t="s">
        <v>6</v>
      </c>
    </row>
    <row r="34" spans="1:6" x14ac:dyDescent="0.35">
      <c r="A34" s="6" t="s">
        <v>276</v>
      </c>
      <c r="B34" s="6" t="s">
        <v>277</v>
      </c>
      <c r="C34" s="3">
        <v>1888</v>
      </c>
      <c r="D34" s="3" t="s">
        <v>6</v>
      </c>
      <c r="E34" s="3">
        <v>1380</v>
      </c>
      <c r="F34" s="3" t="s">
        <v>6</v>
      </c>
    </row>
    <row r="35" spans="1:6" x14ac:dyDescent="0.35">
      <c r="A35" s="6" t="s">
        <v>276</v>
      </c>
      <c r="B35" s="6" t="s">
        <v>277</v>
      </c>
      <c r="C35" s="3">
        <v>1889</v>
      </c>
      <c r="D35" s="3" t="s">
        <v>6</v>
      </c>
      <c r="E35" s="3">
        <v>1423</v>
      </c>
      <c r="F35" s="3" t="s">
        <v>6</v>
      </c>
    </row>
    <row r="36" spans="1:6" x14ac:dyDescent="0.35">
      <c r="A36" s="6" t="s">
        <v>276</v>
      </c>
      <c r="B36" s="6" t="s">
        <v>277</v>
      </c>
      <c r="C36" s="3">
        <v>1890</v>
      </c>
      <c r="D36" s="3" t="s">
        <v>6</v>
      </c>
      <c r="E36" s="3">
        <v>1421</v>
      </c>
      <c r="F36" s="3" t="s">
        <v>6</v>
      </c>
    </row>
    <row r="37" spans="1:6" x14ac:dyDescent="0.35">
      <c r="A37" s="6" t="s">
        <v>276</v>
      </c>
      <c r="B37" s="6" t="s">
        <v>277</v>
      </c>
      <c r="C37" s="3">
        <v>1891</v>
      </c>
      <c r="D37" s="3" t="s">
        <v>6</v>
      </c>
      <c r="E37" s="3">
        <v>1372</v>
      </c>
      <c r="F37" s="3" t="s">
        <v>6</v>
      </c>
    </row>
    <row r="38" spans="1:6" x14ac:dyDescent="0.35">
      <c r="A38" s="6" t="s">
        <v>276</v>
      </c>
      <c r="B38" s="6" t="s">
        <v>277</v>
      </c>
      <c r="C38" s="3">
        <v>1892</v>
      </c>
      <c r="D38" s="3" t="s">
        <v>6</v>
      </c>
      <c r="E38" s="3">
        <v>1468</v>
      </c>
      <c r="F38" s="3" t="s">
        <v>6</v>
      </c>
    </row>
    <row r="39" spans="1:6" x14ac:dyDescent="0.35">
      <c r="A39" s="6" t="s">
        <v>276</v>
      </c>
      <c r="B39" s="6" t="s">
        <v>277</v>
      </c>
      <c r="C39" s="3">
        <v>1893</v>
      </c>
      <c r="D39" s="3" t="s">
        <v>6</v>
      </c>
      <c r="E39" s="3">
        <v>1469</v>
      </c>
      <c r="F39" s="3" t="s">
        <v>6</v>
      </c>
    </row>
    <row r="40" spans="1:6" x14ac:dyDescent="0.35">
      <c r="A40" s="6" t="s">
        <v>276</v>
      </c>
      <c r="B40" s="6" t="s">
        <v>277</v>
      </c>
      <c r="C40" s="3">
        <v>1894</v>
      </c>
      <c r="D40" s="3" t="s">
        <v>6</v>
      </c>
      <c r="E40" s="3">
        <v>1450</v>
      </c>
      <c r="F40" s="3" t="s">
        <v>6</v>
      </c>
    </row>
    <row r="41" spans="1:6" x14ac:dyDescent="0.35">
      <c r="A41" s="6" t="s">
        <v>276</v>
      </c>
      <c r="B41" s="6" t="s">
        <v>277</v>
      </c>
      <c r="C41" s="3">
        <v>1895</v>
      </c>
      <c r="D41" s="3" t="s">
        <v>6</v>
      </c>
      <c r="E41" s="3">
        <v>1342</v>
      </c>
      <c r="F41" s="3" t="s">
        <v>6</v>
      </c>
    </row>
    <row r="42" spans="1:6" x14ac:dyDescent="0.35">
      <c r="A42" s="6" t="s">
        <v>276</v>
      </c>
      <c r="B42" s="6" t="s">
        <v>277</v>
      </c>
      <c r="C42" s="3">
        <v>1896</v>
      </c>
      <c r="D42" s="3" t="s">
        <v>6</v>
      </c>
      <c r="E42" s="3">
        <v>1493</v>
      </c>
      <c r="F42" s="3" t="s">
        <v>6</v>
      </c>
    </row>
    <row r="43" spans="1:6" x14ac:dyDescent="0.35">
      <c r="A43" s="6" t="s">
        <v>276</v>
      </c>
      <c r="B43" s="6" t="s">
        <v>277</v>
      </c>
      <c r="C43" s="3">
        <v>1897</v>
      </c>
      <c r="D43" s="3" t="s">
        <v>6</v>
      </c>
      <c r="E43" s="3">
        <v>1375</v>
      </c>
      <c r="F43" s="3" t="s">
        <v>6</v>
      </c>
    </row>
    <row r="44" spans="1:6" x14ac:dyDescent="0.35">
      <c r="A44" s="6" t="s">
        <v>276</v>
      </c>
      <c r="B44" s="6" t="s">
        <v>277</v>
      </c>
      <c r="C44" s="3">
        <v>1898</v>
      </c>
      <c r="D44" s="3" t="s">
        <v>6</v>
      </c>
      <c r="E44" s="3">
        <v>1450</v>
      </c>
      <c r="F44" s="3" t="s">
        <v>6</v>
      </c>
    </row>
    <row r="45" spans="1:6" x14ac:dyDescent="0.35">
      <c r="A45" s="6" t="s">
        <v>276</v>
      </c>
      <c r="B45" s="6" t="s">
        <v>277</v>
      </c>
      <c r="C45" s="3">
        <v>1899</v>
      </c>
      <c r="D45" s="3" t="s">
        <v>6</v>
      </c>
      <c r="E45" s="3">
        <v>1463</v>
      </c>
      <c r="F45" s="3" t="s">
        <v>6</v>
      </c>
    </row>
    <row r="46" spans="1:6" x14ac:dyDescent="0.35">
      <c r="A46" s="6" t="s">
        <v>276</v>
      </c>
      <c r="B46" s="6" t="s">
        <v>277</v>
      </c>
      <c r="C46" s="3">
        <v>1900</v>
      </c>
      <c r="D46" s="3" t="s">
        <v>6</v>
      </c>
      <c r="E46" s="3">
        <v>1544</v>
      </c>
      <c r="F46" s="3" t="s">
        <v>6</v>
      </c>
    </row>
    <row r="47" spans="1:6" x14ac:dyDescent="0.35">
      <c r="A47" s="6" t="s">
        <v>276</v>
      </c>
      <c r="B47" s="6" t="s">
        <v>277</v>
      </c>
      <c r="C47" s="3">
        <v>1901</v>
      </c>
      <c r="D47" s="3" t="s">
        <v>6</v>
      </c>
      <c r="E47" s="3">
        <v>1547</v>
      </c>
      <c r="F47" s="3" t="s">
        <v>6</v>
      </c>
    </row>
    <row r="48" spans="1:6" x14ac:dyDescent="0.35">
      <c r="A48" s="6" t="s">
        <v>276</v>
      </c>
      <c r="B48" s="6" t="s">
        <v>277</v>
      </c>
      <c r="C48" s="3">
        <v>1902</v>
      </c>
      <c r="D48" s="3" t="s">
        <v>6</v>
      </c>
      <c r="E48" s="3">
        <v>1620</v>
      </c>
      <c r="F48" s="3" t="s">
        <v>6</v>
      </c>
    </row>
    <row r="49" spans="1:6" x14ac:dyDescent="0.35">
      <c r="A49" s="6" t="s">
        <v>276</v>
      </c>
      <c r="B49" s="6" t="s">
        <v>277</v>
      </c>
      <c r="C49" s="3">
        <v>1903</v>
      </c>
      <c r="D49" s="3" t="s">
        <v>6</v>
      </c>
      <c r="E49" s="3">
        <v>1604</v>
      </c>
      <c r="F49" s="3" t="s">
        <v>6</v>
      </c>
    </row>
    <row r="50" spans="1:6" x14ac:dyDescent="0.35">
      <c r="A50" s="6" t="s">
        <v>276</v>
      </c>
      <c r="B50" s="6" t="s">
        <v>277</v>
      </c>
      <c r="C50" s="3">
        <v>1904</v>
      </c>
      <c r="D50" s="3" t="s">
        <v>6</v>
      </c>
      <c r="E50" s="3">
        <v>1603</v>
      </c>
      <c r="F50" s="3" t="s">
        <v>6</v>
      </c>
    </row>
    <row r="51" spans="1:6" x14ac:dyDescent="0.35">
      <c r="A51" s="6" t="s">
        <v>276</v>
      </c>
      <c r="B51" s="6" t="s">
        <v>277</v>
      </c>
      <c r="C51" s="3">
        <v>1905</v>
      </c>
      <c r="D51" s="3" t="s">
        <v>6</v>
      </c>
      <c r="E51" s="3">
        <v>1619</v>
      </c>
      <c r="F51" s="3" t="s">
        <v>6</v>
      </c>
    </row>
    <row r="52" spans="1:6" x14ac:dyDescent="0.35">
      <c r="A52" s="6" t="s">
        <v>276</v>
      </c>
      <c r="B52" s="6" t="s">
        <v>277</v>
      </c>
      <c r="C52" s="3">
        <v>1906</v>
      </c>
      <c r="D52" s="3" t="s">
        <v>6</v>
      </c>
      <c r="E52" s="3">
        <v>1524</v>
      </c>
      <c r="F52" s="3" t="s">
        <v>6</v>
      </c>
    </row>
    <row r="53" spans="1:6" x14ac:dyDescent="0.35">
      <c r="A53" s="6" t="s">
        <v>276</v>
      </c>
      <c r="B53" s="6" t="s">
        <v>277</v>
      </c>
      <c r="C53" s="3">
        <v>1907</v>
      </c>
      <c r="D53" s="3" t="s">
        <v>6</v>
      </c>
      <c r="E53" s="3">
        <v>1676</v>
      </c>
      <c r="F53" s="3" t="s">
        <v>6</v>
      </c>
    </row>
    <row r="54" spans="1:6" x14ac:dyDescent="0.35">
      <c r="A54" s="6" t="s">
        <v>276</v>
      </c>
      <c r="B54" s="6" t="s">
        <v>277</v>
      </c>
      <c r="C54" s="3">
        <v>1908</v>
      </c>
      <c r="D54" s="3" t="s">
        <v>6</v>
      </c>
      <c r="E54" s="3">
        <v>1675</v>
      </c>
      <c r="F54" s="3" t="s">
        <v>6</v>
      </c>
    </row>
    <row r="55" spans="1:6" x14ac:dyDescent="0.35">
      <c r="A55" s="6" t="s">
        <v>276</v>
      </c>
      <c r="B55" s="6" t="s">
        <v>277</v>
      </c>
      <c r="C55" s="3">
        <v>1909</v>
      </c>
      <c r="D55" s="3" t="s">
        <v>6</v>
      </c>
      <c r="E55" s="3">
        <v>1627</v>
      </c>
      <c r="F55" s="3" t="s">
        <v>6</v>
      </c>
    </row>
    <row r="56" spans="1:6" x14ac:dyDescent="0.35">
      <c r="A56" s="6" t="s">
        <v>276</v>
      </c>
      <c r="B56" s="6" t="s">
        <v>277</v>
      </c>
      <c r="C56" s="3">
        <v>1910</v>
      </c>
      <c r="D56" s="3" t="s">
        <v>6</v>
      </c>
      <c r="E56" s="3">
        <v>1541</v>
      </c>
      <c r="F56" s="3" t="s">
        <v>6</v>
      </c>
    </row>
    <row r="57" spans="1:6" x14ac:dyDescent="0.35">
      <c r="A57" s="6" t="s">
        <v>276</v>
      </c>
      <c r="B57" s="6" t="s">
        <v>277</v>
      </c>
      <c r="C57" s="3">
        <v>1911</v>
      </c>
      <c r="D57" s="3" t="s">
        <v>6</v>
      </c>
      <c r="E57" s="3">
        <v>1552</v>
      </c>
      <c r="F57" s="3" t="s">
        <v>6</v>
      </c>
    </row>
    <row r="58" spans="1:6" x14ac:dyDescent="0.35">
      <c r="A58" s="6" t="s">
        <v>276</v>
      </c>
      <c r="B58" s="6" t="s">
        <v>277</v>
      </c>
      <c r="C58" s="3">
        <v>1912</v>
      </c>
      <c r="D58" s="3" t="s">
        <v>6</v>
      </c>
      <c r="E58" s="3">
        <v>1524</v>
      </c>
      <c r="F58" s="3" t="s">
        <v>6</v>
      </c>
    </row>
    <row r="59" spans="1:6" x14ac:dyDescent="0.35">
      <c r="A59" s="6" t="s">
        <v>276</v>
      </c>
      <c r="B59" s="6" t="s">
        <v>277</v>
      </c>
      <c r="C59" s="3">
        <v>1913</v>
      </c>
      <c r="D59" s="3" t="s">
        <v>6</v>
      </c>
      <c r="E59" s="3">
        <v>1527</v>
      </c>
      <c r="F59" s="3" t="s">
        <v>6</v>
      </c>
    </row>
    <row r="60" spans="1:6" x14ac:dyDescent="0.35">
      <c r="A60" s="6" t="s">
        <v>276</v>
      </c>
      <c r="B60" s="6" t="s">
        <v>277</v>
      </c>
      <c r="C60" s="3">
        <v>1914</v>
      </c>
      <c r="D60" s="3" t="s">
        <v>6</v>
      </c>
      <c r="E60" s="3">
        <v>1634</v>
      </c>
      <c r="F60" s="3" t="s">
        <v>6</v>
      </c>
    </row>
    <row r="61" spans="1:6" x14ac:dyDescent="0.35">
      <c r="A61" s="6" t="s">
        <v>276</v>
      </c>
      <c r="B61" s="6" t="s">
        <v>277</v>
      </c>
      <c r="C61" s="3">
        <v>1915</v>
      </c>
      <c r="D61" s="3" t="s">
        <v>6</v>
      </c>
      <c r="E61" s="3">
        <v>1451</v>
      </c>
      <c r="F61" s="3" t="s">
        <v>6</v>
      </c>
    </row>
    <row r="62" spans="1:6" x14ac:dyDescent="0.35">
      <c r="A62" s="6" t="s">
        <v>276</v>
      </c>
      <c r="B62" s="6" t="s">
        <v>277</v>
      </c>
      <c r="C62" s="3">
        <v>1916</v>
      </c>
      <c r="D62" s="3" t="s">
        <v>6</v>
      </c>
      <c r="E62" s="3">
        <v>1419</v>
      </c>
      <c r="F62" s="3" t="s">
        <v>6</v>
      </c>
    </row>
    <row r="63" spans="1:6" x14ac:dyDescent="0.35">
      <c r="A63" s="6" t="s">
        <v>276</v>
      </c>
      <c r="B63" s="6" t="s">
        <v>277</v>
      </c>
      <c r="C63" s="3">
        <v>1917</v>
      </c>
      <c r="D63" s="3" t="s">
        <v>6</v>
      </c>
      <c r="E63" s="3">
        <v>1274</v>
      </c>
      <c r="F63" s="3" t="s">
        <v>6</v>
      </c>
    </row>
    <row r="64" spans="1:6" x14ac:dyDescent="0.35">
      <c r="A64" s="6" t="s">
        <v>276</v>
      </c>
      <c r="B64" s="6" t="s">
        <v>277</v>
      </c>
      <c r="C64" s="3">
        <v>1918</v>
      </c>
      <c r="D64" s="3" t="s">
        <v>6</v>
      </c>
      <c r="E64" s="3">
        <v>1357</v>
      </c>
      <c r="F64" s="3" t="s">
        <v>6</v>
      </c>
    </row>
    <row r="65" spans="1:6" x14ac:dyDescent="0.35">
      <c r="A65" s="6" t="s">
        <v>276</v>
      </c>
      <c r="B65" s="6" t="s">
        <v>277</v>
      </c>
      <c r="C65" s="3">
        <v>1919</v>
      </c>
      <c r="D65" s="3" t="s">
        <v>6</v>
      </c>
      <c r="E65" s="3">
        <v>1584</v>
      </c>
      <c r="F65" s="3" t="s">
        <v>6</v>
      </c>
    </row>
    <row r="66" spans="1:6" x14ac:dyDescent="0.35">
      <c r="A66" s="6" t="s">
        <v>276</v>
      </c>
      <c r="B66" s="6" t="s">
        <v>277</v>
      </c>
      <c r="C66" s="3">
        <v>1920</v>
      </c>
      <c r="D66" s="3" t="s">
        <v>6</v>
      </c>
      <c r="E66" s="3">
        <v>1822</v>
      </c>
      <c r="F66" s="3" t="s">
        <v>6</v>
      </c>
    </row>
    <row r="67" spans="1:6" x14ac:dyDescent="0.35">
      <c r="A67" s="6" t="s">
        <v>276</v>
      </c>
      <c r="B67" s="6" t="s">
        <v>277</v>
      </c>
      <c r="C67" s="3">
        <v>1921</v>
      </c>
      <c r="D67" s="3" t="s">
        <v>6</v>
      </c>
      <c r="E67" s="3">
        <v>1596</v>
      </c>
      <c r="F67" s="3" t="s">
        <v>6</v>
      </c>
    </row>
    <row r="68" spans="1:6" x14ac:dyDescent="0.35">
      <c r="A68" s="6" t="s">
        <v>276</v>
      </c>
      <c r="B68" s="6" t="s">
        <v>277</v>
      </c>
      <c r="C68" s="3">
        <v>1922</v>
      </c>
      <c r="D68" s="3" t="s">
        <v>6</v>
      </c>
      <c r="E68" s="3">
        <v>1498</v>
      </c>
      <c r="F68" s="3" t="s">
        <v>6</v>
      </c>
    </row>
    <row r="69" spans="1:6" x14ac:dyDescent="0.35">
      <c r="A69" s="6" t="s">
        <v>276</v>
      </c>
      <c r="B69" s="6" t="s">
        <v>277</v>
      </c>
      <c r="C69" s="3">
        <v>1923</v>
      </c>
      <c r="D69" s="3" t="s">
        <v>6</v>
      </c>
      <c r="E69" s="3">
        <v>1491</v>
      </c>
      <c r="F69" s="3" t="s">
        <v>6</v>
      </c>
    </row>
    <row r="70" spans="1:6" x14ac:dyDescent="0.35">
      <c r="A70" s="6" t="s">
        <v>276</v>
      </c>
      <c r="B70" s="6" t="s">
        <v>277</v>
      </c>
      <c r="C70" s="3">
        <v>1924</v>
      </c>
      <c r="D70" s="3" t="s">
        <v>6</v>
      </c>
      <c r="E70" s="3">
        <v>1400</v>
      </c>
      <c r="F70" s="3" t="s">
        <v>6</v>
      </c>
    </row>
    <row r="71" spans="1:6" x14ac:dyDescent="0.35">
      <c r="A71" s="6" t="s">
        <v>276</v>
      </c>
      <c r="B71" s="6" t="s">
        <v>277</v>
      </c>
      <c r="C71" s="3">
        <v>1925</v>
      </c>
      <c r="D71" s="3" t="s">
        <v>6</v>
      </c>
      <c r="E71" s="3">
        <v>1309</v>
      </c>
      <c r="F71" s="3" t="s">
        <v>6</v>
      </c>
    </row>
    <row r="72" spans="1:6" x14ac:dyDescent="0.35">
      <c r="A72" s="6" t="s">
        <v>276</v>
      </c>
      <c r="B72" s="6" t="s">
        <v>277</v>
      </c>
      <c r="C72" s="3">
        <v>1926</v>
      </c>
      <c r="D72" s="3" t="s">
        <v>6</v>
      </c>
      <c r="E72" s="3">
        <v>1279</v>
      </c>
      <c r="F72" s="3" t="s">
        <v>6</v>
      </c>
    </row>
    <row r="73" spans="1:6" x14ac:dyDescent="0.35">
      <c r="A73" s="6" t="s">
        <v>276</v>
      </c>
      <c r="B73" s="6" t="s">
        <v>277</v>
      </c>
      <c r="C73" s="3">
        <v>1927</v>
      </c>
      <c r="D73" s="3" t="s">
        <v>6</v>
      </c>
      <c r="E73" s="3">
        <v>1237</v>
      </c>
      <c r="F73" s="3" t="s">
        <v>6</v>
      </c>
    </row>
    <row r="74" spans="1:6" x14ac:dyDescent="0.35">
      <c r="A74" s="6" t="s">
        <v>276</v>
      </c>
      <c r="B74" s="6" t="s">
        <v>277</v>
      </c>
      <c r="C74" s="3">
        <v>1928</v>
      </c>
      <c r="D74" s="3" t="s">
        <v>6</v>
      </c>
      <c r="E74" s="3">
        <v>1201</v>
      </c>
      <c r="F74" s="3" t="s">
        <v>6</v>
      </c>
    </row>
    <row r="75" spans="1:6" x14ac:dyDescent="0.35">
      <c r="A75" s="6" t="s">
        <v>276</v>
      </c>
      <c r="B75" s="6" t="s">
        <v>277</v>
      </c>
      <c r="C75" s="3">
        <v>1929</v>
      </c>
      <c r="D75" s="3" t="s">
        <v>6</v>
      </c>
      <c r="E75" s="3">
        <v>1157</v>
      </c>
      <c r="F75" s="3" t="s">
        <v>6</v>
      </c>
    </row>
    <row r="76" spans="1:6" x14ac:dyDescent="0.35">
      <c r="A76" s="6" t="s">
        <v>276</v>
      </c>
      <c r="B76" s="6" t="s">
        <v>277</v>
      </c>
      <c r="C76" s="3">
        <v>1930</v>
      </c>
      <c r="D76" s="3" t="s">
        <v>6</v>
      </c>
      <c r="E76" s="3">
        <v>1265</v>
      </c>
      <c r="F76" s="3" t="s">
        <v>6</v>
      </c>
    </row>
    <row r="77" spans="1:6" x14ac:dyDescent="0.35">
      <c r="A77" s="6" t="s">
        <v>276</v>
      </c>
      <c r="B77" s="6" t="s">
        <v>277</v>
      </c>
      <c r="C77" s="3">
        <v>1931</v>
      </c>
      <c r="D77" s="3" t="s">
        <v>6</v>
      </c>
      <c r="E77" s="3">
        <v>1117</v>
      </c>
      <c r="F77" s="3" t="s">
        <v>6</v>
      </c>
    </row>
    <row r="78" spans="1:6" x14ac:dyDescent="0.35">
      <c r="A78" s="6" t="s">
        <v>276</v>
      </c>
      <c r="B78" s="6" t="s">
        <v>277</v>
      </c>
      <c r="C78" s="3">
        <v>1932</v>
      </c>
      <c r="D78" s="3" t="s">
        <v>6</v>
      </c>
      <c r="E78" s="3">
        <v>1106</v>
      </c>
      <c r="F78" s="3" t="s">
        <v>6</v>
      </c>
    </row>
    <row r="79" spans="1:6" x14ac:dyDescent="0.35">
      <c r="A79" s="6" t="s">
        <v>276</v>
      </c>
      <c r="B79" s="6" t="s">
        <v>277</v>
      </c>
      <c r="C79" s="3">
        <v>1933</v>
      </c>
      <c r="D79" s="3" t="s">
        <v>6</v>
      </c>
      <c r="E79" s="3">
        <v>1067</v>
      </c>
      <c r="F79" s="3" t="s">
        <v>6</v>
      </c>
    </row>
    <row r="80" spans="1:6" x14ac:dyDescent="0.35">
      <c r="A80" s="6" t="s">
        <v>276</v>
      </c>
      <c r="B80" s="6" t="s">
        <v>277</v>
      </c>
      <c r="C80" s="3">
        <v>1934</v>
      </c>
      <c r="D80" s="3" t="s">
        <v>6</v>
      </c>
      <c r="E80" s="3">
        <v>1034</v>
      </c>
      <c r="F80" s="3" t="s">
        <v>6</v>
      </c>
    </row>
    <row r="81" spans="1:6" x14ac:dyDescent="0.35">
      <c r="A81" s="6" t="s">
        <v>276</v>
      </c>
      <c r="B81" s="6" t="s">
        <v>277</v>
      </c>
      <c r="C81" s="3">
        <v>1935</v>
      </c>
      <c r="D81" s="3" t="s">
        <v>6</v>
      </c>
      <c r="E81" s="3">
        <v>1058</v>
      </c>
      <c r="F81" s="3" t="s">
        <v>6</v>
      </c>
    </row>
    <row r="82" spans="1:6" x14ac:dyDescent="0.35">
      <c r="A82" s="6" t="s">
        <v>276</v>
      </c>
      <c r="B82" s="6" t="s">
        <v>277</v>
      </c>
      <c r="C82" s="3">
        <v>1936</v>
      </c>
      <c r="D82" s="3" t="s">
        <v>6</v>
      </c>
      <c r="E82" s="3">
        <v>1047</v>
      </c>
      <c r="F82" s="3" t="s">
        <v>6</v>
      </c>
    </row>
    <row r="83" spans="1:6" x14ac:dyDescent="0.35">
      <c r="A83" s="6" t="s">
        <v>276</v>
      </c>
      <c r="B83" s="6" t="s">
        <v>277</v>
      </c>
      <c r="C83" s="3">
        <v>1937</v>
      </c>
      <c r="D83" s="3" t="s">
        <v>6</v>
      </c>
      <c r="E83" s="3">
        <v>1035</v>
      </c>
      <c r="F83" s="3" t="s">
        <v>6</v>
      </c>
    </row>
    <row r="84" spans="1:6" x14ac:dyDescent="0.35">
      <c r="A84" s="6" t="s">
        <v>276</v>
      </c>
      <c r="B84" s="6" t="s">
        <v>277</v>
      </c>
      <c r="C84" s="3">
        <v>1938</v>
      </c>
      <c r="D84" s="3" t="s">
        <v>6</v>
      </c>
      <c r="E84" s="3">
        <v>1058</v>
      </c>
      <c r="F84" s="3" t="s">
        <v>6</v>
      </c>
    </row>
    <row r="85" spans="1:6" x14ac:dyDescent="0.35">
      <c r="A85" s="6" t="s">
        <v>276</v>
      </c>
      <c r="B85" s="6" t="s">
        <v>277</v>
      </c>
      <c r="C85" s="3">
        <v>1939</v>
      </c>
      <c r="D85" s="3" t="s">
        <v>6</v>
      </c>
      <c r="E85" s="3">
        <v>1233</v>
      </c>
      <c r="F85" s="3" t="s">
        <v>6</v>
      </c>
    </row>
    <row r="86" spans="1:6" x14ac:dyDescent="0.35">
      <c r="A86" s="6" t="s">
        <v>276</v>
      </c>
      <c r="B86" s="6" t="s">
        <v>277</v>
      </c>
      <c r="C86" s="3">
        <v>1940</v>
      </c>
      <c r="D86" s="3" t="s">
        <v>6</v>
      </c>
      <c r="E86" s="3">
        <v>1206</v>
      </c>
      <c r="F86" s="3" t="s">
        <v>6</v>
      </c>
    </row>
    <row r="87" spans="1:6" x14ac:dyDescent="0.35">
      <c r="A87" s="6" t="s">
        <v>276</v>
      </c>
      <c r="B87" s="6" t="s">
        <v>277</v>
      </c>
      <c r="C87" s="3">
        <v>1941</v>
      </c>
      <c r="D87" s="3" t="s">
        <v>6</v>
      </c>
      <c r="E87" s="3">
        <v>1207</v>
      </c>
      <c r="F87" s="3" t="s">
        <v>6</v>
      </c>
    </row>
    <row r="88" spans="1:6" x14ac:dyDescent="0.35">
      <c r="A88" s="6" t="s">
        <v>276</v>
      </c>
      <c r="B88" s="6" t="s">
        <v>277</v>
      </c>
      <c r="C88" s="3">
        <v>1942</v>
      </c>
      <c r="D88" s="3" t="s">
        <v>6</v>
      </c>
      <c r="E88" s="3">
        <v>1175</v>
      </c>
      <c r="F88" s="3" t="s">
        <v>6</v>
      </c>
    </row>
    <row r="89" spans="1:6" x14ac:dyDescent="0.35">
      <c r="A89" s="6" t="s">
        <v>276</v>
      </c>
      <c r="B89" s="6" t="s">
        <v>277</v>
      </c>
      <c r="C89" s="3">
        <v>1943</v>
      </c>
      <c r="D89" s="3" t="s">
        <v>6</v>
      </c>
      <c r="E89" s="3">
        <v>1299</v>
      </c>
      <c r="F89" s="3" t="s">
        <v>6</v>
      </c>
    </row>
    <row r="90" spans="1:6" x14ac:dyDescent="0.35">
      <c r="A90" s="6" t="s">
        <v>276</v>
      </c>
      <c r="B90" s="6" t="s">
        <v>277</v>
      </c>
      <c r="C90" s="3">
        <v>1944</v>
      </c>
      <c r="D90" s="3" t="s">
        <v>6</v>
      </c>
      <c r="E90" s="3">
        <v>1342</v>
      </c>
      <c r="F90" s="3" t="s">
        <v>6</v>
      </c>
    </row>
    <row r="91" spans="1:6" x14ac:dyDescent="0.35">
      <c r="A91" s="6" t="s">
        <v>276</v>
      </c>
      <c r="B91" s="6" t="s">
        <v>277</v>
      </c>
      <c r="C91" s="3">
        <v>1945</v>
      </c>
      <c r="D91" s="3" t="s">
        <v>6</v>
      </c>
      <c r="E91" s="3">
        <v>1243</v>
      </c>
      <c r="F91" s="3" t="s">
        <v>6</v>
      </c>
    </row>
    <row r="92" spans="1:6" x14ac:dyDescent="0.35">
      <c r="A92" s="6" t="s">
        <v>276</v>
      </c>
      <c r="B92" s="6" t="s">
        <v>277</v>
      </c>
      <c r="C92" s="3">
        <v>1946</v>
      </c>
      <c r="D92" s="3" t="s">
        <v>6</v>
      </c>
      <c r="E92" s="3">
        <v>1474</v>
      </c>
      <c r="F92" s="3" t="s">
        <v>6</v>
      </c>
    </row>
    <row r="93" spans="1:6" x14ac:dyDescent="0.35">
      <c r="A93" s="6" t="s">
        <v>276</v>
      </c>
      <c r="B93" s="6" t="s">
        <v>277</v>
      </c>
      <c r="C93" s="3">
        <v>1947</v>
      </c>
      <c r="D93" s="3" t="s">
        <v>6</v>
      </c>
      <c r="E93" s="3">
        <v>1570</v>
      </c>
      <c r="F93" s="3" t="s">
        <v>6</v>
      </c>
    </row>
    <row r="94" spans="1:6" x14ac:dyDescent="0.35">
      <c r="A94" s="6" t="s">
        <v>276</v>
      </c>
      <c r="B94" s="6" t="s">
        <v>277</v>
      </c>
      <c r="C94" s="3">
        <v>1948</v>
      </c>
      <c r="D94" s="3" t="s">
        <v>6</v>
      </c>
      <c r="E94" s="3">
        <v>1360</v>
      </c>
      <c r="F94" s="3" t="s">
        <v>6</v>
      </c>
    </row>
    <row r="95" spans="1:6" x14ac:dyDescent="0.35">
      <c r="A95" s="6" t="s">
        <v>276</v>
      </c>
      <c r="B95" s="6" t="s">
        <v>277</v>
      </c>
      <c r="C95" s="3">
        <v>1949</v>
      </c>
      <c r="D95" s="3" t="s">
        <v>6</v>
      </c>
      <c r="E95" s="3">
        <v>1331</v>
      </c>
      <c r="F95" s="3" t="s">
        <v>6</v>
      </c>
    </row>
    <row r="96" spans="1:6" x14ac:dyDescent="0.35">
      <c r="A96" s="6" t="s">
        <v>276</v>
      </c>
      <c r="B96" s="6" t="s">
        <v>277</v>
      </c>
      <c r="C96" s="3">
        <v>1950</v>
      </c>
      <c r="D96" s="3" t="s">
        <v>6</v>
      </c>
      <c r="E96" s="3">
        <v>1347</v>
      </c>
      <c r="F96" s="3" t="s">
        <v>6</v>
      </c>
    </row>
    <row r="97" spans="1:6" x14ac:dyDescent="0.35">
      <c r="A97" s="6" t="s">
        <v>276</v>
      </c>
      <c r="B97" s="6" t="s">
        <v>277</v>
      </c>
      <c r="C97" s="3">
        <v>1951</v>
      </c>
      <c r="D97" s="3" t="s">
        <v>6</v>
      </c>
      <c r="E97" s="3">
        <v>1283</v>
      </c>
      <c r="F97" s="3" t="s">
        <v>6</v>
      </c>
    </row>
    <row r="98" spans="1:6" x14ac:dyDescent="0.35">
      <c r="A98" s="6" t="s">
        <v>276</v>
      </c>
      <c r="B98" s="6" t="s">
        <v>277</v>
      </c>
      <c r="C98" s="3">
        <v>1952</v>
      </c>
      <c r="D98" s="3" t="s">
        <v>6</v>
      </c>
      <c r="E98" s="3">
        <v>1277</v>
      </c>
      <c r="F98" s="3" t="s">
        <v>6</v>
      </c>
    </row>
    <row r="99" spans="1:6" x14ac:dyDescent="0.35">
      <c r="A99" s="6" t="s">
        <v>276</v>
      </c>
      <c r="B99" s="6" t="s">
        <v>277</v>
      </c>
      <c r="C99" s="3">
        <v>1953</v>
      </c>
      <c r="D99" s="3" t="s">
        <v>6</v>
      </c>
      <c r="E99" s="3">
        <v>1222</v>
      </c>
      <c r="F99" s="3" t="s">
        <v>6</v>
      </c>
    </row>
    <row r="100" spans="1:6" x14ac:dyDescent="0.35">
      <c r="A100" s="6" t="s">
        <v>276</v>
      </c>
      <c r="B100" s="6" t="s">
        <v>277</v>
      </c>
      <c r="C100" s="3">
        <v>1954</v>
      </c>
      <c r="D100" s="3" t="s">
        <v>6</v>
      </c>
      <c r="E100" s="3">
        <v>1310</v>
      </c>
      <c r="F100" s="3" t="s">
        <v>6</v>
      </c>
    </row>
    <row r="101" spans="1:6" x14ac:dyDescent="0.35">
      <c r="A101" s="6" t="s">
        <v>276</v>
      </c>
      <c r="B101" s="6" t="s">
        <v>277</v>
      </c>
      <c r="C101" s="3">
        <v>1955</v>
      </c>
      <c r="D101" s="3" t="s">
        <v>6</v>
      </c>
      <c r="E101" s="3">
        <v>1269</v>
      </c>
      <c r="F101" s="3" t="s">
        <v>6</v>
      </c>
    </row>
    <row r="102" spans="1:6" x14ac:dyDescent="0.35">
      <c r="A102" s="6" t="s">
        <v>276</v>
      </c>
      <c r="B102" s="6" t="s">
        <v>277</v>
      </c>
      <c r="C102" s="3">
        <v>1956</v>
      </c>
      <c r="D102" s="3" t="s">
        <v>6</v>
      </c>
      <c r="E102" s="3">
        <v>1295</v>
      </c>
      <c r="F102" s="3" t="s">
        <v>6</v>
      </c>
    </row>
    <row r="103" spans="1:6" x14ac:dyDescent="0.35">
      <c r="A103" s="6" t="s">
        <v>276</v>
      </c>
      <c r="B103" s="6" t="s">
        <v>6</v>
      </c>
      <c r="C103" s="3">
        <v>1957</v>
      </c>
      <c r="D103" s="6" t="s">
        <v>6</v>
      </c>
      <c r="E103" s="6" t="s">
        <v>6</v>
      </c>
      <c r="F103" s="6" t="s">
        <v>6</v>
      </c>
    </row>
    <row r="104" spans="1:6" x14ac:dyDescent="0.35">
      <c r="A104" s="6" t="s">
        <v>276</v>
      </c>
      <c r="B104" s="6" t="s">
        <v>6</v>
      </c>
      <c r="C104" s="3">
        <v>1958</v>
      </c>
      <c r="D104" s="6" t="s">
        <v>6</v>
      </c>
      <c r="E104" s="6" t="s">
        <v>6</v>
      </c>
      <c r="F104" s="6" t="s">
        <v>6</v>
      </c>
    </row>
    <row r="105" spans="1:6" x14ac:dyDescent="0.35">
      <c r="A105" s="6" t="s">
        <v>276</v>
      </c>
      <c r="B105" s="6" t="s">
        <v>6</v>
      </c>
      <c r="C105" s="3">
        <v>1959</v>
      </c>
      <c r="D105" s="6" t="s">
        <v>6</v>
      </c>
      <c r="E105" s="6" t="s">
        <v>6</v>
      </c>
      <c r="F105" s="6" t="s">
        <v>6</v>
      </c>
    </row>
    <row r="106" spans="1:6" x14ac:dyDescent="0.35">
      <c r="A106" s="6" t="s">
        <v>276</v>
      </c>
      <c r="B106" s="6" t="s">
        <v>6</v>
      </c>
      <c r="C106" s="3">
        <v>1960</v>
      </c>
      <c r="D106" s="6" t="s">
        <v>6</v>
      </c>
      <c r="E106" s="6" t="s">
        <v>6</v>
      </c>
      <c r="F106" s="6" t="s">
        <v>6</v>
      </c>
    </row>
    <row r="107" spans="1:6" x14ac:dyDescent="0.35">
      <c r="A107" s="6" t="s">
        <v>276</v>
      </c>
      <c r="B107" s="6" t="s">
        <v>6</v>
      </c>
      <c r="C107" s="3">
        <v>1961</v>
      </c>
      <c r="D107" s="6" t="s">
        <v>6</v>
      </c>
      <c r="E107" s="6" t="s">
        <v>6</v>
      </c>
      <c r="F107" s="6" t="s">
        <v>6</v>
      </c>
    </row>
    <row r="108" spans="1:6" x14ac:dyDescent="0.35">
      <c r="A108" s="6" t="s">
        <v>276</v>
      </c>
      <c r="B108" s="6" t="s">
        <v>6</v>
      </c>
      <c r="C108" s="3">
        <v>1962</v>
      </c>
      <c r="D108" s="6" t="s">
        <v>6</v>
      </c>
      <c r="E108" s="6" t="s">
        <v>6</v>
      </c>
      <c r="F108" s="6" t="s">
        <v>6</v>
      </c>
    </row>
    <row r="109" spans="1:6" x14ac:dyDescent="0.35">
      <c r="A109" s="6" t="s">
        <v>276</v>
      </c>
      <c r="B109" s="6" t="s">
        <v>6</v>
      </c>
      <c r="C109" s="3">
        <v>1963</v>
      </c>
      <c r="D109" s="6" t="s">
        <v>6</v>
      </c>
      <c r="E109" s="6" t="s">
        <v>6</v>
      </c>
      <c r="F109" s="6" t="s">
        <v>6</v>
      </c>
    </row>
    <row r="110" spans="1:6" x14ac:dyDescent="0.35">
      <c r="A110" s="6" t="s">
        <v>276</v>
      </c>
      <c r="B110" s="6" t="s">
        <v>6</v>
      </c>
      <c r="C110" s="3">
        <v>1964</v>
      </c>
      <c r="D110" s="6" t="s">
        <v>6</v>
      </c>
      <c r="E110" s="6" t="s">
        <v>6</v>
      </c>
      <c r="F110" s="6" t="s">
        <v>6</v>
      </c>
    </row>
    <row r="111" spans="1:6" x14ac:dyDescent="0.35">
      <c r="A111" s="6" t="s">
        <v>276</v>
      </c>
      <c r="B111" s="6" t="s">
        <v>6</v>
      </c>
      <c r="C111" s="3">
        <v>1965</v>
      </c>
      <c r="D111" s="6" t="s">
        <v>6</v>
      </c>
      <c r="E111" s="6" t="s">
        <v>6</v>
      </c>
      <c r="F111" s="6" t="s">
        <v>6</v>
      </c>
    </row>
    <row r="112" spans="1:6" x14ac:dyDescent="0.35">
      <c r="A112" s="6" t="s">
        <v>276</v>
      </c>
      <c r="B112" s="6" t="s">
        <v>6</v>
      </c>
      <c r="C112" s="3">
        <v>1966</v>
      </c>
      <c r="D112" s="6" t="s">
        <v>6</v>
      </c>
      <c r="E112" s="6" t="s">
        <v>6</v>
      </c>
      <c r="F112" s="6" t="s">
        <v>6</v>
      </c>
    </row>
    <row r="113" spans="1:6" x14ac:dyDescent="0.35">
      <c r="A113" s="6" t="s">
        <v>276</v>
      </c>
      <c r="B113" s="6" t="s">
        <v>6</v>
      </c>
      <c r="C113" s="3">
        <v>1967</v>
      </c>
      <c r="D113" s="6" t="s">
        <v>6</v>
      </c>
      <c r="E113" s="6" t="s">
        <v>6</v>
      </c>
      <c r="F113" s="6" t="s">
        <v>6</v>
      </c>
    </row>
    <row r="114" spans="1:6" x14ac:dyDescent="0.35">
      <c r="A114" s="6" t="s">
        <v>276</v>
      </c>
      <c r="B114" s="6" t="s">
        <v>6</v>
      </c>
      <c r="C114" s="3">
        <v>1968</v>
      </c>
      <c r="D114" s="6" t="s">
        <v>6</v>
      </c>
      <c r="E114" s="6" t="s">
        <v>6</v>
      </c>
      <c r="F114" s="6" t="s">
        <v>6</v>
      </c>
    </row>
    <row r="115" spans="1:6" x14ac:dyDescent="0.35">
      <c r="A115" s="6" t="s">
        <v>276</v>
      </c>
      <c r="B115" s="6" t="s">
        <v>6</v>
      </c>
      <c r="C115" s="3">
        <v>1969</v>
      </c>
      <c r="D115" s="6" t="s">
        <v>6</v>
      </c>
      <c r="E115" s="6" t="s">
        <v>6</v>
      </c>
      <c r="F115" s="6" t="s">
        <v>6</v>
      </c>
    </row>
    <row r="116" spans="1:6" x14ac:dyDescent="0.35">
      <c r="A116" s="6" t="s">
        <v>276</v>
      </c>
      <c r="B116" s="6" t="s">
        <v>6</v>
      </c>
      <c r="C116" s="3">
        <v>1970</v>
      </c>
      <c r="D116" s="6" t="s">
        <v>6</v>
      </c>
      <c r="E116" s="6" t="s">
        <v>6</v>
      </c>
      <c r="F116" s="6" t="s">
        <v>6</v>
      </c>
    </row>
    <row r="117" spans="1:6" x14ac:dyDescent="0.35">
      <c r="A117" s="6" t="s">
        <v>276</v>
      </c>
      <c r="B117" s="6" t="s">
        <v>278</v>
      </c>
      <c r="C117" s="3">
        <v>1971</v>
      </c>
      <c r="D117" s="3" t="s">
        <v>6</v>
      </c>
      <c r="E117" s="3">
        <v>903</v>
      </c>
      <c r="F117" s="3" t="s">
        <v>6</v>
      </c>
    </row>
    <row r="118" spans="1:6" x14ac:dyDescent="0.35">
      <c r="A118" s="6" t="s">
        <v>276</v>
      </c>
      <c r="B118" s="6" t="s">
        <v>278</v>
      </c>
      <c r="C118" s="3">
        <v>1972</v>
      </c>
      <c r="D118" s="3" t="s">
        <v>6</v>
      </c>
      <c r="E118" s="3">
        <v>801</v>
      </c>
      <c r="F118" s="3" t="s">
        <v>6</v>
      </c>
    </row>
    <row r="119" spans="1:6" x14ac:dyDescent="0.35">
      <c r="A119" s="6" t="s">
        <v>276</v>
      </c>
      <c r="B119" s="6" t="s">
        <v>278</v>
      </c>
      <c r="C119" s="3">
        <v>1973</v>
      </c>
      <c r="D119" s="3" t="s">
        <v>6</v>
      </c>
      <c r="E119" s="3">
        <v>747</v>
      </c>
      <c r="F119" s="3" t="s">
        <v>6</v>
      </c>
    </row>
    <row r="120" spans="1:6" x14ac:dyDescent="0.35">
      <c r="A120" s="6" t="s">
        <v>276</v>
      </c>
      <c r="B120" s="6" t="s">
        <v>278</v>
      </c>
      <c r="C120" s="3">
        <v>1974</v>
      </c>
      <c r="D120" s="3" t="s">
        <v>6</v>
      </c>
      <c r="E120" s="3">
        <v>677</v>
      </c>
      <c r="F120" s="3" t="s">
        <v>6</v>
      </c>
    </row>
    <row r="121" spans="1:6" x14ac:dyDescent="0.35">
      <c r="A121" s="6" t="s">
        <v>276</v>
      </c>
      <c r="B121" s="6" t="s">
        <v>278</v>
      </c>
      <c r="C121" s="3">
        <v>1975</v>
      </c>
      <c r="D121" s="3" t="s">
        <v>6</v>
      </c>
      <c r="E121" s="3">
        <v>625</v>
      </c>
      <c r="F121" s="3" t="s">
        <v>6</v>
      </c>
    </row>
    <row r="122" spans="1:6" x14ac:dyDescent="0.35">
      <c r="A122" s="6" t="s">
        <v>276</v>
      </c>
      <c r="B122" s="6" t="s">
        <v>278</v>
      </c>
      <c r="C122" s="3">
        <v>1976</v>
      </c>
      <c r="D122" s="3" t="s">
        <v>6</v>
      </c>
      <c r="E122" s="3">
        <v>595</v>
      </c>
      <c r="F122" s="3" t="s">
        <v>6</v>
      </c>
    </row>
    <row r="123" spans="1:6" x14ac:dyDescent="0.35">
      <c r="A123" s="6" t="s">
        <v>276</v>
      </c>
      <c r="B123" s="6" t="s">
        <v>278</v>
      </c>
      <c r="C123" s="3">
        <v>1977</v>
      </c>
      <c r="D123" s="3" t="s">
        <v>6</v>
      </c>
      <c r="E123" s="3">
        <v>589</v>
      </c>
      <c r="F123" s="3" t="s">
        <v>6</v>
      </c>
    </row>
    <row r="124" spans="1:6" x14ac:dyDescent="0.35">
      <c r="A124" s="6" t="s">
        <v>276</v>
      </c>
      <c r="B124" s="6" t="s">
        <v>278</v>
      </c>
      <c r="C124" s="3">
        <v>1978</v>
      </c>
      <c r="D124" s="3" t="s">
        <v>6</v>
      </c>
      <c r="E124" s="3">
        <v>589</v>
      </c>
      <c r="F124" s="3" t="s">
        <v>6</v>
      </c>
    </row>
    <row r="125" spans="1:6" x14ac:dyDescent="0.35">
      <c r="A125" s="6" t="s">
        <v>276</v>
      </c>
      <c r="B125" s="6" t="s">
        <v>278</v>
      </c>
      <c r="C125" s="3">
        <v>1979</v>
      </c>
      <c r="D125" s="3" t="s">
        <v>6</v>
      </c>
      <c r="E125" s="3">
        <v>638</v>
      </c>
      <c r="F125" s="3" t="s">
        <v>6</v>
      </c>
    </row>
    <row r="126" spans="1:6" x14ac:dyDescent="0.35">
      <c r="A126" s="6" t="s">
        <v>276</v>
      </c>
      <c r="B126" s="6" t="s">
        <v>278</v>
      </c>
      <c r="C126" s="3">
        <v>1980</v>
      </c>
      <c r="D126" s="3" t="s">
        <v>6</v>
      </c>
      <c r="E126" s="3">
        <v>658</v>
      </c>
      <c r="F126" s="3" t="s">
        <v>6</v>
      </c>
    </row>
    <row r="127" spans="1:6" x14ac:dyDescent="0.35">
      <c r="A127" s="6" t="s">
        <v>276</v>
      </c>
      <c r="B127" s="6" t="s">
        <v>278</v>
      </c>
      <c r="C127" s="3">
        <v>1981</v>
      </c>
      <c r="D127" s="3" t="s">
        <v>6</v>
      </c>
      <c r="E127" s="3">
        <v>611</v>
      </c>
      <c r="F127" s="3" t="s">
        <v>6</v>
      </c>
    </row>
    <row r="128" spans="1:6" x14ac:dyDescent="0.35">
      <c r="A128" s="6" t="s">
        <v>276</v>
      </c>
      <c r="B128" s="6" t="s">
        <v>278</v>
      </c>
      <c r="C128" s="3">
        <v>1982</v>
      </c>
      <c r="D128" s="3" t="s">
        <v>6</v>
      </c>
      <c r="E128" s="3">
        <v>603</v>
      </c>
      <c r="F128" s="3" t="s">
        <v>6</v>
      </c>
    </row>
    <row r="129" spans="1:6" x14ac:dyDescent="0.35">
      <c r="A129" s="6" t="s">
        <v>276</v>
      </c>
      <c r="B129" s="6" t="s">
        <v>278</v>
      </c>
      <c r="C129" s="3">
        <v>1983</v>
      </c>
      <c r="D129" s="3" t="s">
        <v>6</v>
      </c>
      <c r="E129" s="3">
        <v>676</v>
      </c>
      <c r="F129" s="3" t="s">
        <v>6</v>
      </c>
    </row>
    <row r="130" spans="1:6" x14ac:dyDescent="0.35">
      <c r="A130" s="6" t="s">
        <v>276</v>
      </c>
      <c r="B130" s="6" t="s">
        <v>278</v>
      </c>
      <c r="C130" s="3">
        <v>1984</v>
      </c>
      <c r="D130" s="3" t="s">
        <v>6</v>
      </c>
      <c r="E130" s="3">
        <v>665</v>
      </c>
      <c r="F130" s="3" t="s">
        <v>6</v>
      </c>
    </row>
    <row r="131" spans="1:6" x14ac:dyDescent="0.35">
      <c r="A131" s="6" t="s">
        <v>276</v>
      </c>
      <c r="B131" s="6" t="s">
        <v>278</v>
      </c>
      <c r="C131" s="3">
        <v>1985</v>
      </c>
      <c r="D131" s="3" t="s">
        <v>6</v>
      </c>
      <c r="E131" s="3">
        <v>682</v>
      </c>
      <c r="F131" s="3" t="s">
        <v>6</v>
      </c>
    </row>
    <row r="132" spans="1:6" x14ac:dyDescent="0.35">
      <c r="A132" s="6" t="s">
        <v>276</v>
      </c>
      <c r="B132" s="6" t="s">
        <v>278</v>
      </c>
      <c r="C132" s="3">
        <v>1986</v>
      </c>
      <c r="D132" s="3" t="s">
        <v>6</v>
      </c>
      <c r="E132" s="3">
        <v>721</v>
      </c>
      <c r="F132" s="3" t="s">
        <v>6</v>
      </c>
    </row>
    <row r="133" spans="1:6" x14ac:dyDescent="0.35">
      <c r="A133" s="6" t="s">
        <v>276</v>
      </c>
      <c r="B133" s="6" t="s">
        <v>278</v>
      </c>
      <c r="C133" s="3">
        <v>1987</v>
      </c>
      <c r="D133" s="3" t="s">
        <v>6</v>
      </c>
      <c r="E133" s="3">
        <v>721</v>
      </c>
      <c r="F133" s="3" t="s">
        <v>6</v>
      </c>
    </row>
    <row r="134" spans="1:6" x14ac:dyDescent="0.35">
      <c r="A134" s="6" t="s">
        <v>276</v>
      </c>
      <c r="B134" s="6" t="s">
        <v>278</v>
      </c>
      <c r="C134" s="3">
        <v>1988</v>
      </c>
      <c r="D134" s="3" t="s">
        <v>6</v>
      </c>
      <c r="E134" s="3">
        <v>706</v>
      </c>
      <c r="F134" s="3" t="s">
        <v>6</v>
      </c>
    </row>
    <row r="135" spans="1:6" x14ac:dyDescent="0.35">
      <c r="A135" s="6" t="s">
        <v>276</v>
      </c>
      <c r="B135" s="6" t="s">
        <v>278</v>
      </c>
      <c r="C135" s="3">
        <v>1989</v>
      </c>
      <c r="D135" s="3" t="s">
        <v>6</v>
      </c>
      <c r="E135" s="3">
        <v>677</v>
      </c>
      <c r="F135" s="3" t="s">
        <v>6</v>
      </c>
    </row>
    <row r="136" spans="1:6" x14ac:dyDescent="0.35">
      <c r="A136" s="6" t="s">
        <v>276</v>
      </c>
      <c r="B136" s="6" t="s">
        <v>278</v>
      </c>
      <c r="C136" s="3">
        <v>1990</v>
      </c>
      <c r="D136" s="3" t="s">
        <v>6</v>
      </c>
      <c r="E136" s="3">
        <v>731</v>
      </c>
      <c r="F136" s="3" t="s">
        <v>6</v>
      </c>
    </row>
    <row r="137" spans="1:6" x14ac:dyDescent="0.35">
      <c r="A137" s="6" t="s">
        <v>276</v>
      </c>
      <c r="B137" s="6" t="s">
        <v>278</v>
      </c>
      <c r="C137" s="3">
        <v>1991</v>
      </c>
      <c r="D137" s="3" t="s">
        <v>6</v>
      </c>
      <c r="E137" s="3">
        <v>709</v>
      </c>
      <c r="F137" s="3" t="s">
        <v>6</v>
      </c>
    </row>
    <row r="138" spans="1:6" x14ac:dyDescent="0.35">
      <c r="A138" s="6" t="s">
        <v>276</v>
      </c>
      <c r="B138" s="6" t="s">
        <v>278</v>
      </c>
      <c r="C138" s="3">
        <v>1992</v>
      </c>
      <c r="D138" s="3" t="s">
        <v>6</v>
      </c>
      <c r="E138" s="3">
        <v>808</v>
      </c>
      <c r="F138" s="3" t="s">
        <v>6</v>
      </c>
    </row>
    <row r="139" spans="1:6" x14ac:dyDescent="0.35">
      <c r="A139" s="6" t="s">
        <v>276</v>
      </c>
      <c r="B139" s="6" t="s">
        <v>278</v>
      </c>
      <c r="C139" s="3">
        <v>1993</v>
      </c>
      <c r="D139" s="3" t="s">
        <v>6</v>
      </c>
      <c r="E139" s="3">
        <v>780</v>
      </c>
      <c r="F139" s="3" t="s">
        <v>6</v>
      </c>
    </row>
    <row r="140" spans="1:6" x14ac:dyDescent="0.35">
      <c r="A140" s="6" t="s">
        <v>276</v>
      </c>
      <c r="B140" s="6" t="s">
        <v>278</v>
      </c>
      <c r="C140" s="3">
        <v>1994</v>
      </c>
      <c r="D140" s="3" t="s">
        <v>6</v>
      </c>
      <c r="E140" s="3">
        <v>778</v>
      </c>
      <c r="F140" s="3" t="s">
        <v>6</v>
      </c>
    </row>
    <row r="141" spans="1:6" x14ac:dyDescent="0.35">
      <c r="A141" s="6" t="s">
        <v>276</v>
      </c>
      <c r="B141" s="6" t="s">
        <v>278</v>
      </c>
      <c r="C141" s="3">
        <v>1995</v>
      </c>
      <c r="D141" s="3" t="s">
        <v>6</v>
      </c>
      <c r="E141" s="3">
        <v>816</v>
      </c>
      <c r="F141" s="3" t="s">
        <v>6</v>
      </c>
    </row>
    <row r="142" spans="1:6" x14ac:dyDescent="0.35">
      <c r="A142" s="6" t="s">
        <v>276</v>
      </c>
      <c r="B142" s="6" t="s">
        <v>278</v>
      </c>
      <c r="C142" s="3">
        <v>1996</v>
      </c>
      <c r="D142" s="3" t="s">
        <v>6</v>
      </c>
      <c r="E142" s="3">
        <v>800</v>
      </c>
      <c r="F142" s="3" t="s">
        <v>6</v>
      </c>
    </row>
    <row r="143" spans="1:6" x14ac:dyDescent="0.35">
      <c r="A143" s="6" t="s">
        <v>276</v>
      </c>
      <c r="B143" s="6" t="s">
        <v>278</v>
      </c>
      <c r="C143" s="3">
        <v>1997</v>
      </c>
      <c r="D143" s="3" t="s">
        <v>6</v>
      </c>
      <c r="E143" s="3">
        <v>791</v>
      </c>
      <c r="F143" s="3" t="s">
        <v>6</v>
      </c>
    </row>
    <row r="144" spans="1:6" x14ac:dyDescent="0.35">
      <c r="A144" s="6" t="s">
        <v>276</v>
      </c>
      <c r="B144" s="6" t="s">
        <v>278</v>
      </c>
      <c r="C144" s="3">
        <v>1998</v>
      </c>
      <c r="D144" s="3" t="s">
        <v>6</v>
      </c>
      <c r="E144" s="3">
        <v>810</v>
      </c>
      <c r="F144" s="3" t="s">
        <v>6</v>
      </c>
    </row>
    <row r="145" spans="1:6" x14ac:dyDescent="0.35">
      <c r="A145" s="6" t="s">
        <v>276</v>
      </c>
      <c r="B145" s="6" t="s">
        <v>278</v>
      </c>
      <c r="C145" s="3">
        <v>1999</v>
      </c>
      <c r="D145" s="3" t="s">
        <v>6</v>
      </c>
      <c r="E145" s="3">
        <v>738</v>
      </c>
      <c r="F145" s="3" t="s">
        <v>6</v>
      </c>
    </row>
    <row r="146" spans="1:6" x14ac:dyDescent="0.35">
      <c r="A146" s="6" t="s">
        <v>276</v>
      </c>
      <c r="B146" s="6" t="s">
        <v>278</v>
      </c>
      <c r="C146" s="3">
        <v>2000</v>
      </c>
      <c r="D146" s="3" t="s">
        <v>6</v>
      </c>
      <c r="E146" s="3">
        <v>737</v>
      </c>
      <c r="F146" s="3" t="s">
        <v>6</v>
      </c>
    </row>
    <row r="147" spans="1:6" x14ac:dyDescent="0.35">
      <c r="A147" s="6" t="s">
        <v>276</v>
      </c>
      <c r="B147" s="6" t="s">
        <v>278</v>
      </c>
      <c r="C147" s="3">
        <v>2001</v>
      </c>
      <c r="D147" s="3" t="s">
        <v>6</v>
      </c>
      <c r="E147" s="3">
        <v>776</v>
      </c>
      <c r="F147" s="3" t="s">
        <v>6</v>
      </c>
    </row>
    <row r="148" spans="1:6" x14ac:dyDescent="0.35">
      <c r="A148" s="6" t="s">
        <v>276</v>
      </c>
      <c r="B148" s="6" t="s">
        <v>278</v>
      </c>
      <c r="C148" s="3">
        <v>2002</v>
      </c>
      <c r="D148" s="3" t="s">
        <v>6</v>
      </c>
      <c r="E148" s="3">
        <v>742</v>
      </c>
      <c r="F148" s="3" t="s">
        <v>6</v>
      </c>
    </row>
    <row r="149" spans="1:6" x14ac:dyDescent="0.35">
      <c r="A149" s="6" t="s">
        <v>276</v>
      </c>
      <c r="B149" s="6" t="s">
        <v>278</v>
      </c>
      <c r="C149" s="3">
        <v>2003</v>
      </c>
      <c r="D149" s="3" t="s">
        <v>6</v>
      </c>
      <c r="E149" s="3">
        <v>810</v>
      </c>
      <c r="F149" s="3" t="s">
        <v>6</v>
      </c>
    </row>
    <row r="150" spans="1:6" x14ac:dyDescent="0.35">
      <c r="A150" s="6" t="s">
        <v>276</v>
      </c>
      <c r="B150" s="6" t="s">
        <v>278</v>
      </c>
      <c r="C150" s="3">
        <v>2004</v>
      </c>
      <c r="D150" s="3" t="s">
        <v>6</v>
      </c>
      <c r="E150" s="3">
        <v>757</v>
      </c>
      <c r="F150" s="3" t="s">
        <v>6</v>
      </c>
    </row>
    <row r="151" spans="1:6" x14ac:dyDescent="0.35">
      <c r="A151" s="6" t="s">
        <v>276</v>
      </c>
      <c r="B151" s="6" t="s">
        <v>278</v>
      </c>
      <c r="C151" s="3">
        <v>2005</v>
      </c>
      <c r="D151" s="3" t="s">
        <v>6</v>
      </c>
      <c r="E151" s="3">
        <v>843</v>
      </c>
      <c r="F151" s="3" t="s">
        <v>6</v>
      </c>
    </row>
    <row r="152" spans="1:6" x14ac:dyDescent="0.35">
      <c r="A152" s="6" t="s">
        <v>276</v>
      </c>
      <c r="B152" s="6" t="s">
        <v>278</v>
      </c>
      <c r="C152" s="3">
        <v>2006</v>
      </c>
      <c r="D152" s="3" t="s">
        <v>6</v>
      </c>
      <c r="E152" s="3">
        <v>858</v>
      </c>
      <c r="F152" s="3" t="s">
        <v>6</v>
      </c>
    </row>
    <row r="153" spans="1:6" x14ac:dyDescent="0.35">
      <c r="A153" s="6" t="s">
        <v>276</v>
      </c>
      <c r="B153" s="6" t="s">
        <v>278</v>
      </c>
      <c r="C153" s="3">
        <v>2007</v>
      </c>
      <c r="D153" s="3" t="s">
        <v>6</v>
      </c>
      <c r="E153" s="3">
        <v>882</v>
      </c>
      <c r="F153" s="3" t="s">
        <v>6</v>
      </c>
    </row>
    <row r="154" spans="1:6" x14ac:dyDescent="0.35">
      <c r="A154" s="6" t="s">
        <v>276</v>
      </c>
      <c r="B154" s="6" t="s">
        <v>278</v>
      </c>
      <c r="C154" s="3">
        <v>2008</v>
      </c>
      <c r="D154" s="3" t="s">
        <v>6</v>
      </c>
      <c r="E154" s="3">
        <v>953</v>
      </c>
      <c r="F154" s="3" t="s">
        <v>6</v>
      </c>
    </row>
    <row r="155" spans="1:6" x14ac:dyDescent="0.35">
      <c r="A155" s="6" t="s">
        <v>276</v>
      </c>
      <c r="B155" s="6" t="s">
        <v>278</v>
      </c>
      <c r="C155" s="3">
        <v>2009</v>
      </c>
      <c r="D155" s="3" t="s">
        <v>6</v>
      </c>
      <c r="E155" s="3">
        <v>922</v>
      </c>
      <c r="F155" s="3" t="s">
        <v>6</v>
      </c>
    </row>
    <row r="156" spans="1:6" x14ac:dyDescent="0.35">
      <c r="A156" s="6" t="s">
        <v>276</v>
      </c>
      <c r="B156" s="6" t="s">
        <v>278</v>
      </c>
      <c r="C156" s="3">
        <v>2010</v>
      </c>
      <c r="D156" s="3" t="s">
        <v>6</v>
      </c>
      <c r="E156" s="3">
        <v>919</v>
      </c>
      <c r="F156" s="3" t="s">
        <v>6</v>
      </c>
    </row>
    <row r="157" spans="1:6" x14ac:dyDescent="0.35">
      <c r="A157" s="6" t="s">
        <v>276</v>
      </c>
      <c r="B157" s="6" t="s">
        <v>278</v>
      </c>
      <c r="C157" s="3">
        <v>2011</v>
      </c>
      <c r="D157" s="3" t="s">
        <v>6</v>
      </c>
      <c r="E157" s="3">
        <v>852</v>
      </c>
      <c r="F157" s="3" t="s">
        <v>6</v>
      </c>
    </row>
    <row r="158" spans="1:6" x14ac:dyDescent="0.35">
      <c r="A158" s="6" t="s">
        <v>276</v>
      </c>
      <c r="B158" s="6" t="s">
        <v>278</v>
      </c>
      <c r="C158" s="3">
        <v>2012</v>
      </c>
      <c r="D158" s="3" t="s">
        <v>6</v>
      </c>
      <c r="E158" s="3">
        <v>866</v>
      </c>
      <c r="F158" s="3" t="s">
        <v>6</v>
      </c>
    </row>
    <row r="159" spans="1:6" x14ac:dyDescent="0.35">
      <c r="A159" s="6" t="s">
        <v>276</v>
      </c>
      <c r="B159" s="6" t="s">
        <v>278</v>
      </c>
      <c r="C159" s="3">
        <v>2013</v>
      </c>
      <c r="D159" s="3" t="s">
        <v>6</v>
      </c>
      <c r="E159" s="3">
        <v>822</v>
      </c>
      <c r="F159" s="3" t="s">
        <v>6</v>
      </c>
    </row>
    <row r="160" spans="1:6" x14ac:dyDescent="0.35">
      <c r="A160" s="6" t="s">
        <v>276</v>
      </c>
      <c r="B160" s="6" t="s">
        <v>278</v>
      </c>
      <c r="C160" s="3">
        <v>2014</v>
      </c>
      <c r="D160" s="3" t="s">
        <v>6</v>
      </c>
      <c r="E160" s="3">
        <v>863</v>
      </c>
      <c r="F160" s="3" t="s">
        <v>6</v>
      </c>
    </row>
    <row r="161" spans="1:6" x14ac:dyDescent="0.35">
      <c r="A161" s="6" t="s">
        <v>276</v>
      </c>
      <c r="B161" s="6" t="s">
        <v>278</v>
      </c>
      <c r="C161" s="3">
        <v>2015</v>
      </c>
      <c r="D161" s="3" t="s">
        <v>6</v>
      </c>
      <c r="E161" s="3">
        <v>803</v>
      </c>
      <c r="F161" s="3" t="s">
        <v>6</v>
      </c>
    </row>
    <row r="162" spans="1:6" x14ac:dyDescent="0.35">
      <c r="A162" s="6" t="s">
        <v>276</v>
      </c>
      <c r="B162" s="6" t="s">
        <v>278</v>
      </c>
      <c r="C162" s="3">
        <v>2016</v>
      </c>
      <c r="D162" s="3" t="s">
        <v>6</v>
      </c>
      <c r="E162" s="3">
        <v>804</v>
      </c>
      <c r="F162" s="3" t="s">
        <v>6</v>
      </c>
    </row>
    <row r="163" spans="1:6" x14ac:dyDescent="0.35">
      <c r="A163" s="6" t="s">
        <v>276</v>
      </c>
      <c r="B163" s="6" t="s">
        <v>278</v>
      </c>
      <c r="C163" s="3">
        <v>2017</v>
      </c>
      <c r="D163" s="3" t="s">
        <v>6</v>
      </c>
      <c r="E163" s="3">
        <v>767</v>
      </c>
      <c r="F163" s="3" t="s">
        <v>6</v>
      </c>
    </row>
    <row r="164" spans="1:6" x14ac:dyDescent="0.35">
      <c r="A164" s="6" t="s">
        <v>276</v>
      </c>
      <c r="B164" s="6" t="s">
        <v>278</v>
      </c>
      <c r="C164" s="3">
        <v>2018</v>
      </c>
      <c r="D164" s="3" t="s">
        <v>6</v>
      </c>
      <c r="E164" s="3">
        <v>753</v>
      </c>
      <c r="F164" s="3" t="s">
        <v>6</v>
      </c>
    </row>
    <row r="165" spans="1:6" x14ac:dyDescent="0.35">
      <c r="A165" s="6" t="s">
        <v>276</v>
      </c>
      <c r="B165" s="6" t="s">
        <v>278</v>
      </c>
      <c r="C165" s="3">
        <v>2019</v>
      </c>
      <c r="D165" s="3" t="s">
        <v>6</v>
      </c>
      <c r="E165" s="3">
        <v>717</v>
      </c>
      <c r="F165" s="3" t="s">
        <v>6</v>
      </c>
    </row>
    <row r="166" spans="1:6" x14ac:dyDescent="0.35">
      <c r="A166" s="4" t="s">
        <v>276</v>
      </c>
      <c r="B166" s="4" t="s">
        <v>278</v>
      </c>
      <c r="C166" s="3">
        <v>2020</v>
      </c>
      <c r="D166" s="4" t="s">
        <v>6</v>
      </c>
      <c r="E166" s="3">
        <v>672</v>
      </c>
      <c r="F166" s="4" t="s">
        <v>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5F7F-0D13-4A75-B027-69D8A4FACE8A}">
  <dimension ref="A1:F407"/>
  <sheetViews>
    <sheetView zoomScale="55" zoomScaleNormal="55" workbookViewId="0">
      <selection sqref="A1:F407"/>
    </sheetView>
  </sheetViews>
  <sheetFormatPr defaultRowHeight="14.5" x14ac:dyDescent="0.35"/>
  <cols>
    <col min="1" max="2" width="11" style="3" customWidth="1"/>
    <col min="3" max="3" width="7.453125" style="3" customWidth="1"/>
    <col min="4" max="4" width="12.7265625" style="3" customWidth="1"/>
    <col min="5" max="5" width="17.54296875" style="3" customWidth="1"/>
    <col min="6" max="6" width="15.90625" style="3" customWidth="1"/>
  </cols>
  <sheetData>
    <row r="1" spans="1:6" ht="26.5" x14ac:dyDescent="0.35">
      <c r="A1" s="15" t="s">
        <v>0</v>
      </c>
      <c r="B1" s="15" t="s">
        <v>1</v>
      </c>
      <c r="C1" s="15" t="s">
        <v>2</v>
      </c>
      <c r="D1" s="15" t="s">
        <v>9</v>
      </c>
      <c r="E1" s="15" t="s">
        <v>7</v>
      </c>
      <c r="F1" s="15" t="s">
        <v>8</v>
      </c>
    </row>
    <row r="2" spans="1:6" x14ac:dyDescent="0.35">
      <c r="A2" s="16" t="s">
        <v>279</v>
      </c>
      <c r="B2" s="16" t="s">
        <v>280</v>
      </c>
      <c r="C2" s="16">
        <v>1775</v>
      </c>
      <c r="D2" s="16" t="s">
        <v>6</v>
      </c>
      <c r="E2" s="16">
        <v>1308</v>
      </c>
      <c r="F2" s="16" t="s">
        <v>6</v>
      </c>
    </row>
    <row r="3" spans="1:6" x14ac:dyDescent="0.35">
      <c r="A3" s="16" t="s">
        <v>279</v>
      </c>
      <c r="B3" s="16" t="s">
        <v>280</v>
      </c>
      <c r="C3" s="16">
        <v>1776</v>
      </c>
      <c r="D3" s="16" t="s">
        <v>6</v>
      </c>
      <c r="E3" s="16">
        <v>1177</v>
      </c>
      <c r="F3" s="16" t="s">
        <v>6</v>
      </c>
    </row>
    <row r="4" spans="1:6" x14ac:dyDescent="0.35">
      <c r="A4" s="16" t="s">
        <v>279</v>
      </c>
      <c r="B4" s="16" t="s">
        <v>280</v>
      </c>
      <c r="C4" s="16">
        <v>1777</v>
      </c>
      <c r="D4" s="16" t="s">
        <v>6</v>
      </c>
      <c r="E4" s="16">
        <v>1175</v>
      </c>
      <c r="F4" s="16" t="s">
        <v>6</v>
      </c>
    </row>
    <row r="5" spans="1:6" x14ac:dyDescent="0.35">
      <c r="A5" s="16" t="s">
        <v>279</v>
      </c>
      <c r="B5" s="16" t="s">
        <v>280</v>
      </c>
      <c r="C5" s="16">
        <v>1778</v>
      </c>
      <c r="D5" s="16" t="s">
        <v>6</v>
      </c>
      <c r="E5" s="16">
        <v>1327</v>
      </c>
      <c r="F5" s="16" t="s">
        <v>6</v>
      </c>
    </row>
    <row r="6" spans="1:6" x14ac:dyDescent="0.35">
      <c r="A6" s="16" t="s">
        <v>279</v>
      </c>
      <c r="B6" s="16" t="s">
        <v>280</v>
      </c>
      <c r="C6" s="16">
        <v>1779</v>
      </c>
      <c r="D6" s="16" t="s">
        <v>6</v>
      </c>
      <c r="E6" s="16">
        <v>1268</v>
      </c>
      <c r="F6" s="16" t="s">
        <v>6</v>
      </c>
    </row>
    <row r="7" spans="1:6" x14ac:dyDescent="0.35">
      <c r="A7" s="16" t="s">
        <v>279</v>
      </c>
      <c r="B7" s="16" t="s">
        <v>280</v>
      </c>
      <c r="C7" s="16">
        <v>1780</v>
      </c>
      <c r="D7" s="16" t="s">
        <v>6</v>
      </c>
      <c r="E7" s="16">
        <v>1266</v>
      </c>
      <c r="F7" s="16" t="s">
        <v>6</v>
      </c>
    </row>
    <row r="8" spans="1:6" x14ac:dyDescent="0.35">
      <c r="A8" s="16" t="s">
        <v>279</v>
      </c>
      <c r="B8" s="16" t="s">
        <v>280</v>
      </c>
      <c r="C8" s="16">
        <v>1781</v>
      </c>
      <c r="D8" s="16" t="s">
        <v>6</v>
      </c>
      <c r="E8" s="16">
        <v>1230</v>
      </c>
      <c r="F8" s="16" t="s">
        <v>6</v>
      </c>
    </row>
    <row r="9" spans="1:6" x14ac:dyDescent="0.35">
      <c r="A9" s="16" t="s">
        <v>279</v>
      </c>
      <c r="B9" s="16" t="s">
        <v>280</v>
      </c>
      <c r="C9" s="16">
        <v>1782</v>
      </c>
      <c r="D9" s="16" t="s">
        <v>6</v>
      </c>
      <c r="E9" s="16">
        <v>1176</v>
      </c>
      <c r="F9" s="16" t="s">
        <v>6</v>
      </c>
    </row>
    <row r="10" spans="1:6" x14ac:dyDescent="0.35">
      <c r="A10" s="16" t="s">
        <v>279</v>
      </c>
      <c r="B10" s="16" t="s">
        <v>280</v>
      </c>
      <c r="C10" s="16">
        <v>1783</v>
      </c>
      <c r="D10" s="16" t="s">
        <v>6</v>
      </c>
      <c r="E10" s="16">
        <v>1102</v>
      </c>
      <c r="F10" s="16" t="s">
        <v>6</v>
      </c>
    </row>
    <row r="11" spans="1:6" x14ac:dyDescent="0.35">
      <c r="A11" s="16" t="s">
        <v>279</v>
      </c>
      <c r="B11" s="16" t="s">
        <v>280</v>
      </c>
      <c r="C11" s="16">
        <v>1784</v>
      </c>
      <c r="D11" s="16" t="s">
        <v>6</v>
      </c>
      <c r="E11" s="16">
        <v>1193</v>
      </c>
      <c r="F11" s="16" t="s">
        <v>6</v>
      </c>
    </row>
    <row r="12" spans="1:6" x14ac:dyDescent="0.35">
      <c r="A12" s="16" t="s">
        <v>279</v>
      </c>
      <c r="B12" s="16" t="s">
        <v>280</v>
      </c>
      <c r="C12" s="16">
        <v>1785</v>
      </c>
      <c r="D12" s="16" t="s">
        <v>6</v>
      </c>
      <c r="E12" s="16">
        <v>1169</v>
      </c>
      <c r="F12" s="16" t="s">
        <v>6</v>
      </c>
    </row>
    <row r="13" spans="1:6" x14ac:dyDescent="0.35">
      <c r="A13" s="16" t="s">
        <v>279</v>
      </c>
      <c r="B13" s="16" t="s">
        <v>280</v>
      </c>
      <c r="C13" s="16">
        <v>1786</v>
      </c>
      <c r="D13" s="16" t="s">
        <v>6</v>
      </c>
      <c r="E13" s="16">
        <v>1297</v>
      </c>
      <c r="F13" s="16" t="s">
        <v>6</v>
      </c>
    </row>
    <row r="14" spans="1:6" x14ac:dyDescent="0.35">
      <c r="A14" s="16" t="s">
        <v>279</v>
      </c>
      <c r="B14" s="16" t="s">
        <v>280</v>
      </c>
      <c r="C14" s="16">
        <v>1787</v>
      </c>
      <c r="D14" s="16" t="s">
        <v>6</v>
      </c>
      <c r="E14" s="16">
        <v>1201</v>
      </c>
      <c r="F14" s="16" t="s">
        <v>6</v>
      </c>
    </row>
    <row r="15" spans="1:6" x14ac:dyDescent="0.35">
      <c r="A15" s="16" t="s">
        <v>279</v>
      </c>
      <c r="B15" s="16" t="s">
        <v>280</v>
      </c>
      <c r="C15" s="16">
        <v>1788</v>
      </c>
      <c r="D15" s="16" t="s">
        <v>6</v>
      </c>
      <c r="E15" s="16">
        <v>1164</v>
      </c>
      <c r="F15" s="16" t="s">
        <v>6</v>
      </c>
    </row>
    <row r="16" spans="1:6" x14ac:dyDescent="0.35">
      <c r="A16" s="16" t="s">
        <v>279</v>
      </c>
      <c r="B16" s="16" t="s">
        <v>280</v>
      </c>
      <c r="C16" s="16">
        <v>1789</v>
      </c>
      <c r="D16" s="16" t="s">
        <v>6</v>
      </c>
      <c r="E16" s="16">
        <v>1221</v>
      </c>
      <c r="F16" s="16" t="s">
        <v>6</v>
      </c>
    </row>
    <row r="17" spans="1:6" x14ac:dyDescent="0.35">
      <c r="A17" s="16" t="s">
        <v>279</v>
      </c>
      <c r="B17" s="16" t="s">
        <v>280</v>
      </c>
      <c r="C17" s="16">
        <v>1790</v>
      </c>
      <c r="D17" s="16" t="s">
        <v>6</v>
      </c>
      <c r="E17" s="16">
        <v>1136</v>
      </c>
      <c r="F17" s="16" t="s">
        <v>6</v>
      </c>
    </row>
    <row r="18" spans="1:6" x14ac:dyDescent="0.35">
      <c r="A18" s="16" t="s">
        <v>279</v>
      </c>
      <c r="B18" s="16" t="s">
        <v>280</v>
      </c>
      <c r="C18" s="16">
        <v>1791</v>
      </c>
      <c r="D18" s="16" t="s">
        <v>6</v>
      </c>
      <c r="E18" s="16">
        <v>1338</v>
      </c>
      <c r="F18" s="16" t="s">
        <v>6</v>
      </c>
    </row>
    <row r="19" spans="1:6" x14ac:dyDescent="0.35">
      <c r="A19" s="16" t="s">
        <v>279</v>
      </c>
      <c r="B19" s="16" t="s">
        <v>280</v>
      </c>
      <c r="C19" s="16">
        <v>1792</v>
      </c>
      <c r="D19" s="16" t="s">
        <v>6</v>
      </c>
      <c r="E19" s="16">
        <v>1444</v>
      </c>
      <c r="F19" s="16" t="s">
        <v>6</v>
      </c>
    </row>
    <row r="20" spans="1:6" x14ac:dyDescent="0.35">
      <c r="A20" s="16" t="s">
        <v>279</v>
      </c>
      <c r="B20" s="16" t="s">
        <v>280</v>
      </c>
      <c r="C20" s="16">
        <v>1793</v>
      </c>
      <c r="D20" s="16" t="s">
        <v>6</v>
      </c>
      <c r="E20" s="16">
        <v>1310</v>
      </c>
      <c r="F20" s="16" t="s">
        <v>6</v>
      </c>
    </row>
    <row r="21" spans="1:6" x14ac:dyDescent="0.35">
      <c r="A21" s="16" t="s">
        <v>279</v>
      </c>
      <c r="B21" s="16" t="s">
        <v>280</v>
      </c>
      <c r="C21" s="16">
        <v>1794</v>
      </c>
      <c r="D21" s="16" t="s">
        <v>6</v>
      </c>
      <c r="E21" s="16">
        <v>1272</v>
      </c>
      <c r="F21" s="16" t="s">
        <v>6</v>
      </c>
    </row>
    <row r="22" spans="1:6" x14ac:dyDescent="0.35">
      <c r="A22" s="16" t="s">
        <v>279</v>
      </c>
      <c r="B22" s="16" t="s">
        <v>280</v>
      </c>
      <c r="C22" s="16">
        <v>1795</v>
      </c>
      <c r="D22" s="16" t="s">
        <v>6</v>
      </c>
      <c r="E22" s="16">
        <v>1266</v>
      </c>
      <c r="F22" s="16" t="s">
        <v>6</v>
      </c>
    </row>
    <row r="23" spans="1:6" x14ac:dyDescent="0.35">
      <c r="A23" s="16" t="s">
        <v>279</v>
      </c>
      <c r="B23" s="16" t="s">
        <v>280</v>
      </c>
      <c r="C23" s="16">
        <v>1796</v>
      </c>
      <c r="D23" s="16" t="s">
        <v>6</v>
      </c>
      <c r="E23" s="16">
        <v>1455</v>
      </c>
      <c r="F23" s="16" t="s">
        <v>6</v>
      </c>
    </row>
    <row r="24" spans="1:6" x14ac:dyDescent="0.35">
      <c r="A24" s="16" t="s">
        <v>279</v>
      </c>
      <c r="B24" s="16" t="s">
        <v>280</v>
      </c>
      <c r="C24" s="16">
        <v>1797</v>
      </c>
      <c r="D24" s="16" t="s">
        <v>6</v>
      </c>
      <c r="E24" s="16">
        <v>1409</v>
      </c>
      <c r="F24" s="16" t="s">
        <v>6</v>
      </c>
    </row>
    <row r="25" spans="1:6" x14ac:dyDescent="0.35">
      <c r="A25" s="16" t="s">
        <v>279</v>
      </c>
      <c r="B25" s="16" t="s">
        <v>280</v>
      </c>
      <c r="C25" s="16">
        <v>1798</v>
      </c>
      <c r="D25" s="16" t="s">
        <v>6</v>
      </c>
      <c r="E25" s="16">
        <v>1265</v>
      </c>
      <c r="F25" s="16" t="s">
        <v>6</v>
      </c>
    </row>
    <row r="26" spans="1:6" x14ac:dyDescent="0.35">
      <c r="A26" s="16" t="s">
        <v>279</v>
      </c>
      <c r="B26" s="16" t="s">
        <v>280</v>
      </c>
      <c r="C26" s="16">
        <v>1799</v>
      </c>
      <c r="D26" s="16" t="s">
        <v>6</v>
      </c>
      <c r="E26" s="16">
        <v>1159</v>
      </c>
      <c r="F26" s="16" t="s">
        <v>6</v>
      </c>
    </row>
    <row r="27" spans="1:6" x14ac:dyDescent="0.35">
      <c r="A27" s="16" t="s">
        <v>279</v>
      </c>
      <c r="B27" s="16" t="s">
        <v>280</v>
      </c>
      <c r="C27" s="16">
        <v>1800</v>
      </c>
      <c r="D27" s="16" t="s">
        <v>6</v>
      </c>
      <c r="E27" s="16">
        <v>1150</v>
      </c>
      <c r="F27" s="16" t="s">
        <v>6</v>
      </c>
    </row>
    <row r="28" spans="1:6" x14ac:dyDescent="0.35">
      <c r="A28" s="16" t="s">
        <v>279</v>
      </c>
      <c r="B28" s="16" t="s">
        <v>280</v>
      </c>
      <c r="C28" s="16">
        <v>1801</v>
      </c>
      <c r="D28" s="16" t="s">
        <v>6</v>
      </c>
      <c r="E28" s="16">
        <v>1258</v>
      </c>
      <c r="F28" s="16" t="s">
        <v>6</v>
      </c>
    </row>
    <row r="29" spans="1:6" x14ac:dyDescent="0.35">
      <c r="A29" s="16" t="s">
        <v>279</v>
      </c>
      <c r="B29" s="16" t="s">
        <v>280</v>
      </c>
      <c r="C29" s="16">
        <v>1802</v>
      </c>
      <c r="D29" s="16" t="s">
        <v>6</v>
      </c>
      <c r="E29" s="16">
        <v>1244</v>
      </c>
      <c r="F29" s="16" t="s">
        <v>6</v>
      </c>
    </row>
    <row r="30" spans="1:6" x14ac:dyDescent="0.35">
      <c r="A30" s="16" t="s">
        <v>279</v>
      </c>
      <c r="B30" s="16" t="s">
        <v>280</v>
      </c>
      <c r="C30" s="16">
        <v>1803</v>
      </c>
      <c r="D30" s="16" t="s">
        <v>6</v>
      </c>
      <c r="E30" s="16">
        <v>1187</v>
      </c>
      <c r="F30" s="16" t="s">
        <v>6</v>
      </c>
    </row>
    <row r="31" spans="1:6" x14ac:dyDescent="0.35">
      <c r="A31" s="16" t="s">
        <v>279</v>
      </c>
      <c r="B31" s="16" t="s">
        <v>280</v>
      </c>
      <c r="C31" s="16">
        <v>1804</v>
      </c>
      <c r="D31" s="16" t="s">
        <v>6</v>
      </c>
      <c r="E31" s="16">
        <v>1250</v>
      </c>
      <c r="F31" s="16" t="s">
        <v>6</v>
      </c>
    </row>
    <row r="32" spans="1:6" x14ac:dyDescent="0.35">
      <c r="A32" s="16" t="s">
        <v>279</v>
      </c>
      <c r="B32" s="16" t="s">
        <v>280</v>
      </c>
      <c r="C32" s="16">
        <v>1805</v>
      </c>
      <c r="D32" s="16" t="s">
        <v>6</v>
      </c>
      <c r="E32" s="16">
        <v>1230</v>
      </c>
      <c r="F32" s="16" t="s">
        <v>6</v>
      </c>
    </row>
    <row r="33" spans="1:6" x14ac:dyDescent="0.35">
      <c r="A33" s="16" t="s">
        <v>279</v>
      </c>
      <c r="B33" s="16" t="s">
        <v>280</v>
      </c>
      <c r="C33" s="16">
        <v>1806</v>
      </c>
      <c r="D33" s="16" t="s">
        <v>6</v>
      </c>
      <c r="E33" s="16">
        <v>1180</v>
      </c>
      <c r="F33" s="16" t="s">
        <v>6</v>
      </c>
    </row>
    <row r="34" spans="1:6" x14ac:dyDescent="0.35">
      <c r="A34" s="16" t="s">
        <v>279</v>
      </c>
      <c r="B34" s="16" t="s">
        <v>280</v>
      </c>
      <c r="C34" s="16">
        <v>1807</v>
      </c>
      <c r="D34" s="16" t="s">
        <v>6</v>
      </c>
      <c r="E34" s="16">
        <v>1216</v>
      </c>
      <c r="F34" s="16" t="s">
        <v>6</v>
      </c>
    </row>
    <row r="35" spans="1:6" x14ac:dyDescent="0.35">
      <c r="A35" s="16" t="s">
        <v>279</v>
      </c>
      <c r="B35" s="16" t="s">
        <v>280</v>
      </c>
      <c r="C35" s="16">
        <v>1808</v>
      </c>
      <c r="D35" s="16" t="s">
        <v>6</v>
      </c>
      <c r="E35" s="16">
        <v>1145</v>
      </c>
      <c r="F35" s="16" t="s">
        <v>6</v>
      </c>
    </row>
    <row r="36" spans="1:6" x14ac:dyDescent="0.35">
      <c r="A36" s="16" t="s">
        <v>279</v>
      </c>
      <c r="B36" s="16" t="s">
        <v>280</v>
      </c>
      <c r="C36" s="16">
        <v>1809</v>
      </c>
      <c r="D36" s="16" t="s">
        <v>6</v>
      </c>
      <c r="E36" s="16">
        <v>1065</v>
      </c>
      <c r="F36" s="16" t="s">
        <v>6</v>
      </c>
    </row>
    <row r="37" spans="1:6" x14ac:dyDescent="0.35">
      <c r="A37" s="16" t="s">
        <v>279</v>
      </c>
      <c r="B37" s="16" t="s">
        <v>280</v>
      </c>
      <c r="C37" s="16">
        <v>1810</v>
      </c>
      <c r="D37" s="16" t="s">
        <v>6</v>
      </c>
      <c r="E37" s="16">
        <v>1314</v>
      </c>
      <c r="F37" s="16" t="s">
        <v>6</v>
      </c>
    </row>
    <row r="38" spans="1:6" x14ac:dyDescent="0.35">
      <c r="A38" s="16" t="s">
        <v>279</v>
      </c>
      <c r="B38" s="16" t="s">
        <v>280</v>
      </c>
      <c r="C38" s="16">
        <v>1811</v>
      </c>
      <c r="D38" s="16" t="s">
        <v>6</v>
      </c>
      <c r="E38" s="16">
        <v>1482</v>
      </c>
      <c r="F38" s="16" t="s">
        <v>6</v>
      </c>
    </row>
    <row r="39" spans="1:6" x14ac:dyDescent="0.35">
      <c r="A39" s="16" t="s">
        <v>279</v>
      </c>
      <c r="B39" s="16" t="s">
        <v>280</v>
      </c>
      <c r="C39" s="16">
        <v>1812</v>
      </c>
      <c r="D39" s="16" t="s">
        <v>6</v>
      </c>
      <c r="E39" s="16">
        <v>1287</v>
      </c>
      <c r="F39" s="16" t="s">
        <v>6</v>
      </c>
    </row>
    <row r="40" spans="1:6" x14ac:dyDescent="0.35">
      <c r="A40" s="16" t="s">
        <v>279</v>
      </c>
      <c r="B40" s="16" t="s">
        <v>280</v>
      </c>
      <c r="C40" s="16">
        <v>1813</v>
      </c>
      <c r="D40" s="16" t="s">
        <v>6</v>
      </c>
      <c r="E40" s="16">
        <v>1152</v>
      </c>
      <c r="F40" s="16" t="s">
        <v>6</v>
      </c>
    </row>
    <row r="41" spans="1:6" x14ac:dyDescent="0.35">
      <c r="A41" s="16" t="s">
        <v>279</v>
      </c>
      <c r="B41" s="16" t="s">
        <v>280</v>
      </c>
      <c r="C41" s="16">
        <v>1814</v>
      </c>
      <c r="D41" s="16" t="s">
        <v>6</v>
      </c>
      <c r="E41" s="16">
        <v>1350</v>
      </c>
      <c r="F41" s="16" t="s">
        <v>6</v>
      </c>
    </row>
    <row r="42" spans="1:6" x14ac:dyDescent="0.35">
      <c r="A42" s="16" t="s">
        <v>279</v>
      </c>
      <c r="B42" s="16" t="s">
        <v>280</v>
      </c>
      <c r="C42" s="16">
        <v>1815</v>
      </c>
      <c r="D42" s="16" t="s">
        <v>6</v>
      </c>
      <c r="E42" s="16">
        <v>1436</v>
      </c>
      <c r="F42" s="16" t="s">
        <v>6</v>
      </c>
    </row>
    <row r="43" spans="1:6" x14ac:dyDescent="0.35">
      <c r="A43" s="16" t="s">
        <v>279</v>
      </c>
      <c r="B43" s="16" t="s">
        <v>280</v>
      </c>
      <c r="C43" s="16">
        <v>1816</v>
      </c>
      <c r="D43" s="16" t="s">
        <v>6</v>
      </c>
      <c r="E43" s="16">
        <v>1433</v>
      </c>
      <c r="F43" s="16" t="s">
        <v>6</v>
      </c>
    </row>
    <row r="44" spans="1:6" x14ac:dyDescent="0.35">
      <c r="A44" s="16" t="s">
        <v>279</v>
      </c>
      <c r="B44" s="16" t="s">
        <v>280</v>
      </c>
      <c r="C44" s="16">
        <v>1817</v>
      </c>
      <c r="D44" s="16" t="s">
        <v>6</v>
      </c>
      <c r="E44" s="16">
        <v>1256</v>
      </c>
      <c r="F44" s="16" t="s">
        <v>6</v>
      </c>
    </row>
    <row r="45" spans="1:6" x14ac:dyDescent="0.35">
      <c r="A45" s="16" t="s">
        <v>279</v>
      </c>
      <c r="B45" s="16" t="s">
        <v>280</v>
      </c>
      <c r="C45" s="16">
        <v>1818</v>
      </c>
      <c r="D45" s="16" t="s">
        <v>6</v>
      </c>
      <c r="E45" s="16">
        <v>1275</v>
      </c>
      <c r="F45" s="16" t="s">
        <v>6</v>
      </c>
    </row>
    <row r="46" spans="1:6" x14ac:dyDescent="0.35">
      <c r="A46" s="16" t="s">
        <v>279</v>
      </c>
      <c r="B46" s="16" t="s">
        <v>280</v>
      </c>
      <c r="C46" s="16">
        <v>1819</v>
      </c>
      <c r="D46" s="16" t="s">
        <v>6</v>
      </c>
      <c r="E46" s="16">
        <v>1310</v>
      </c>
      <c r="F46" s="16" t="s">
        <v>6</v>
      </c>
    </row>
    <row r="47" spans="1:6" x14ac:dyDescent="0.35">
      <c r="A47" s="16" t="s">
        <v>279</v>
      </c>
      <c r="B47" s="16" t="s">
        <v>280</v>
      </c>
      <c r="C47" s="16">
        <v>1820</v>
      </c>
      <c r="D47" s="16" t="s">
        <v>6</v>
      </c>
      <c r="E47" s="16">
        <v>1251</v>
      </c>
      <c r="F47" s="16" t="s">
        <v>6</v>
      </c>
    </row>
    <row r="48" spans="1:6" x14ac:dyDescent="0.35">
      <c r="A48" s="16" t="s">
        <v>279</v>
      </c>
      <c r="B48" s="16" t="s">
        <v>280</v>
      </c>
      <c r="C48" s="16">
        <v>1821</v>
      </c>
      <c r="D48" s="16" t="s">
        <v>6</v>
      </c>
      <c r="E48" s="16">
        <v>1420</v>
      </c>
      <c r="F48" s="16" t="s">
        <v>6</v>
      </c>
    </row>
    <row r="49" spans="1:6" x14ac:dyDescent="0.35">
      <c r="A49" s="16" t="s">
        <v>279</v>
      </c>
      <c r="B49" s="16" t="s">
        <v>280</v>
      </c>
      <c r="C49" s="16">
        <v>1822</v>
      </c>
      <c r="D49" s="16" t="s">
        <v>6</v>
      </c>
      <c r="E49" s="16">
        <v>1456</v>
      </c>
      <c r="F49" s="16" t="s">
        <v>6</v>
      </c>
    </row>
    <row r="50" spans="1:6" x14ac:dyDescent="0.35">
      <c r="A50" s="16" t="s">
        <v>279</v>
      </c>
      <c r="B50" s="16" t="s">
        <v>280</v>
      </c>
      <c r="C50" s="16">
        <v>1823</v>
      </c>
      <c r="D50" s="16" t="s">
        <v>6</v>
      </c>
      <c r="E50" s="16">
        <v>1422</v>
      </c>
      <c r="F50" s="16" t="s">
        <v>6</v>
      </c>
    </row>
    <row r="51" spans="1:6" x14ac:dyDescent="0.35">
      <c r="A51" s="16" t="s">
        <v>279</v>
      </c>
      <c r="B51" s="16" t="s">
        <v>280</v>
      </c>
      <c r="C51" s="16">
        <v>1824</v>
      </c>
      <c r="D51" s="16" t="s">
        <v>6</v>
      </c>
      <c r="E51" s="16">
        <v>1441</v>
      </c>
      <c r="F51" s="16" t="s">
        <v>6</v>
      </c>
    </row>
    <row r="52" spans="1:6" x14ac:dyDescent="0.35">
      <c r="A52" s="16" t="s">
        <v>279</v>
      </c>
      <c r="B52" s="16" t="s">
        <v>280</v>
      </c>
      <c r="C52" s="16">
        <v>1825</v>
      </c>
      <c r="D52" s="16" t="s">
        <v>6</v>
      </c>
      <c r="E52" s="16">
        <v>1409</v>
      </c>
      <c r="F52" s="16" t="s">
        <v>6</v>
      </c>
    </row>
    <row r="53" spans="1:6" x14ac:dyDescent="0.35">
      <c r="A53" s="16" t="s">
        <v>279</v>
      </c>
      <c r="B53" s="16" t="s">
        <v>280</v>
      </c>
      <c r="C53" s="16">
        <v>1826</v>
      </c>
      <c r="D53" s="16" t="s">
        <v>6</v>
      </c>
      <c r="E53" s="16">
        <v>1400</v>
      </c>
      <c r="F53" s="16" t="s">
        <v>6</v>
      </c>
    </row>
    <row r="54" spans="1:6" x14ac:dyDescent="0.35">
      <c r="A54" s="16" t="s">
        <v>279</v>
      </c>
      <c r="B54" s="16" t="s">
        <v>280</v>
      </c>
      <c r="C54" s="16">
        <v>1827</v>
      </c>
      <c r="D54" s="16" t="s">
        <v>6</v>
      </c>
      <c r="E54" s="16">
        <v>1250</v>
      </c>
      <c r="F54" s="16" t="s">
        <v>6</v>
      </c>
    </row>
    <row r="55" spans="1:6" x14ac:dyDescent="0.35">
      <c r="A55" s="16" t="s">
        <v>279</v>
      </c>
      <c r="B55" s="16" t="s">
        <v>280</v>
      </c>
      <c r="C55" s="16">
        <v>1828</v>
      </c>
      <c r="D55" s="16" t="s">
        <v>6</v>
      </c>
      <c r="E55" s="16">
        <v>1469</v>
      </c>
      <c r="F55" s="16" t="s">
        <v>6</v>
      </c>
    </row>
    <row r="56" spans="1:6" x14ac:dyDescent="0.35">
      <c r="A56" s="16" t="s">
        <v>279</v>
      </c>
      <c r="B56" s="16" t="s">
        <v>280</v>
      </c>
      <c r="C56" s="16">
        <v>1829</v>
      </c>
      <c r="D56" s="16" t="s">
        <v>6</v>
      </c>
      <c r="E56" s="16">
        <v>1590</v>
      </c>
      <c r="F56" s="16" t="s">
        <v>6</v>
      </c>
    </row>
    <row r="57" spans="1:6" x14ac:dyDescent="0.35">
      <c r="A57" s="16" t="s">
        <v>279</v>
      </c>
      <c r="B57" s="16" t="s">
        <v>280</v>
      </c>
      <c r="C57" s="16">
        <v>1830</v>
      </c>
      <c r="D57" s="16" t="s">
        <v>6</v>
      </c>
      <c r="E57" s="16">
        <v>1540</v>
      </c>
      <c r="F57" s="16" t="s">
        <v>6</v>
      </c>
    </row>
    <row r="58" spans="1:6" x14ac:dyDescent="0.35">
      <c r="A58" s="16" t="s">
        <v>279</v>
      </c>
      <c r="B58" s="16" t="s">
        <v>280</v>
      </c>
      <c r="C58" s="16">
        <v>1831</v>
      </c>
      <c r="D58" s="16" t="s">
        <v>6</v>
      </c>
      <c r="E58" s="16">
        <v>1332</v>
      </c>
      <c r="F58" s="16" t="s">
        <v>6</v>
      </c>
    </row>
    <row r="59" spans="1:6" x14ac:dyDescent="0.35">
      <c r="A59" s="16" t="s">
        <v>279</v>
      </c>
      <c r="B59" s="16" t="s">
        <v>280</v>
      </c>
      <c r="C59" s="16">
        <v>1832</v>
      </c>
      <c r="D59" s="16" t="s">
        <v>6</v>
      </c>
      <c r="E59" s="16">
        <v>1433</v>
      </c>
      <c r="F59" s="16" t="s">
        <v>6</v>
      </c>
    </row>
    <row r="60" spans="1:6" x14ac:dyDescent="0.35">
      <c r="A60" s="16" t="s">
        <v>279</v>
      </c>
      <c r="B60" s="16" t="s">
        <v>280</v>
      </c>
      <c r="C60" s="16">
        <v>1833</v>
      </c>
      <c r="D60" s="16" t="s">
        <v>6</v>
      </c>
      <c r="E60" s="16">
        <v>1600</v>
      </c>
      <c r="F60" s="16" t="s">
        <v>6</v>
      </c>
    </row>
    <row r="61" spans="1:6" x14ac:dyDescent="0.35">
      <c r="A61" s="16" t="s">
        <v>279</v>
      </c>
      <c r="B61" s="16" t="s">
        <v>280</v>
      </c>
      <c r="C61" s="16">
        <v>1834</v>
      </c>
      <c r="D61" s="16" t="s">
        <v>6</v>
      </c>
      <c r="E61" s="16">
        <v>1585</v>
      </c>
      <c r="F61" s="16" t="s">
        <v>6</v>
      </c>
    </row>
    <row r="62" spans="1:6" x14ac:dyDescent="0.35">
      <c r="A62" s="16" t="s">
        <v>279</v>
      </c>
      <c r="B62" s="16" t="s">
        <v>280</v>
      </c>
      <c r="C62" s="16">
        <v>1835</v>
      </c>
      <c r="D62" s="16" t="s">
        <v>6</v>
      </c>
      <c r="E62" s="16">
        <v>1414</v>
      </c>
      <c r="F62" s="16" t="s">
        <v>6</v>
      </c>
    </row>
    <row r="63" spans="1:6" x14ac:dyDescent="0.35">
      <c r="A63" s="16" t="s">
        <v>279</v>
      </c>
      <c r="B63" s="16" t="s">
        <v>280</v>
      </c>
      <c r="C63" s="16">
        <v>1836</v>
      </c>
      <c r="D63" s="16" t="s">
        <v>6</v>
      </c>
      <c r="E63" s="16">
        <v>1327</v>
      </c>
      <c r="F63" s="16" t="s">
        <v>6</v>
      </c>
    </row>
    <row r="64" spans="1:6" x14ac:dyDescent="0.35">
      <c r="A64" s="16" t="s">
        <v>279</v>
      </c>
      <c r="B64" s="16" t="s">
        <v>280</v>
      </c>
      <c r="C64" s="16">
        <v>1837</v>
      </c>
      <c r="D64" s="16" t="s">
        <v>6</v>
      </c>
      <c r="E64" s="16">
        <v>1370</v>
      </c>
      <c r="F64" s="16" t="s">
        <v>6</v>
      </c>
    </row>
    <row r="65" spans="1:6" x14ac:dyDescent="0.35">
      <c r="A65" s="16" t="s">
        <v>279</v>
      </c>
      <c r="B65" s="16" t="s">
        <v>280</v>
      </c>
      <c r="C65" s="16">
        <v>1838</v>
      </c>
      <c r="D65" s="16" t="s">
        <v>6</v>
      </c>
      <c r="E65" s="16">
        <v>1243</v>
      </c>
      <c r="F65" s="16" t="s">
        <v>6</v>
      </c>
    </row>
    <row r="66" spans="1:6" x14ac:dyDescent="0.35">
      <c r="A66" s="16" t="s">
        <v>279</v>
      </c>
      <c r="B66" s="16" t="s">
        <v>280</v>
      </c>
      <c r="C66" s="16">
        <v>1839</v>
      </c>
      <c r="D66" s="16" t="s">
        <v>6</v>
      </c>
      <c r="E66" s="16">
        <v>1299</v>
      </c>
      <c r="F66" s="16" t="s">
        <v>6</v>
      </c>
    </row>
    <row r="67" spans="1:6" x14ac:dyDescent="0.35">
      <c r="A67" s="16" t="s">
        <v>279</v>
      </c>
      <c r="B67" s="16" t="s">
        <v>280</v>
      </c>
      <c r="C67" s="16">
        <v>1840</v>
      </c>
      <c r="D67" s="16" t="s">
        <v>6</v>
      </c>
      <c r="E67" s="16">
        <v>1407</v>
      </c>
      <c r="F67" s="16" t="s">
        <v>6</v>
      </c>
    </row>
    <row r="68" spans="1:6" x14ac:dyDescent="0.35">
      <c r="A68" s="16" t="s">
        <v>279</v>
      </c>
      <c r="B68" s="16" t="s">
        <v>280</v>
      </c>
      <c r="C68" s="16">
        <v>1841</v>
      </c>
      <c r="D68" s="16" t="s">
        <v>6</v>
      </c>
      <c r="E68" s="16">
        <v>1329</v>
      </c>
      <c r="F68" s="16" t="s">
        <v>6</v>
      </c>
    </row>
    <row r="69" spans="1:6" x14ac:dyDescent="0.35">
      <c r="A69" s="16" t="s">
        <v>279</v>
      </c>
      <c r="B69" s="16" t="s">
        <v>280</v>
      </c>
      <c r="C69" s="16">
        <v>1842</v>
      </c>
      <c r="D69" s="16" t="s">
        <v>6</v>
      </c>
      <c r="E69" s="16">
        <v>1332</v>
      </c>
      <c r="F69" s="16" t="s">
        <v>6</v>
      </c>
    </row>
    <row r="70" spans="1:6" x14ac:dyDescent="0.35">
      <c r="A70" s="16" t="s">
        <v>279</v>
      </c>
      <c r="B70" s="16" t="s">
        <v>280</v>
      </c>
      <c r="C70" s="16">
        <v>1843</v>
      </c>
      <c r="D70" s="16" t="s">
        <v>6</v>
      </c>
      <c r="E70" s="16">
        <v>1341</v>
      </c>
      <c r="F70" s="16" t="s">
        <v>6</v>
      </c>
    </row>
    <row r="71" spans="1:6" x14ac:dyDescent="0.35">
      <c r="A71" s="16" t="s">
        <v>279</v>
      </c>
      <c r="B71" s="16" t="s">
        <v>280</v>
      </c>
      <c r="C71" s="16">
        <v>1844</v>
      </c>
      <c r="D71" s="16" t="s">
        <v>6</v>
      </c>
      <c r="E71" s="16">
        <v>1439</v>
      </c>
      <c r="F71" s="16" t="s">
        <v>6</v>
      </c>
    </row>
    <row r="72" spans="1:6" x14ac:dyDescent="0.35">
      <c r="A72" s="16" t="s">
        <v>279</v>
      </c>
      <c r="B72" s="16" t="s">
        <v>280</v>
      </c>
      <c r="C72" s="16">
        <v>1845</v>
      </c>
      <c r="D72" s="16" t="s">
        <v>6</v>
      </c>
      <c r="E72" s="16">
        <v>1425</v>
      </c>
      <c r="F72" s="16" t="s">
        <v>6</v>
      </c>
    </row>
    <row r="73" spans="1:6" x14ac:dyDescent="0.35">
      <c r="A73" s="16" t="s">
        <v>279</v>
      </c>
      <c r="B73" s="16" t="s">
        <v>280</v>
      </c>
      <c r="C73" s="16">
        <v>1846</v>
      </c>
      <c r="D73" s="16" t="s">
        <v>6</v>
      </c>
      <c r="E73" s="16">
        <v>1348</v>
      </c>
      <c r="F73" s="16" t="s">
        <v>6</v>
      </c>
    </row>
    <row r="74" spans="1:6" x14ac:dyDescent="0.35">
      <c r="A74" s="16" t="s">
        <v>279</v>
      </c>
      <c r="B74" s="16" t="s">
        <v>280</v>
      </c>
      <c r="C74" s="16">
        <v>1847</v>
      </c>
      <c r="D74" s="16" t="s">
        <v>6</v>
      </c>
      <c r="E74" s="16">
        <v>1371</v>
      </c>
      <c r="F74" s="16" t="s">
        <v>6</v>
      </c>
    </row>
    <row r="75" spans="1:6" x14ac:dyDescent="0.35">
      <c r="A75" s="16" t="s">
        <v>279</v>
      </c>
      <c r="B75" s="16" t="s">
        <v>280</v>
      </c>
      <c r="C75" s="16">
        <v>1848</v>
      </c>
      <c r="D75" s="16" t="s">
        <v>6</v>
      </c>
      <c r="E75" s="16">
        <v>1448</v>
      </c>
      <c r="F75" s="16" t="s">
        <v>6</v>
      </c>
    </row>
    <row r="76" spans="1:6" x14ac:dyDescent="0.35">
      <c r="A76" s="16" t="s">
        <v>279</v>
      </c>
      <c r="B76" s="16" t="s">
        <v>280</v>
      </c>
      <c r="C76" s="16">
        <v>1849</v>
      </c>
      <c r="D76" s="16" t="s">
        <v>6</v>
      </c>
      <c r="E76" s="16">
        <v>1618</v>
      </c>
      <c r="F76" s="16" t="s">
        <v>6</v>
      </c>
    </row>
    <row r="77" spans="1:6" x14ac:dyDescent="0.35">
      <c r="A77" s="16" t="s">
        <v>279</v>
      </c>
      <c r="B77" s="16" t="s">
        <v>280</v>
      </c>
      <c r="C77" s="16">
        <v>1850</v>
      </c>
      <c r="D77" s="16" t="s">
        <v>6</v>
      </c>
      <c r="E77" s="16">
        <v>1535</v>
      </c>
      <c r="F77" s="16" t="s">
        <v>6</v>
      </c>
    </row>
    <row r="78" spans="1:6" x14ac:dyDescent="0.35">
      <c r="A78" s="16" t="s">
        <v>279</v>
      </c>
      <c r="B78" s="16" t="s">
        <v>280</v>
      </c>
      <c r="C78" s="16" t="s">
        <v>179</v>
      </c>
      <c r="D78" s="16" t="s">
        <v>6</v>
      </c>
      <c r="E78" s="16">
        <v>1446</v>
      </c>
      <c r="F78" s="16" t="s">
        <v>6</v>
      </c>
    </row>
    <row r="79" spans="1:6" x14ac:dyDescent="0.35">
      <c r="A79" s="16" t="s">
        <v>279</v>
      </c>
      <c r="B79" s="16" t="s">
        <v>280</v>
      </c>
      <c r="C79" s="16" t="s">
        <v>180</v>
      </c>
      <c r="D79" s="16" t="s">
        <v>6</v>
      </c>
      <c r="E79" s="16">
        <v>1446</v>
      </c>
      <c r="F79" s="16" t="s">
        <v>6</v>
      </c>
    </row>
    <row r="80" spans="1:6" x14ac:dyDescent="0.35">
      <c r="A80" s="16" t="s">
        <v>279</v>
      </c>
      <c r="B80" s="16" t="s">
        <v>280</v>
      </c>
      <c r="C80" s="16" t="s">
        <v>181</v>
      </c>
      <c r="D80" s="16" t="s">
        <v>6</v>
      </c>
      <c r="E80" s="16">
        <v>1581</v>
      </c>
      <c r="F80" s="16" t="s">
        <v>6</v>
      </c>
    </row>
    <row r="81" spans="1:6" x14ac:dyDescent="0.35">
      <c r="A81" s="16" t="s">
        <v>279</v>
      </c>
      <c r="B81" s="16" t="s">
        <v>280</v>
      </c>
      <c r="C81" s="16" t="s">
        <v>182</v>
      </c>
      <c r="D81" s="16" t="s">
        <v>6</v>
      </c>
      <c r="E81" s="16">
        <v>1652</v>
      </c>
      <c r="F81" s="16" t="s">
        <v>6</v>
      </c>
    </row>
    <row r="82" spans="1:6" x14ac:dyDescent="0.35">
      <c r="A82" s="16" t="s">
        <v>279</v>
      </c>
      <c r="B82" s="16" t="s">
        <v>280</v>
      </c>
      <c r="C82" s="16" t="s">
        <v>183</v>
      </c>
      <c r="D82" s="16" t="s">
        <v>6</v>
      </c>
      <c r="E82" s="16">
        <v>1663</v>
      </c>
      <c r="F82" s="16" t="s">
        <v>6</v>
      </c>
    </row>
    <row r="83" spans="1:6" x14ac:dyDescent="0.35">
      <c r="A83" s="16" t="s">
        <v>279</v>
      </c>
      <c r="B83" s="16" t="s">
        <v>280</v>
      </c>
      <c r="C83" s="16" t="s">
        <v>184</v>
      </c>
      <c r="D83" s="16" t="s">
        <v>6</v>
      </c>
      <c r="E83" s="16">
        <v>1734</v>
      </c>
      <c r="F83" s="16" t="s">
        <v>6</v>
      </c>
    </row>
    <row r="84" spans="1:6" x14ac:dyDescent="0.35">
      <c r="A84" s="16" t="s">
        <v>279</v>
      </c>
      <c r="B84" s="16" t="s">
        <v>280</v>
      </c>
      <c r="C84" s="16" t="s">
        <v>185</v>
      </c>
      <c r="D84" s="16" t="s">
        <v>6</v>
      </c>
      <c r="E84" s="16">
        <v>1822</v>
      </c>
      <c r="F84" s="16" t="s">
        <v>6</v>
      </c>
    </row>
    <row r="85" spans="1:6" x14ac:dyDescent="0.35">
      <c r="A85" s="16" t="s">
        <v>279</v>
      </c>
      <c r="B85" s="16" t="s">
        <v>280</v>
      </c>
      <c r="C85" s="16" t="s">
        <v>186</v>
      </c>
      <c r="D85" s="16" t="s">
        <v>6</v>
      </c>
      <c r="E85" s="16">
        <v>2024</v>
      </c>
      <c r="F85" s="16" t="s">
        <v>6</v>
      </c>
    </row>
    <row r="86" spans="1:6" x14ac:dyDescent="0.35">
      <c r="A86" s="16" t="s">
        <v>279</v>
      </c>
      <c r="B86" s="16" t="s">
        <v>280</v>
      </c>
      <c r="C86" s="16" t="s">
        <v>187</v>
      </c>
      <c r="D86" s="16" t="s">
        <v>6</v>
      </c>
      <c r="E86" s="16">
        <v>1908</v>
      </c>
      <c r="F86" s="16" t="s">
        <v>6</v>
      </c>
    </row>
    <row r="87" spans="1:6" x14ac:dyDescent="0.35">
      <c r="A87" s="16" t="s">
        <v>279</v>
      </c>
      <c r="B87" s="16" t="s">
        <v>280</v>
      </c>
      <c r="C87" s="16" t="s">
        <v>188</v>
      </c>
      <c r="D87" s="16" t="s">
        <v>6</v>
      </c>
      <c r="E87" s="16">
        <v>1906</v>
      </c>
      <c r="F87" s="16" t="s">
        <v>6</v>
      </c>
    </row>
    <row r="88" spans="1:6" x14ac:dyDescent="0.35">
      <c r="A88" s="16" t="s">
        <v>279</v>
      </c>
      <c r="B88" s="16" t="s">
        <v>280</v>
      </c>
      <c r="C88" s="16" t="s">
        <v>189</v>
      </c>
      <c r="D88" s="16">
        <f>123355+3782</f>
        <v>127137</v>
      </c>
      <c r="E88" s="16" t="s">
        <v>6</v>
      </c>
      <c r="F88" s="16">
        <f>3229+333</f>
        <v>3562</v>
      </c>
    </row>
    <row r="89" spans="1:6" x14ac:dyDescent="0.35">
      <c r="A89" s="16" t="s">
        <v>279</v>
      </c>
      <c r="B89" s="16" t="s">
        <v>280</v>
      </c>
      <c r="C89" s="16" t="s">
        <v>190</v>
      </c>
      <c r="D89" s="16">
        <f>127970+4091</f>
        <v>132061</v>
      </c>
      <c r="E89" s="16" t="s">
        <v>6</v>
      </c>
      <c r="F89" s="16">
        <f>3558+394</f>
        <v>3952</v>
      </c>
    </row>
    <row r="90" spans="1:6" x14ac:dyDescent="0.35">
      <c r="A90" s="16" t="s">
        <v>279</v>
      </c>
      <c r="B90" s="16" t="s">
        <v>280</v>
      </c>
      <c r="C90" s="16" t="s">
        <v>191</v>
      </c>
      <c r="D90" s="16">
        <f>130715+4389</f>
        <v>135104</v>
      </c>
      <c r="E90" s="16" t="s">
        <v>6</v>
      </c>
      <c r="F90" s="16">
        <f>3499+345</f>
        <v>3844</v>
      </c>
    </row>
    <row r="91" spans="1:6" x14ac:dyDescent="0.35">
      <c r="A91" s="16" t="s">
        <v>279</v>
      </c>
      <c r="B91" s="16" t="s">
        <v>280</v>
      </c>
      <c r="C91" s="16" t="s">
        <v>192</v>
      </c>
      <c r="D91" s="16">
        <f>132503+4287</f>
        <v>136790</v>
      </c>
      <c r="E91" s="16" t="s">
        <v>6</v>
      </c>
      <c r="F91" s="16">
        <f>3440+332</f>
        <v>3772</v>
      </c>
    </row>
    <row r="92" spans="1:6" x14ac:dyDescent="0.35">
      <c r="A92" s="16" t="s">
        <v>279</v>
      </c>
      <c r="B92" s="16" t="s">
        <v>280</v>
      </c>
      <c r="C92" s="16" t="s">
        <v>193</v>
      </c>
      <c r="D92" s="16">
        <f>130800+4139</f>
        <v>134939</v>
      </c>
      <c r="E92" s="16" t="s">
        <v>6</v>
      </c>
      <c r="F92" s="16">
        <f>3332+336</f>
        <v>3668</v>
      </c>
    </row>
    <row r="93" spans="1:6" x14ac:dyDescent="0.35">
      <c r="A93" s="16" t="s">
        <v>279</v>
      </c>
      <c r="B93" s="16" t="s">
        <v>280</v>
      </c>
      <c r="C93" s="16" t="s">
        <v>194</v>
      </c>
      <c r="D93" s="16">
        <f>133379+4362</f>
        <v>137741</v>
      </c>
      <c r="E93" s="16" t="s">
        <v>6</v>
      </c>
      <c r="F93" s="16">
        <f>3537+345</f>
        <v>3882</v>
      </c>
    </row>
    <row r="94" spans="1:6" x14ac:dyDescent="0.35">
      <c r="A94" s="16" t="s">
        <v>279</v>
      </c>
      <c r="B94" s="16" t="s">
        <v>280</v>
      </c>
      <c r="C94" s="16" t="s">
        <v>195</v>
      </c>
      <c r="D94" s="16">
        <f>125516+3939</f>
        <v>129455</v>
      </c>
      <c r="E94" s="16" t="s">
        <v>6</v>
      </c>
      <c r="F94" s="16">
        <f>3259+353</f>
        <v>3612</v>
      </c>
    </row>
    <row r="95" spans="1:6" x14ac:dyDescent="0.35">
      <c r="A95" s="16" t="s">
        <v>279</v>
      </c>
      <c r="B95" s="16" t="s">
        <v>280</v>
      </c>
      <c r="C95" s="16" t="s">
        <v>196</v>
      </c>
      <c r="D95" s="16">
        <f>111889+3548</f>
        <v>115437</v>
      </c>
      <c r="E95" s="16" t="s">
        <v>6</v>
      </c>
      <c r="F95" s="16">
        <f>3009+337</f>
        <v>3346</v>
      </c>
    </row>
    <row r="96" spans="1:6" x14ac:dyDescent="0.35">
      <c r="A96" s="16" t="s">
        <v>279</v>
      </c>
      <c r="B96" s="16" t="s">
        <v>280</v>
      </c>
      <c r="C96" s="16" t="s">
        <v>197</v>
      </c>
      <c r="D96" s="16">
        <f>114457+3608</f>
        <v>118065</v>
      </c>
      <c r="E96" s="16" t="s">
        <v>6</v>
      </c>
      <c r="F96" s="16">
        <f>3160+320</f>
        <v>3480</v>
      </c>
    </row>
    <row r="97" spans="1:6" x14ac:dyDescent="0.35">
      <c r="A97" s="16" t="s">
        <v>279</v>
      </c>
      <c r="B97" s="16" t="s">
        <v>280</v>
      </c>
      <c r="C97" s="16" t="s">
        <v>198</v>
      </c>
      <c r="D97" s="16">
        <f>116476+3646</f>
        <v>120122</v>
      </c>
      <c r="E97" s="16" t="s">
        <v>6</v>
      </c>
      <c r="F97" s="16">
        <f>3292+352</f>
        <v>3644</v>
      </c>
    </row>
    <row r="98" spans="1:6" x14ac:dyDescent="0.35">
      <c r="A98" s="16" t="s">
        <v>279</v>
      </c>
      <c r="B98" s="16" t="s">
        <v>280</v>
      </c>
      <c r="C98" s="16" t="s">
        <v>199</v>
      </c>
      <c r="D98" s="16">
        <f>123873+3996</f>
        <v>127869</v>
      </c>
      <c r="E98" s="16" t="s">
        <v>6</v>
      </c>
      <c r="F98" s="16">
        <f>3414+370</f>
        <v>3784</v>
      </c>
    </row>
    <row r="99" spans="1:6" x14ac:dyDescent="0.35">
      <c r="A99" s="16" t="s">
        <v>279</v>
      </c>
      <c r="B99" s="16" t="s">
        <v>280</v>
      </c>
      <c r="C99" s="16" t="s">
        <v>200</v>
      </c>
      <c r="D99" s="16">
        <f>123616+3804</f>
        <v>127420</v>
      </c>
      <c r="E99" s="16" t="s">
        <v>6</v>
      </c>
      <c r="F99" s="16">
        <f>3301+335</f>
        <v>3636</v>
      </c>
    </row>
    <row r="100" spans="1:6" x14ac:dyDescent="0.35">
      <c r="A100" s="16" t="s">
        <v>279</v>
      </c>
      <c r="B100" s="16" t="s">
        <v>280</v>
      </c>
      <c r="C100" s="16" t="s">
        <v>201</v>
      </c>
      <c r="D100" s="16">
        <f>128106+3928</f>
        <v>132034</v>
      </c>
      <c r="E100" s="16" t="s">
        <v>6</v>
      </c>
      <c r="F100" s="16">
        <f>3510+352</f>
        <v>3862</v>
      </c>
    </row>
    <row r="101" spans="1:6" x14ac:dyDescent="0.35">
      <c r="A101" s="16" t="s">
        <v>279</v>
      </c>
      <c r="B101" s="16" t="s">
        <v>280</v>
      </c>
      <c r="C101" s="16" t="s">
        <v>202</v>
      </c>
      <c r="D101" s="16">
        <f>129608+4168</f>
        <v>133776</v>
      </c>
      <c r="E101" s="16" t="s">
        <v>6</v>
      </c>
      <c r="F101" s="16">
        <f>3577+409</f>
        <v>3986</v>
      </c>
    </row>
    <row r="102" spans="1:6" x14ac:dyDescent="0.35">
      <c r="A102" s="16" t="s">
        <v>279</v>
      </c>
      <c r="B102" s="16" t="s">
        <v>280</v>
      </c>
      <c r="C102" s="16" t="s">
        <v>203</v>
      </c>
      <c r="D102" s="16">
        <f>132075+3940</f>
        <v>136015</v>
      </c>
      <c r="E102" s="16" t="s">
        <v>6</v>
      </c>
      <c r="F102" s="16">
        <f>3803+405</f>
        <v>4208</v>
      </c>
    </row>
    <row r="103" spans="1:6" x14ac:dyDescent="0.35">
      <c r="A103" s="16" t="s">
        <v>279</v>
      </c>
      <c r="B103" s="16" t="s">
        <v>280</v>
      </c>
      <c r="C103" s="16" t="s">
        <v>204</v>
      </c>
      <c r="D103" s="16">
        <v>136072</v>
      </c>
      <c r="E103" s="16" t="s">
        <v>6</v>
      </c>
      <c r="F103" s="16">
        <v>4116</v>
      </c>
    </row>
    <row r="104" spans="1:6" x14ac:dyDescent="0.35">
      <c r="A104" s="16" t="s">
        <v>279</v>
      </c>
      <c r="B104" s="16" t="s">
        <v>280</v>
      </c>
      <c r="C104" s="16" t="s">
        <v>205</v>
      </c>
      <c r="D104" s="16">
        <v>138648</v>
      </c>
      <c r="E104" s="16" t="s">
        <v>6</v>
      </c>
      <c r="F104" s="16">
        <v>3980</v>
      </c>
    </row>
    <row r="105" spans="1:6" x14ac:dyDescent="0.35">
      <c r="A105" s="16" t="s">
        <v>279</v>
      </c>
      <c r="B105" s="16" t="s">
        <v>280</v>
      </c>
      <c r="C105" s="16" t="s">
        <v>206</v>
      </c>
      <c r="D105" s="16">
        <v>134419</v>
      </c>
      <c r="E105" s="16" t="s">
        <v>6</v>
      </c>
      <c r="F105" s="16">
        <v>3896</v>
      </c>
    </row>
    <row r="106" spans="1:6" x14ac:dyDescent="0.35">
      <c r="A106" s="16" t="s">
        <v>279</v>
      </c>
      <c r="B106" s="16" t="s">
        <v>280</v>
      </c>
      <c r="C106" s="16" t="s">
        <v>207</v>
      </c>
      <c r="D106" s="16">
        <v>139116</v>
      </c>
      <c r="E106" s="16">
        <v>2031</v>
      </c>
      <c r="F106" s="16">
        <v>4062</v>
      </c>
    </row>
    <row r="107" spans="1:6" x14ac:dyDescent="0.35">
      <c r="A107" s="16" t="s">
        <v>279</v>
      </c>
      <c r="B107" s="16" t="s">
        <v>280</v>
      </c>
      <c r="C107" s="16" t="s">
        <v>208</v>
      </c>
      <c r="D107" s="16">
        <v>134576</v>
      </c>
      <c r="E107" s="16">
        <v>1826</v>
      </c>
      <c r="F107" s="16">
        <v>3652</v>
      </c>
    </row>
    <row r="108" spans="1:6" x14ac:dyDescent="0.35">
      <c r="A108" s="16" t="s">
        <v>279</v>
      </c>
      <c r="B108" s="16" t="s">
        <v>280</v>
      </c>
      <c r="C108" s="16" t="s">
        <v>209</v>
      </c>
      <c r="D108" s="16">
        <v>132585</v>
      </c>
      <c r="E108" s="16">
        <v>2000</v>
      </c>
      <c r="F108" s="16">
        <v>4000</v>
      </c>
    </row>
    <row r="109" spans="1:6" x14ac:dyDescent="0.35">
      <c r="A109" s="16" t="s">
        <v>279</v>
      </c>
      <c r="B109" s="16" t="s">
        <v>280</v>
      </c>
      <c r="C109" s="16" t="s">
        <v>210</v>
      </c>
      <c r="D109" s="16">
        <v>134202</v>
      </c>
      <c r="E109" s="16">
        <v>1890</v>
      </c>
      <c r="F109" s="16">
        <v>3780</v>
      </c>
    </row>
    <row r="110" spans="1:6" x14ac:dyDescent="0.35">
      <c r="A110" s="16" t="s">
        <v>279</v>
      </c>
      <c r="B110" s="16" t="s">
        <v>280</v>
      </c>
      <c r="C110" s="16" t="s">
        <v>211</v>
      </c>
      <c r="D110" s="16">
        <v>132649</v>
      </c>
      <c r="E110" s="16">
        <v>1931</v>
      </c>
      <c r="F110" s="16">
        <v>3862</v>
      </c>
    </row>
    <row r="111" spans="1:6" x14ac:dyDescent="0.35">
      <c r="A111" s="16" t="s">
        <v>279</v>
      </c>
      <c r="B111" s="16" t="s">
        <v>280</v>
      </c>
      <c r="C111" s="16" t="s">
        <v>212</v>
      </c>
      <c r="D111" s="16">
        <v>138408</v>
      </c>
      <c r="E111" s="16">
        <v>2038</v>
      </c>
      <c r="F111" s="16">
        <v>4076</v>
      </c>
    </row>
    <row r="112" spans="1:6" x14ac:dyDescent="0.35">
      <c r="A112" s="16" t="s">
        <v>279</v>
      </c>
      <c r="B112" s="16" t="s">
        <v>280</v>
      </c>
      <c r="C112" s="16" t="s">
        <v>213</v>
      </c>
      <c r="D112" s="16">
        <v>137364</v>
      </c>
      <c r="E112" s="16">
        <v>1940</v>
      </c>
      <c r="F112" s="16">
        <v>3880</v>
      </c>
    </row>
    <row r="113" spans="1:6" x14ac:dyDescent="0.35">
      <c r="A113" s="16" t="s">
        <v>279</v>
      </c>
      <c r="B113" s="16" t="s">
        <v>280</v>
      </c>
      <c r="C113" s="16" t="s">
        <v>214</v>
      </c>
      <c r="D113" s="16">
        <v>139973</v>
      </c>
      <c r="E113" s="16">
        <v>1893</v>
      </c>
      <c r="F113" s="16">
        <v>3786</v>
      </c>
    </row>
    <row r="114" spans="1:6" x14ac:dyDescent="0.35">
      <c r="A114" s="16" t="s">
        <v>279</v>
      </c>
      <c r="B114" s="16" t="s">
        <v>280</v>
      </c>
      <c r="C114" s="16" t="s">
        <v>215</v>
      </c>
      <c r="D114" s="16">
        <v>139800</v>
      </c>
      <c r="E114" s="16">
        <v>2076</v>
      </c>
      <c r="F114" s="16">
        <v>4152</v>
      </c>
    </row>
    <row r="115" spans="1:6" x14ac:dyDescent="0.35">
      <c r="A115" s="16" t="s">
        <v>279</v>
      </c>
      <c r="B115" s="16" t="s">
        <v>280</v>
      </c>
      <c r="C115" s="16" t="s">
        <v>216</v>
      </c>
      <c r="D115" s="16">
        <v>136430</v>
      </c>
      <c r="E115" s="16">
        <v>1860</v>
      </c>
      <c r="F115" s="16">
        <v>3720</v>
      </c>
    </row>
    <row r="116" spans="1:6" x14ac:dyDescent="0.35">
      <c r="A116" s="16" t="s">
        <v>279</v>
      </c>
      <c r="B116" s="16" t="s">
        <v>280</v>
      </c>
      <c r="C116" s="16" t="s">
        <v>217</v>
      </c>
      <c r="D116" s="16">
        <v>131774</v>
      </c>
      <c r="E116" s="16">
        <v>1873</v>
      </c>
      <c r="F116" s="16">
        <v>3746</v>
      </c>
    </row>
    <row r="117" spans="1:6" x14ac:dyDescent="0.35">
      <c r="A117" s="16" t="s">
        <v>279</v>
      </c>
      <c r="B117" s="16" t="s">
        <v>280</v>
      </c>
      <c r="C117" s="16" t="s">
        <v>218</v>
      </c>
      <c r="D117" s="16">
        <v>133365</v>
      </c>
      <c r="E117" s="16">
        <v>1854</v>
      </c>
      <c r="F117" s="16">
        <v>3708</v>
      </c>
    </row>
    <row r="118" spans="1:6" x14ac:dyDescent="0.35">
      <c r="A118" s="16" t="s">
        <v>279</v>
      </c>
      <c r="B118" s="16" t="s">
        <v>280</v>
      </c>
      <c r="C118" s="16" t="s">
        <v>219</v>
      </c>
      <c r="D118" s="16">
        <v>135265</v>
      </c>
      <c r="E118" s="16">
        <v>1876</v>
      </c>
      <c r="F118" s="16">
        <v>3752</v>
      </c>
    </row>
    <row r="119" spans="1:6" x14ac:dyDescent="0.35">
      <c r="A119" s="16" t="s">
        <v>279</v>
      </c>
      <c r="B119" s="16" t="s">
        <v>280</v>
      </c>
      <c r="C119" s="16" t="s">
        <v>220</v>
      </c>
      <c r="D119" s="16">
        <v>129271</v>
      </c>
      <c r="E119" s="16">
        <v>1824</v>
      </c>
      <c r="F119" s="16">
        <f>3648</f>
        <v>3648</v>
      </c>
    </row>
    <row r="120" spans="1:6" x14ac:dyDescent="0.35">
      <c r="A120" s="16" t="s">
        <v>279</v>
      </c>
      <c r="B120" s="16" t="s">
        <v>280</v>
      </c>
      <c r="C120" s="16" t="s">
        <v>221</v>
      </c>
      <c r="D120" s="16">
        <v>131442</v>
      </c>
      <c r="E120" s="16">
        <v>1842</v>
      </c>
      <c r="F120" s="16">
        <v>3684</v>
      </c>
    </row>
    <row r="121" spans="1:6" x14ac:dyDescent="0.35">
      <c r="A121" s="16" t="s">
        <v>279</v>
      </c>
      <c r="B121" s="16" t="s">
        <v>280</v>
      </c>
      <c r="C121" s="16" t="s">
        <v>222</v>
      </c>
      <c r="D121" s="16">
        <v>130998</v>
      </c>
      <c r="E121" s="16">
        <v>1898</v>
      </c>
      <c r="F121" s="16">
        <v>3796</v>
      </c>
    </row>
    <row r="122" spans="1:6" x14ac:dyDescent="0.35">
      <c r="A122" s="16" t="s">
        <v>279</v>
      </c>
      <c r="B122" s="16" t="s">
        <v>280</v>
      </c>
      <c r="C122" s="16" t="s">
        <v>223</v>
      </c>
      <c r="D122" s="16">
        <v>133996</v>
      </c>
      <c r="E122" s="16">
        <v>2021</v>
      </c>
      <c r="F122" s="16">
        <v>4042</v>
      </c>
    </row>
    <row r="123" spans="1:6" x14ac:dyDescent="0.35">
      <c r="A123" s="16" t="s">
        <v>279</v>
      </c>
      <c r="B123" s="16" t="s">
        <v>280</v>
      </c>
      <c r="C123" s="16" t="s">
        <v>224</v>
      </c>
      <c r="D123" s="16">
        <v>134086</v>
      </c>
      <c r="E123" s="16">
        <v>1851</v>
      </c>
      <c r="F123" s="16">
        <v>3702</v>
      </c>
    </row>
    <row r="124" spans="1:6" x14ac:dyDescent="0.35">
      <c r="A124" s="16" t="s">
        <v>279</v>
      </c>
      <c r="B124" s="16" t="s">
        <v>280</v>
      </c>
      <c r="C124" s="16" t="s">
        <v>225</v>
      </c>
      <c r="D124" s="16">
        <v>132726</v>
      </c>
      <c r="E124" s="16">
        <v>1959</v>
      </c>
      <c r="F124" s="16">
        <v>3918</v>
      </c>
    </row>
    <row r="125" spans="1:6" x14ac:dyDescent="0.35">
      <c r="A125" s="16" t="s">
        <v>279</v>
      </c>
      <c r="B125" s="16" t="s">
        <v>280</v>
      </c>
      <c r="C125" s="16" t="s">
        <v>226</v>
      </c>
      <c r="D125" s="16">
        <v>135978</v>
      </c>
      <c r="E125" s="16">
        <v>2083</v>
      </c>
      <c r="F125" s="16">
        <v>4166</v>
      </c>
    </row>
    <row r="126" spans="1:6" x14ac:dyDescent="0.35">
      <c r="A126" s="16" t="s">
        <v>279</v>
      </c>
      <c r="B126" s="16" t="s">
        <v>280</v>
      </c>
      <c r="C126" s="16">
        <v>1899</v>
      </c>
      <c r="D126" s="16">
        <v>133269</v>
      </c>
      <c r="E126" s="16">
        <v>2034</v>
      </c>
      <c r="F126" s="16">
        <v>4068</v>
      </c>
    </row>
    <row r="127" spans="1:6" x14ac:dyDescent="0.35">
      <c r="A127" s="16" t="s">
        <v>279</v>
      </c>
      <c r="B127" s="16" t="s">
        <v>280</v>
      </c>
      <c r="C127" s="16" t="s">
        <v>228</v>
      </c>
      <c r="D127" s="16">
        <v>137532</v>
      </c>
      <c r="E127" s="16">
        <v>2043</v>
      </c>
      <c r="F127" s="16">
        <v>4086</v>
      </c>
    </row>
    <row r="128" spans="1:6" x14ac:dyDescent="0.35">
      <c r="A128" s="16" t="s">
        <v>279</v>
      </c>
      <c r="B128" s="16" t="s">
        <v>280</v>
      </c>
      <c r="C128" s="16" t="s">
        <v>229</v>
      </c>
      <c r="D128" s="16">
        <v>138545</v>
      </c>
      <c r="E128" s="16">
        <v>2196</v>
      </c>
      <c r="F128" s="16">
        <v>4392</v>
      </c>
    </row>
    <row r="129" spans="1:6" x14ac:dyDescent="0.35">
      <c r="A129" s="16" t="s">
        <v>279</v>
      </c>
      <c r="B129" s="16" t="s">
        <v>280</v>
      </c>
      <c r="C129" s="16" t="s">
        <v>230</v>
      </c>
      <c r="D129" s="16">
        <v>136708</v>
      </c>
      <c r="E129" s="16">
        <v>2047</v>
      </c>
      <c r="F129" s="16">
        <v>4094</v>
      </c>
    </row>
    <row r="130" spans="1:6" x14ac:dyDescent="0.35">
      <c r="A130" s="16" t="s">
        <v>279</v>
      </c>
      <c r="B130" s="16" t="s">
        <v>280</v>
      </c>
      <c r="C130" s="16" t="s">
        <v>231</v>
      </c>
      <c r="D130" s="16">
        <v>133400</v>
      </c>
      <c r="E130" s="16">
        <v>1943</v>
      </c>
      <c r="F130" s="16">
        <v>3886</v>
      </c>
    </row>
    <row r="131" spans="1:6" x14ac:dyDescent="0.35">
      <c r="A131" s="16" t="s">
        <v>279</v>
      </c>
      <c r="B131" s="16" t="s">
        <v>280</v>
      </c>
      <c r="C131" s="16" t="s">
        <v>232</v>
      </c>
      <c r="D131" s="16">
        <v>134285</v>
      </c>
      <c r="E131" s="16">
        <v>2074</v>
      </c>
      <c r="F131" s="16">
        <v>4148</v>
      </c>
    </row>
    <row r="132" spans="1:6" x14ac:dyDescent="0.35">
      <c r="A132" s="16" t="s">
        <v>279</v>
      </c>
      <c r="B132" s="16" t="s">
        <v>280</v>
      </c>
      <c r="C132" s="16" t="s">
        <v>233</v>
      </c>
      <c r="D132" s="16">
        <v>134778</v>
      </c>
      <c r="E132" s="16">
        <v>1995</v>
      </c>
      <c r="F132" s="16">
        <v>3990</v>
      </c>
    </row>
    <row r="133" spans="1:6" x14ac:dyDescent="0.35">
      <c r="A133" s="16" t="s">
        <v>279</v>
      </c>
      <c r="B133" s="16" t="s">
        <v>280</v>
      </c>
      <c r="C133" s="16" t="s">
        <v>234</v>
      </c>
      <c r="D133" s="16">
        <v>136005</v>
      </c>
      <c r="E133" s="16">
        <v>1993</v>
      </c>
      <c r="F133" s="16">
        <v>3986</v>
      </c>
    </row>
    <row r="134" spans="1:6" x14ac:dyDescent="0.35">
      <c r="A134" s="16" t="s">
        <v>279</v>
      </c>
      <c r="B134" s="16" t="s">
        <v>280</v>
      </c>
      <c r="C134" s="16" t="s">
        <v>235</v>
      </c>
      <c r="D134" s="16">
        <v>136023</v>
      </c>
      <c r="E134" s="16">
        <v>2122</v>
      </c>
      <c r="F134" s="16">
        <v>4244</v>
      </c>
    </row>
    <row r="135" spans="1:6" x14ac:dyDescent="0.35">
      <c r="A135" s="16" t="s">
        <v>279</v>
      </c>
      <c r="B135" s="16" t="s">
        <v>280</v>
      </c>
      <c r="C135" s="16" t="s">
        <v>236</v>
      </c>
      <c r="D135" s="16">
        <v>138032</v>
      </c>
      <c r="E135" s="16">
        <v>2101</v>
      </c>
      <c r="F135" s="16">
        <v>4202</v>
      </c>
    </row>
    <row r="136" spans="1:6" x14ac:dyDescent="0.35">
      <c r="A136" s="16" t="s">
        <v>279</v>
      </c>
      <c r="B136" s="16" t="s">
        <v>280</v>
      </c>
      <c r="C136" s="16" t="s">
        <v>237</v>
      </c>
      <c r="D136" s="16">
        <v>138780</v>
      </c>
      <c r="E136" s="16">
        <v>2072</v>
      </c>
      <c r="F136" s="16">
        <v>4144</v>
      </c>
    </row>
    <row r="137" spans="1:6" x14ac:dyDescent="0.35">
      <c r="A137" s="16" t="s">
        <v>279</v>
      </c>
      <c r="B137" s="16" t="s">
        <v>280</v>
      </c>
      <c r="C137" s="16" t="s">
        <v>238</v>
      </c>
      <c r="D137" s="16">
        <v>134962</v>
      </c>
      <c r="E137" s="16">
        <v>1965</v>
      </c>
      <c r="F137" s="16">
        <v>3930</v>
      </c>
    </row>
    <row r="138" spans="1:6" x14ac:dyDescent="0.35">
      <c r="A138" s="16" t="s">
        <v>279</v>
      </c>
      <c r="B138" s="16" t="s">
        <v>280</v>
      </c>
      <c r="C138" s="16" t="s">
        <v>239</v>
      </c>
      <c r="D138" s="16">
        <v>132410</v>
      </c>
      <c r="E138" s="16" t="s">
        <v>6</v>
      </c>
      <c r="F138" s="16">
        <v>3874</v>
      </c>
    </row>
    <row r="139" spans="1:6" x14ac:dyDescent="0.35">
      <c r="A139" s="16" t="s">
        <v>279</v>
      </c>
      <c r="B139" s="16" t="s">
        <v>280</v>
      </c>
      <c r="C139" s="16" t="s">
        <v>240</v>
      </c>
      <c r="D139" s="16">
        <v>132231</v>
      </c>
      <c r="E139" s="16" t="s">
        <v>6</v>
      </c>
      <c r="F139" s="16">
        <v>3878</v>
      </c>
    </row>
    <row r="140" spans="1:6" x14ac:dyDescent="0.35">
      <c r="A140" s="16" t="s">
        <v>279</v>
      </c>
      <c r="B140" s="16" t="s">
        <v>280</v>
      </c>
      <c r="C140" s="16" t="s">
        <v>241</v>
      </c>
      <c r="D140" s="16">
        <v>129520</v>
      </c>
      <c r="E140" s="16" t="s">
        <v>6</v>
      </c>
      <c r="F140" s="16">
        <v>3828</v>
      </c>
    </row>
    <row r="141" spans="1:6" x14ac:dyDescent="0.35">
      <c r="A141" s="16" t="s">
        <v>279</v>
      </c>
      <c r="B141" s="16" t="s">
        <v>280</v>
      </c>
      <c r="C141" s="16" t="s">
        <v>242</v>
      </c>
      <c r="D141" s="16">
        <v>128679</v>
      </c>
      <c r="E141" s="16" t="s">
        <v>6</v>
      </c>
      <c r="F141" s="16">
        <v>3892</v>
      </c>
    </row>
    <row r="142" spans="1:6" x14ac:dyDescent="0.35">
      <c r="A142" s="16" t="s">
        <v>279</v>
      </c>
      <c r="B142" s="16" t="s">
        <v>280</v>
      </c>
      <c r="C142" s="16" t="s">
        <v>243</v>
      </c>
      <c r="D142" s="16">
        <v>122165</v>
      </c>
      <c r="E142" s="16" t="s">
        <v>6</v>
      </c>
      <c r="F142" s="16">
        <v>3852</v>
      </c>
    </row>
    <row r="143" spans="1:6" x14ac:dyDescent="0.35">
      <c r="A143" s="16" t="s">
        <v>279</v>
      </c>
      <c r="B143" s="16" t="s">
        <v>280</v>
      </c>
      <c r="C143" s="16" t="s">
        <v>244</v>
      </c>
      <c r="D143" s="16">
        <v>120980</v>
      </c>
      <c r="E143" s="16" t="s">
        <v>6</v>
      </c>
      <c r="F143" s="16">
        <v>3744</v>
      </c>
    </row>
    <row r="144" spans="1:6" x14ac:dyDescent="0.35">
      <c r="A144" s="16" t="s">
        <v>279</v>
      </c>
      <c r="B144" s="16" t="s">
        <v>280</v>
      </c>
      <c r="C144" s="16" t="s">
        <v>245</v>
      </c>
      <c r="D144" s="16">
        <v>119936</v>
      </c>
      <c r="E144" s="16" t="s">
        <v>6</v>
      </c>
      <c r="F144" s="16">
        <v>3670</v>
      </c>
    </row>
    <row r="145" spans="1:6" x14ac:dyDescent="0.35">
      <c r="A145" s="16" t="s">
        <v>279</v>
      </c>
      <c r="B145" s="16" t="s">
        <v>280</v>
      </c>
      <c r="C145" s="16" t="s">
        <v>246</v>
      </c>
      <c r="D145" s="16">
        <v>117542</v>
      </c>
      <c r="E145" s="16" t="s">
        <v>6</v>
      </c>
      <c r="F145" s="16">
        <v>3248</v>
      </c>
    </row>
    <row r="146" spans="1:6" x14ac:dyDescent="0.35">
      <c r="A146" s="16" t="s">
        <v>279</v>
      </c>
      <c r="B146" s="16" t="s">
        <v>280</v>
      </c>
      <c r="C146" s="16" t="s">
        <v>24</v>
      </c>
      <c r="D146" s="16">
        <v>114611</v>
      </c>
      <c r="E146" s="16" t="s">
        <v>6</v>
      </c>
      <c r="F146" s="16">
        <v>3186</v>
      </c>
    </row>
    <row r="147" spans="1:6" x14ac:dyDescent="0.35">
      <c r="A147" s="16" t="s">
        <v>279</v>
      </c>
      <c r="B147" s="16" t="s">
        <v>280</v>
      </c>
      <c r="C147" s="16" t="s">
        <v>25</v>
      </c>
      <c r="D147" s="16">
        <v>137621</v>
      </c>
      <c r="E147" s="16" t="s">
        <v>6</v>
      </c>
      <c r="F147" s="16">
        <v>4298</v>
      </c>
    </row>
    <row r="148" spans="1:6" x14ac:dyDescent="0.35">
      <c r="A148" s="16" t="s">
        <v>279</v>
      </c>
      <c r="B148" s="16" t="s">
        <v>280</v>
      </c>
      <c r="C148" s="16" t="s">
        <v>26</v>
      </c>
      <c r="D148" s="23">
        <f>65375+61783</f>
        <v>127158</v>
      </c>
      <c r="E148" s="23" t="s">
        <v>6</v>
      </c>
      <c r="F148" s="23">
        <f>1905+1829</f>
        <v>3734</v>
      </c>
    </row>
    <row r="149" spans="1:6" x14ac:dyDescent="0.35">
      <c r="A149" s="16" t="s">
        <v>279</v>
      </c>
      <c r="B149" s="16" t="s">
        <v>280</v>
      </c>
      <c r="C149" s="16" t="s">
        <v>27</v>
      </c>
      <c r="D149" s="23">
        <f>59864+56445</f>
        <v>116309</v>
      </c>
      <c r="E149" s="23" t="s">
        <v>6</v>
      </c>
      <c r="F149" s="23">
        <f>1798+1696</f>
        <v>3494</v>
      </c>
    </row>
    <row r="150" spans="1:6" x14ac:dyDescent="0.35">
      <c r="A150" s="16" t="s">
        <v>279</v>
      </c>
      <c r="B150" s="16" t="s">
        <v>280</v>
      </c>
      <c r="C150" s="16" t="s">
        <v>28</v>
      </c>
      <c r="D150" s="23">
        <f>58405+54503</f>
        <v>112908</v>
      </c>
      <c r="E150" s="23" t="s">
        <v>6</v>
      </c>
      <c r="F150" s="23">
        <f>1781+1613</f>
        <v>3394</v>
      </c>
    </row>
    <row r="151" spans="1:6" x14ac:dyDescent="0.35">
      <c r="A151" s="16" t="s">
        <v>279</v>
      </c>
      <c r="B151" s="16" t="s">
        <v>280</v>
      </c>
      <c r="C151" s="16" t="s">
        <v>29</v>
      </c>
      <c r="D151" s="23">
        <f>55850+52720</f>
        <v>108570</v>
      </c>
      <c r="E151" s="23" t="s">
        <v>6</v>
      </c>
      <c r="F151" s="23">
        <f>1628+1582</f>
        <v>3210</v>
      </c>
    </row>
    <row r="152" spans="1:6" x14ac:dyDescent="0.35">
      <c r="A152" s="16" t="s">
        <v>279</v>
      </c>
      <c r="B152" s="16" t="s">
        <v>280</v>
      </c>
      <c r="C152" s="16" t="s">
        <v>30</v>
      </c>
      <c r="D152" s="23">
        <f>54752+51181</f>
        <v>105933</v>
      </c>
      <c r="E152" s="23" t="s">
        <v>6</v>
      </c>
      <c r="F152" s="23">
        <f>1485+1443</f>
        <v>2928</v>
      </c>
    </row>
    <row r="153" spans="1:6" x14ac:dyDescent="0.35">
      <c r="A153" s="16" t="s">
        <v>279</v>
      </c>
      <c r="B153" s="16" t="s">
        <v>280</v>
      </c>
      <c r="C153" s="16" t="s">
        <v>31</v>
      </c>
      <c r="D153" s="23">
        <f>52203+49293</f>
        <v>101496</v>
      </c>
      <c r="E153" s="23" t="s">
        <v>6</v>
      </c>
      <c r="F153" s="23">
        <f>1544+1564</f>
        <v>3108</v>
      </c>
    </row>
    <row r="154" spans="1:6" x14ac:dyDescent="0.35">
      <c r="A154" s="16" t="s">
        <v>279</v>
      </c>
      <c r="B154" s="16" t="s">
        <v>280</v>
      </c>
      <c r="C154" s="16" t="s">
        <v>32</v>
      </c>
      <c r="D154" s="23">
        <f>50260+47425</f>
        <v>97685</v>
      </c>
      <c r="E154" s="23" t="s">
        <v>6</v>
      </c>
      <c r="F154" s="23">
        <f>1510+1306</f>
        <v>2816</v>
      </c>
    </row>
    <row r="155" spans="1:6" x14ac:dyDescent="0.35">
      <c r="A155" s="16" t="s">
        <v>279</v>
      </c>
      <c r="B155" s="16" t="s">
        <v>280</v>
      </c>
      <c r="C155" s="16" t="s">
        <v>33</v>
      </c>
      <c r="D155" s="23">
        <f>50264+47393</f>
        <v>97657</v>
      </c>
      <c r="E155" s="23" t="s">
        <v>6</v>
      </c>
      <c r="F155" s="23">
        <f>1442+1386</f>
        <v>2828</v>
      </c>
    </row>
    <row r="156" spans="1:6" x14ac:dyDescent="0.35">
      <c r="A156" s="16" t="s">
        <v>279</v>
      </c>
      <c r="B156" s="16" t="s">
        <v>280</v>
      </c>
      <c r="C156" s="16" t="s">
        <v>34</v>
      </c>
      <c r="D156" s="23">
        <f>47699+44792</f>
        <v>92491</v>
      </c>
      <c r="E156" s="23" t="s">
        <v>6</v>
      </c>
      <c r="F156" s="23">
        <f>1433+1423</f>
        <v>2856</v>
      </c>
    </row>
    <row r="157" spans="1:6" x14ac:dyDescent="0.35">
      <c r="A157" s="16" t="s">
        <v>279</v>
      </c>
      <c r="B157" s="16" t="s">
        <v>280</v>
      </c>
      <c r="C157" s="16" t="s">
        <v>35</v>
      </c>
      <c r="D157" s="23">
        <f>48247+45762</f>
        <v>94009</v>
      </c>
      <c r="E157" s="23" t="s">
        <v>6</v>
      </c>
      <c r="F157" s="23">
        <f>1391+1369</f>
        <v>2760</v>
      </c>
    </row>
    <row r="158" spans="1:6" x14ac:dyDescent="0.35">
      <c r="A158" s="16" t="s">
        <v>279</v>
      </c>
      <c r="B158" s="16" t="s">
        <v>280</v>
      </c>
      <c r="C158" s="16" t="s">
        <v>36</v>
      </c>
      <c r="D158" s="23">
        <f>46947+44185</f>
        <v>91132</v>
      </c>
      <c r="E158" s="23" t="s">
        <v>6</v>
      </c>
      <c r="F158" s="23">
        <f>1268+1262</f>
        <v>2530</v>
      </c>
    </row>
    <row r="159" spans="1:6" x14ac:dyDescent="0.35">
      <c r="A159" s="16" t="s">
        <v>279</v>
      </c>
      <c r="B159" s="16" t="s">
        <v>280</v>
      </c>
      <c r="C159" s="16" t="s">
        <v>37</v>
      </c>
      <c r="D159" s="23">
        <f>46139+43555</f>
        <v>89694</v>
      </c>
      <c r="E159" s="23" t="s">
        <v>6</v>
      </c>
      <c r="F159" s="23">
        <f>1263+1293</f>
        <v>2556</v>
      </c>
    </row>
    <row r="160" spans="1:6" x14ac:dyDescent="0.35">
      <c r="A160" s="16" t="s">
        <v>279</v>
      </c>
      <c r="B160" s="16" t="s">
        <v>280</v>
      </c>
      <c r="C160" s="16" t="s">
        <v>38</v>
      </c>
      <c r="D160" s="23">
        <f>43923+41061</f>
        <v>84984</v>
      </c>
      <c r="E160" s="23" t="s">
        <v>6</v>
      </c>
      <c r="F160" s="23">
        <f>1162+1164</f>
        <v>2326</v>
      </c>
    </row>
    <row r="161" spans="1:6" x14ac:dyDescent="0.35">
      <c r="A161" s="16" t="s">
        <v>279</v>
      </c>
      <c r="B161" s="16" t="s">
        <v>280</v>
      </c>
      <c r="C161" s="16" t="s">
        <v>39</v>
      </c>
      <c r="D161" s="23">
        <f>43936+41190</f>
        <v>85126</v>
      </c>
      <c r="E161" s="23" t="s">
        <v>6</v>
      </c>
      <c r="F161" s="23">
        <f>1151+1159</f>
        <v>2310</v>
      </c>
    </row>
    <row r="162" spans="1:6" x14ac:dyDescent="0.35">
      <c r="A162" s="16" t="s">
        <v>279</v>
      </c>
      <c r="B162" s="16" t="s">
        <v>280</v>
      </c>
      <c r="C162" s="16" t="s">
        <v>40</v>
      </c>
      <c r="D162" s="23">
        <f>44476+41421</f>
        <v>85897</v>
      </c>
      <c r="E162" s="23" t="s">
        <v>6</v>
      </c>
      <c r="F162" s="23">
        <f>1196+1156</f>
        <v>2352</v>
      </c>
    </row>
    <row r="163" spans="1:6" x14ac:dyDescent="0.35">
      <c r="A163" s="16" t="s">
        <v>279</v>
      </c>
      <c r="B163" s="16" t="s">
        <v>280</v>
      </c>
      <c r="C163" s="16" t="s">
        <v>41</v>
      </c>
      <c r="D163" s="23">
        <f>45804+43267</f>
        <v>89071</v>
      </c>
      <c r="E163" s="23" t="s">
        <v>6</v>
      </c>
      <c r="F163" s="23">
        <f>1201+1153</f>
        <v>2354</v>
      </c>
    </row>
    <row r="164" spans="1:6" x14ac:dyDescent="0.35">
      <c r="A164" s="16" t="s">
        <v>279</v>
      </c>
      <c r="B164" s="16" t="s">
        <v>280</v>
      </c>
      <c r="C164" s="16" t="s">
        <v>42</v>
      </c>
      <c r="D164" s="23">
        <f>46711+43764</f>
        <v>90475</v>
      </c>
      <c r="E164" s="23" t="s">
        <v>6</v>
      </c>
      <c r="F164" s="23">
        <f>1300+1244</f>
        <v>2544</v>
      </c>
    </row>
    <row r="165" spans="1:6" x14ac:dyDescent="0.35">
      <c r="A165" s="16" t="s">
        <v>279</v>
      </c>
      <c r="B165" s="16" t="s">
        <v>280</v>
      </c>
      <c r="C165" s="16" t="s">
        <v>43</v>
      </c>
      <c r="D165" s="23">
        <f>48426+45636</f>
        <v>94062</v>
      </c>
      <c r="E165" s="23" t="s">
        <v>6</v>
      </c>
      <c r="F165" s="23">
        <f>1269+1257</f>
        <v>2526</v>
      </c>
    </row>
    <row r="166" spans="1:6" x14ac:dyDescent="0.35">
      <c r="A166" s="16" t="s">
        <v>279</v>
      </c>
      <c r="B166" s="16" t="s">
        <v>280</v>
      </c>
      <c r="C166" s="16" t="s">
        <v>44</v>
      </c>
      <c r="D166" s="23">
        <f>50068+47316</f>
        <v>97384</v>
      </c>
      <c r="E166" s="23" t="s">
        <v>6</v>
      </c>
      <c r="F166" s="23">
        <f>1368+1322</f>
        <v>2690</v>
      </c>
    </row>
    <row r="167" spans="1:6" x14ac:dyDescent="0.35">
      <c r="A167" s="16" t="s">
        <v>279</v>
      </c>
      <c r="B167" s="16" t="s">
        <v>280</v>
      </c>
      <c r="C167" s="16" t="s">
        <v>45</v>
      </c>
      <c r="D167" s="23">
        <f>49419+46596</f>
        <v>96015</v>
      </c>
      <c r="E167" s="23" t="s">
        <v>6</v>
      </c>
      <c r="F167" s="23">
        <f>1347+1223</f>
        <v>2570</v>
      </c>
    </row>
    <row r="168" spans="1:6" x14ac:dyDescent="0.35">
      <c r="A168" s="16" t="s">
        <v>279</v>
      </c>
      <c r="B168" s="16" t="s">
        <v>280</v>
      </c>
      <c r="C168" s="16" t="s">
        <v>46</v>
      </c>
      <c r="D168" s="23">
        <f>51204+48390</f>
        <v>99594</v>
      </c>
      <c r="E168" s="23" t="s">
        <v>6</v>
      </c>
      <c r="F168" s="23">
        <f>1341+1261</f>
        <v>2602</v>
      </c>
    </row>
    <row r="169" spans="1:6" x14ac:dyDescent="0.35">
      <c r="A169" s="16" t="s">
        <v>279</v>
      </c>
      <c r="B169" s="16" t="s">
        <v>280</v>
      </c>
      <c r="C169" s="16" t="s">
        <v>47</v>
      </c>
      <c r="D169" s="23">
        <f>58473+55030</f>
        <v>113503</v>
      </c>
      <c r="E169" s="23" t="s">
        <v>6</v>
      </c>
      <c r="F169" s="23">
        <f>1538+1494</f>
        <v>3032</v>
      </c>
    </row>
    <row r="170" spans="1:6" x14ac:dyDescent="0.35">
      <c r="A170" s="16" t="s">
        <v>279</v>
      </c>
      <c r="B170" s="16" t="s">
        <v>280</v>
      </c>
      <c r="C170" s="16" t="s">
        <v>48</v>
      </c>
      <c r="D170" s="23">
        <f>64228+60665</f>
        <v>124893</v>
      </c>
      <c r="E170" s="23" t="s">
        <v>6</v>
      </c>
      <c r="F170" s="23">
        <f>1637+1615</f>
        <v>3252</v>
      </c>
    </row>
    <row r="171" spans="1:6" x14ac:dyDescent="0.35">
      <c r="A171" s="16" t="s">
        <v>279</v>
      </c>
      <c r="B171" s="16" t="s">
        <v>280</v>
      </c>
      <c r="C171" s="16" t="s">
        <v>49</v>
      </c>
      <c r="D171" s="23">
        <f>69758+64872</f>
        <v>134630</v>
      </c>
      <c r="E171" s="23" t="s">
        <v>6</v>
      </c>
      <c r="F171" s="23">
        <f>1739+1743</f>
        <v>3482</v>
      </c>
    </row>
    <row r="172" spans="1:6" x14ac:dyDescent="0.35">
      <c r="A172" s="16" t="s">
        <v>279</v>
      </c>
      <c r="B172" s="16" t="s">
        <v>280</v>
      </c>
      <c r="C172" s="16" t="s">
        <v>50</v>
      </c>
      <c r="D172" s="23">
        <f>69984+65216</f>
        <v>135200</v>
      </c>
      <c r="E172" s="23" t="s">
        <v>6</v>
      </c>
      <c r="F172" s="23">
        <f>1766+1670</f>
        <v>3436</v>
      </c>
    </row>
    <row r="173" spans="1:6" x14ac:dyDescent="0.35">
      <c r="A173" s="16" t="s">
        <v>279</v>
      </c>
      <c r="B173" s="16" t="s">
        <v>280</v>
      </c>
      <c r="C173" s="16" t="s">
        <v>51</v>
      </c>
      <c r="D173" s="23">
        <f>68133+63982</f>
        <v>132115</v>
      </c>
      <c r="E173" s="23" t="s">
        <v>6</v>
      </c>
      <c r="F173" s="23">
        <f>1669+1691</f>
        <v>3360</v>
      </c>
    </row>
    <row r="174" spans="1:6" x14ac:dyDescent="0.35">
      <c r="A174" s="16" t="s">
        <v>279</v>
      </c>
      <c r="B174" s="16" t="s">
        <v>280</v>
      </c>
      <c r="C174" s="16" t="s">
        <v>52</v>
      </c>
      <c r="D174" s="23">
        <f>66056+62148</f>
        <v>128204</v>
      </c>
      <c r="E174" s="23" t="s">
        <v>6</v>
      </c>
      <c r="F174" s="23">
        <f>1649+1673</f>
        <v>3322</v>
      </c>
    </row>
    <row r="175" spans="1:6" x14ac:dyDescent="0.35">
      <c r="A175" s="16" t="s">
        <v>279</v>
      </c>
      <c r="B175" s="16" t="s">
        <v>280</v>
      </c>
      <c r="C175" s="16" t="s">
        <v>53</v>
      </c>
      <c r="D175" s="23">
        <f>64681+61234</f>
        <v>125915</v>
      </c>
      <c r="E175" s="23" t="s">
        <v>6</v>
      </c>
      <c r="F175" s="23">
        <f>1653+1561</f>
        <v>3214</v>
      </c>
    </row>
    <row r="176" spans="1:6" x14ac:dyDescent="0.35">
      <c r="A176" s="16" t="s">
        <v>279</v>
      </c>
      <c r="B176" s="16" t="s">
        <v>280</v>
      </c>
      <c r="C176" s="16" t="s">
        <v>54</v>
      </c>
      <c r="D176" s="23">
        <f>62357+58678</f>
        <v>121035</v>
      </c>
      <c r="E176" s="23" t="s">
        <v>6</v>
      </c>
      <c r="F176" s="23">
        <f>1456+1246</f>
        <v>2702</v>
      </c>
    </row>
    <row r="177" spans="1:6" x14ac:dyDescent="0.35">
      <c r="A177" s="16" t="s">
        <v>279</v>
      </c>
      <c r="B177" s="16" t="s">
        <v>280</v>
      </c>
      <c r="C177" s="16" t="s">
        <v>55</v>
      </c>
      <c r="D177" s="23">
        <f>59517+55487</f>
        <v>115004</v>
      </c>
      <c r="E177" s="23" t="s">
        <v>6</v>
      </c>
      <c r="F177" s="23">
        <f>1406+1314</f>
        <v>2720</v>
      </c>
    </row>
    <row r="178" spans="1:6" x14ac:dyDescent="0.35">
      <c r="A178" s="16" t="s">
        <v>279</v>
      </c>
      <c r="B178" s="16" t="s">
        <v>280</v>
      </c>
      <c r="C178" s="16" t="s">
        <v>56</v>
      </c>
      <c r="D178" s="23">
        <f>56661+53089</f>
        <v>109750</v>
      </c>
      <c r="E178" s="23" t="s">
        <v>6</v>
      </c>
      <c r="F178" s="23">
        <f>1327+1227</f>
        <v>2554</v>
      </c>
    </row>
    <row r="179" spans="1:6" x14ac:dyDescent="0.35">
      <c r="A179" s="16" t="s">
        <v>279</v>
      </c>
      <c r="B179" s="16" t="s">
        <v>280</v>
      </c>
      <c r="C179" s="16" t="s">
        <v>57</v>
      </c>
      <c r="D179" s="23">
        <f>56726+52991</f>
        <v>109717</v>
      </c>
      <c r="E179" s="23" t="s">
        <v>6</v>
      </c>
      <c r="F179" s="23">
        <f>1275+1225</f>
        <v>2500</v>
      </c>
    </row>
    <row r="180" spans="1:6" x14ac:dyDescent="0.35">
      <c r="A180" s="16" t="s">
        <v>279</v>
      </c>
      <c r="B180" s="16" t="s">
        <v>280</v>
      </c>
      <c r="C180" s="16" t="s">
        <v>58</v>
      </c>
      <c r="D180" s="23">
        <f>56535+52932</f>
        <v>109467</v>
      </c>
      <c r="E180" s="23" t="s">
        <v>6</v>
      </c>
      <c r="F180" s="23">
        <f>1381+1249</f>
        <v>2630</v>
      </c>
    </row>
    <row r="181" spans="1:6" x14ac:dyDescent="0.35">
      <c r="A181" s="16" t="s">
        <v>279</v>
      </c>
      <c r="B181" s="16" t="s">
        <v>280</v>
      </c>
      <c r="C181" s="16" t="s">
        <v>59</v>
      </c>
      <c r="D181" s="23">
        <f>53899+50587</f>
        <v>104486</v>
      </c>
      <c r="E181" s="23" t="s">
        <v>6</v>
      </c>
      <c r="F181" s="23">
        <f>1225+1181</f>
        <v>2406</v>
      </c>
    </row>
    <row r="182" spans="1:6" x14ac:dyDescent="0.35">
      <c r="A182" s="16" t="s">
        <v>279</v>
      </c>
      <c r="B182" s="16" t="s">
        <v>280</v>
      </c>
      <c r="C182" s="16" t="s">
        <v>60</v>
      </c>
      <c r="D182" s="16">
        <f>54944+51759</f>
        <v>106703</v>
      </c>
      <c r="E182" s="16">
        <v>1194</v>
      </c>
      <c r="F182" s="16">
        <f>1252+1136</f>
        <v>2388</v>
      </c>
    </row>
    <row r="183" spans="1:6" x14ac:dyDescent="0.35">
      <c r="A183" s="16" t="s">
        <v>279</v>
      </c>
      <c r="B183" s="16" t="s">
        <v>280</v>
      </c>
      <c r="C183" s="16" t="s">
        <v>61</v>
      </c>
      <c r="D183" s="16">
        <f>55781+51579</f>
        <v>107360</v>
      </c>
      <c r="E183" s="16">
        <v>1190</v>
      </c>
      <c r="F183" s="16">
        <f>1234+1146</f>
        <v>2380</v>
      </c>
    </row>
    <row r="184" spans="1:6" x14ac:dyDescent="0.35">
      <c r="A184" s="16" t="s">
        <v>279</v>
      </c>
      <c r="B184" s="16" t="s">
        <v>280</v>
      </c>
      <c r="C184" s="16" t="s">
        <v>62</v>
      </c>
      <c r="D184" s="16">
        <f>54582+52045</f>
        <v>106627</v>
      </c>
      <c r="E184" s="16">
        <v>1107</v>
      </c>
      <c r="F184" s="16">
        <f>1138+1076</f>
        <v>2214</v>
      </c>
    </row>
    <row r="185" spans="1:6" x14ac:dyDescent="0.35">
      <c r="A185" s="16" t="s">
        <v>279</v>
      </c>
      <c r="B185" s="16" t="s">
        <v>280</v>
      </c>
      <c r="C185" s="16" t="s">
        <v>63</v>
      </c>
      <c r="D185" s="16">
        <f>54282+50600</f>
        <v>104882</v>
      </c>
      <c r="E185" s="16">
        <v>1133</v>
      </c>
      <c r="F185" s="16">
        <f>1158+1108</f>
        <v>2266</v>
      </c>
    </row>
    <row r="186" spans="1:6" x14ac:dyDescent="0.35">
      <c r="A186" s="16" t="s">
        <v>279</v>
      </c>
      <c r="B186" s="16" t="s">
        <v>280</v>
      </c>
      <c r="C186" s="16" t="s">
        <v>64</v>
      </c>
      <c r="D186" s="16">
        <f>53958+50211</f>
        <v>104169</v>
      </c>
      <c r="E186" s="16">
        <v>1057</v>
      </c>
      <c r="F186" s="16">
        <f>1120+994</f>
        <v>2114</v>
      </c>
    </row>
    <row r="187" spans="1:6" x14ac:dyDescent="0.35">
      <c r="A187" s="16" t="s">
        <v>279</v>
      </c>
      <c r="B187" s="16" t="s">
        <v>280</v>
      </c>
      <c r="C187" s="16" t="s">
        <v>65</v>
      </c>
      <c r="D187" s="16">
        <f>52020+49398</f>
        <v>101418</v>
      </c>
      <c r="E187" s="16">
        <v>1104</v>
      </c>
      <c r="F187" s="16">
        <f>1136+1071</f>
        <v>2207</v>
      </c>
    </row>
    <row r="188" spans="1:6" x14ac:dyDescent="0.35">
      <c r="A188" s="23" t="s">
        <v>279</v>
      </c>
      <c r="B188" s="16" t="s">
        <v>280</v>
      </c>
      <c r="C188" s="23" t="s">
        <v>66</v>
      </c>
      <c r="D188" s="23">
        <v>103538</v>
      </c>
      <c r="E188" s="23">
        <v>1137</v>
      </c>
      <c r="F188" s="23">
        <v>2273</v>
      </c>
    </row>
    <row r="189" spans="1:6" x14ac:dyDescent="0.35">
      <c r="A189" s="23" t="s">
        <v>279</v>
      </c>
      <c r="B189" s="16" t="s">
        <v>280</v>
      </c>
      <c r="C189" s="23" t="s">
        <v>67</v>
      </c>
      <c r="D189" s="23">
        <v>106360</v>
      </c>
      <c r="E189" s="23">
        <v>1122</v>
      </c>
      <c r="F189" s="23">
        <v>2244</v>
      </c>
    </row>
    <row r="190" spans="1:6" x14ac:dyDescent="0.35">
      <c r="A190" s="16" t="s">
        <v>279</v>
      </c>
      <c r="B190" s="16" t="s">
        <v>280</v>
      </c>
      <c r="C190" s="16" t="s">
        <v>68</v>
      </c>
      <c r="D190" s="16">
        <v>111898</v>
      </c>
      <c r="E190" s="16">
        <v>1174</v>
      </c>
      <c r="F190" s="16">
        <v>2348</v>
      </c>
    </row>
    <row r="191" spans="1:6" x14ac:dyDescent="0.35">
      <c r="A191" s="16" t="s">
        <v>279</v>
      </c>
      <c r="B191" s="16" t="s">
        <v>280</v>
      </c>
      <c r="C191" s="16" t="s">
        <v>69</v>
      </c>
      <c r="D191" s="16">
        <v>121623</v>
      </c>
      <c r="E191" s="16">
        <v>1204</v>
      </c>
      <c r="F191" s="16">
        <v>2408</v>
      </c>
    </row>
    <row r="192" spans="1:6" x14ac:dyDescent="0.35">
      <c r="A192" s="16" t="s">
        <v>279</v>
      </c>
      <c r="B192" s="16" t="s">
        <v>280</v>
      </c>
      <c r="C192" s="16" t="s">
        <v>70</v>
      </c>
      <c r="D192" s="16">
        <v>121557</v>
      </c>
      <c r="E192" s="16">
        <v>1235</v>
      </c>
      <c r="F192" s="16">
        <v>2470</v>
      </c>
    </row>
    <row r="193" spans="1:6" x14ac:dyDescent="0.35">
      <c r="A193" s="16" t="s">
        <v>279</v>
      </c>
      <c r="B193" s="16" t="s">
        <v>280</v>
      </c>
      <c r="C193" s="16" t="s">
        <v>71</v>
      </c>
      <c r="D193" s="16">
        <v>122264</v>
      </c>
      <c r="E193" s="16">
        <v>1147</v>
      </c>
      <c r="F193" s="16">
        <v>2294</v>
      </c>
    </row>
    <row r="194" spans="1:6" x14ac:dyDescent="0.35">
      <c r="A194" s="16" t="s">
        <v>279</v>
      </c>
      <c r="B194" s="16" t="s">
        <v>280</v>
      </c>
      <c r="C194" s="16" t="s">
        <v>72</v>
      </c>
      <c r="D194" s="16">
        <v>120290</v>
      </c>
      <c r="E194" s="23">
        <v>1096</v>
      </c>
      <c r="F194" s="23">
        <v>2192</v>
      </c>
    </row>
    <row r="195" spans="1:6" x14ac:dyDescent="0.35">
      <c r="A195" s="16" t="s">
        <v>279</v>
      </c>
      <c r="B195" s="16" t="s">
        <v>280</v>
      </c>
      <c r="C195" s="16" t="s">
        <v>73</v>
      </c>
      <c r="D195" s="16">
        <f>57124+53983+495+468</f>
        <v>112070</v>
      </c>
      <c r="E195" s="16" t="s">
        <v>6</v>
      </c>
      <c r="F195" s="16">
        <f>981+964+31+32</f>
        <v>2008</v>
      </c>
    </row>
    <row r="196" spans="1:6" x14ac:dyDescent="0.35">
      <c r="A196" s="16" t="s">
        <v>279</v>
      </c>
      <c r="B196" s="16" t="s">
        <v>280</v>
      </c>
      <c r="C196" s="16" t="s">
        <v>74</v>
      </c>
      <c r="D196" s="16">
        <f>54718+51123+408+406</f>
        <v>106655</v>
      </c>
      <c r="E196" s="16" t="s">
        <v>6</v>
      </c>
      <c r="F196" s="16">
        <f>888+859+35+20</f>
        <v>1802</v>
      </c>
    </row>
    <row r="197" spans="1:6" x14ac:dyDescent="0.35">
      <c r="A197" s="16" t="s">
        <v>279</v>
      </c>
      <c r="B197" s="16" t="s">
        <v>280</v>
      </c>
      <c r="C197" s="16" t="s">
        <v>75</v>
      </c>
      <c r="D197" s="16">
        <f>55610+52694+452+416</f>
        <v>109172</v>
      </c>
      <c r="E197" s="16" t="s">
        <v>6</v>
      </c>
      <c r="F197" s="16">
        <f>925+902+28+31</f>
        <v>1886</v>
      </c>
    </row>
    <row r="198" spans="1:6" x14ac:dyDescent="0.35">
      <c r="A198" s="16" t="s">
        <v>279</v>
      </c>
      <c r="B198" s="16" t="s">
        <v>280</v>
      </c>
      <c r="C198" s="16" t="s">
        <v>76</v>
      </c>
      <c r="D198" s="16">
        <f>58089+54457+442+385</f>
        <v>113373</v>
      </c>
      <c r="E198" s="16" t="s">
        <v>6</v>
      </c>
      <c r="F198" s="16">
        <f>978+945+43+32</f>
        <v>1998</v>
      </c>
    </row>
    <row r="199" spans="1:6" x14ac:dyDescent="0.35">
      <c r="A199" s="16" t="s">
        <v>279</v>
      </c>
      <c r="B199" s="16" t="s">
        <v>280</v>
      </c>
      <c r="C199" s="16" t="s">
        <v>77</v>
      </c>
      <c r="D199" s="16">
        <f>56876+53370+371+333</f>
        <v>110950</v>
      </c>
      <c r="E199" s="16" t="s">
        <v>6</v>
      </c>
      <c r="F199" s="16">
        <f>1010+978+31+29</f>
        <v>2048</v>
      </c>
    </row>
    <row r="200" spans="1:6" x14ac:dyDescent="0.35">
      <c r="A200" s="16" t="s">
        <v>279</v>
      </c>
      <c r="B200" s="16" t="s">
        <v>280</v>
      </c>
      <c r="C200" s="16" t="s">
        <v>78</v>
      </c>
      <c r="D200" s="16">
        <f>55474+52372+380+354</f>
        <v>108580</v>
      </c>
      <c r="E200" s="16" t="s">
        <v>6</v>
      </c>
      <c r="F200" s="16">
        <f>920+864+27+26</f>
        <v>1837</v>
      </c>
    </row>
    <row r="201" spans="1:6" x14ac:dyDescent="0.35">
      <c r="A201" s="16" t="s">
        <v>279</v>
      </c>
      <c r="B201" s="16" t="s">
        <v>280</v>
      </c>
      <c r="C201" s="16" t="s">
        <v>79</v>
      </c>
      <c r="D201" s="16">
        <f>55686+52365+372+329</f>
        <v>108752</v>
      </c>
      <c r="E201" s="16" t="s">
        <v>6</v>
      </c>
      <c r="F201" s="16">
        <f>874+911+17+14</f>
        <v>1816</v>
      </c>
    </row>
    <row r="202" spans="1:6" x14ac:dyDescent="0.35">
      <c r="A202" s="16" t="s">
        <v>279</v>
      </c>
      <c r="B202" s="16" t="s">
        <v>280</v>
      </c>
      <c r="C202" s="16" t="s">
        <v>80</v>
      </c>
      <c r="D202" s="16">
        <f>52358+49546+297+272</f>
        <v>102473</v>
      </c>
      <c r="E202" s="16" t="s">
        <v>6</v>
      </c>
      <c r="F202" s="16">
        <f>872+833+21+12</f>
        <v>1738</v>
      </c>
    </row>
    <row r="203" spans="1:6" x14ac:dyDescent="0.35">
      <c r="A203" s="16" t="s">
        <v>279</v>
      </c>
      <c r="B203" s="16" t="s">
        <v>280</v>
      </c>
      <c r="C203" s="16" t="s">
        <v>81</v>
      </c>
      <c r="D203" s="16">
        <f>49718+46998+263+240</f>
        <v>97219</v>
      </c>
      <c r="E203" s="16" t="s">
        <v>6</v>
      </c>
      <c r="F203" s="16">
        <f>818+783+25+14</f>
        <v>1640</v>
      </c>
    </row>
    <row r="204" spans="1:6" x14ac:dyDescent="0.35">
      <c r="A204" s="16" t="s">
        <v>279</v>
      </c>
      <c r="B204" s="16" t="s">
        <v>280</v>
      </c>
      <c r="C204" s="16" t="s">
        <v>82</v>
      </c>
      <c r="D204" s="16">
        <f>48778+45706+235+224</f>
        <v>94943</v>
      </c>
      <c r="E204" s="16" t="s">
        <v>6</v>
      </c>
      <c r="F204" s="16">
        <f>744+808+15+15</f>
        <v>1582</v>
      </c>
    </row>
    <row r="205" spans="1:6" x14ac:dyDescent="0.35">
      <c r="A205" s="16" t="s">
        <v>279</v>
      </c>
      <c r="B205" s="16" t="s">
        <v>280</v>
      </c>
      <c r="C205" s="16" t="s">
        <v>83</v>
      </c>
      <c r="D205" s="16">
        <f>46994+44578+234+192</f>
        <v>91998</v>
      </c>
      <c r="E205" s="16" t="s">
        <v>6</v>
      </c>
      <c r="F205" s="16">
        <f>838+805+10+19</f>
        <v>1672</v>
      </c>
    </row>
    <row r="206" spans="1:6" x14ac:dyDescent="0.35">
      <c r="A206" s="16" t="s">
        <v>279</v>
      </c>
      <c r="B206" s="16" t="s">
        <v>280</v>
      </c>
      <c r="C206" s="16" t="s">
        <v>84</v>
      </c>
      <c r="D206" s="16">
        <f>48516+45856+217+194</f>
        <v>94783</v>
      </c>
      <c r="E206" s="16" t="s">
        <v>6</v>
      </c>
      <c r="F206" s="16">
        <f>871+968+17+16</f>
        <v>1872</v>
      </c>
    </row>
    <row r="207" spans="1:6" x14ac:dyDescent="0.35">
      <c r="A207" s="16" t="s">
        <v>279</v>
      </c>
      <c r="B207" s="16" t="s">
        <v>280</v>
      </c>
      <c r="C207" s="16" t="s">
        <v>85</v>
      </c>
      <c r="D207" s="16">
        <f>48966+46340+221+183</f>
        <v>95710</v>
      </c>
      <c r="E207" s="16" t="s">
        <v>6</v>
      </c>
      <c r="F207" s="16">
        <f>883+847+14+16</f>
        <v>1760</v>
      </c>
    </row>
    <row r="208" spans="1:6" x14ac:dyDescent="0.35">
      <c r="A208" s="16" t="s">
        <v>279</v>
      </c>
      <c r="B208" s="16" t="s">
        <v>280</v>
      </c>
      <c r="C208" s="16" t="s">
        <v>86</v>
      </c>
      <c r="D208" s="16">
        <f>47264+45067+165+184</f>
        <v>92680</v>
      </c>
      <c r="E208" s="16" t="s">
        <v>6</v>
      </c>
      <c r="F208" s="16">
        <f>855+852+19+12</f>
        <v>1738</v>
      </c>
    </row>
    <row r="209" spans="1:6" x14ac:dyDescent="0.35">
      <c r="A209" s="16" t="s">
        <v>279</v>
      </c>
      <c r="B209" s="16" t="s">
        <v>280</v>
      </c>
      <c r="C209" s="16" t="s">
        <v>87</v>
      </c>
      <c r="D209" s="16">
        <f>46851+44165+198+163</f>
        <v>91377</v>
      </c>
      <c r="E209" s="16" t="s">
        <v>6</v>
      </c>
      <c r="F209" s="16">
        <f>866+833+10+3</f>
        <v>1712</v>
      </c>
    </row>
    <row r="210" spans="1:6" x14ac:dyDescent="0.35">
      <c r="A210" s="16" t="s">
        <v>279</v>
      </c>
      <c r="B210" s="16" t="s">
        <v>280</v>
      </c>
      <c r="C210" s="16" t="s">
        <v>88</v>
      </c>
      <c r="D210" s="16">
        <f>46366+43615+185+140</f>
        <v>90306</v>
      </c>
      <c r="E210" s="16" t="s">
        <v>6</v>
      </c>
      <c r="F210" s="16">
        <f>930+842+6+8</f>
        <v>1786</v>
      </c>
    </row>
    <row r="211" spans="1:6" x14ac:dyDescent="0.35">
      <c r="A211" s="16" t="s">
        <v>279</v>
      </c>
      <c r="B211" s="16" t="s">
        <v>280</v>
      </c>
      <c r="C211" s="16" t="s">
        <v>89</v>
      </c>
      <c r="D211" s="16">
        <f>47398+44552+199+164</f>
        <v>92313</v>
      </c>
      <c r="E211" s="16" t="s">
        <v>6</v>
      </c>
      <c r="F211" s="16">
        <f>928+972+5+13</f>
        <v>1918</v>
      </c>
    </row>
    <row r="212" spans="1:6" x14ac:dyDescent="0.35">
      <c r="A212" s="16" t="s">
        <v>279</v>
      </c>
      <c r="B212" s="16" t="s">
        <v>280</v>
      </c>
      <c r="C212" s="16" t="s">
        <v>90</v>
      </c>
      <c r="D212" s="16">
        <f>49768+46752+174+185</f>
        <v>96879</v>
      </c>
      <c r="E212" s="16" t="s">
        <v>6</v>
      </c>
      <c r="F212" s="16">
        <f>972+949+12+15</f>
        <v>1948</v>
      </c>
    </row>
    <row r="213" spans="1:6" x14ac:dyDescent="0.35">
      <c r="A213" s="16" t="s">
        <v>279</v>
      </c>
      <c r="B213" s="16" t="s">
        <v>280</v>
      </c>
      <c r="C213" s="16" t="s">
        <v>91</v>
      </c>
      <c r="D213" s="16">
        <f>51344+48436+193+197</f>
        <v>100170</v>
      </c>
      <c r="E213" s="16" t="s">
        <v>6</v>
      </c>
      <c r="F213" s="16">
        <f>1025+1095+17+16</f>
        <v>2153</v>
      </c>
    </row>
    <row r="214" spans="1:6" x14ac:dyDescent="0.35">
      <c r="A214" s="16" t="s">
        <v>279</v>
      </c>
      <c r="B214" s="16" t="s">
        <v>280</v>
      </c>
      <c r="C214" s="16" t="s">
        <v>92</v>
      </c>
      <c r="D214" s="16">
        <f>52504+50119+196+190</f>
        <v>103009</v>
      </c>
      <c r="E214" s="16" t="s">
        <v>6</v>
      </c>
      <c r="F214" s="16">
        <f>1032+987+10+13</f>
        <v>2042</v>
      </c>
    </row>
    <row r="215" spans="1:6" x14ac:dyDescent="0.35">
      <c r="A215" s="16" t="s">
        <v>279</v>
      </c>
      <c r="B215" s="16" t="s">
        <v>280</v>
      </c>
      <c r="C215" s="16" t="s">
        <v>93</v>
      </c>
      <c r="D215" s="16">
        <f>56544+53035+211+184</f>
        <v>109974</v>
      </c>
      <c r="E215" s="16" t="s">
        <v>6</v>
      </c>
      <c r="F215" s="16">
        <f>1250+1198+9+17</f>
        <v>2474</v>
      </c>
    </row>
    <row r="216" spans="1:6" x14ac:dyDescent="0.35">
      <c r="A216" s="16" t="s">
        <v>279</v>
      </c>
      <c r="B216" s="16" t="s">
        <v>280</v>
      </c>
      <c r="C216" s="16" t="s">
        <v>94</v>
      </c>
      <c r="D216" s="16">
        <f>58385+55115+205+196</f>
        <v>113901</v>
      </c>
      <c r="E216" s="16" t="s">
        <v>6</v>
      </c>
      <c r="F216" s="16">
        <f>1243+1179+11+11</f>
        <v>2444</v>
      </c>
    </row>
    <row r="217" spans="1:6" x14ac:dyDescent="0.35">
      <c r="A217" s="16" t="s">
        <v>279</v>
      </c>
      <c r="B217" s="16" t="s">
        <v>280</v>
      </c>
      <c r="C217" s="16" t="s">
        <v>95</v>
      </c>
      <c r="D217" s="16">
        <f>62192+58962+228+187</f>
        <v>121569</v>
      </c>
      <c r="E217" s="16" t="s">
        <v>6</v>
      </c>
      <c r="F217" s="16">
        <f>1316+1368+13+15</f>
        <v>2712</v>
      </c>
    </row>
    <row r="218" spans="1:6" x14ac:dyDescent="0.35">
      <c r="A218" s="16" t="s">
        <v>279</v>
      </c>
      <c r="B218" s="16" t="s">
        <v>280</v>
      </c>
      <c r="C218" s="16" t="s">
        <v>96</v>
      </c>
      <c r="D218" s="16">
        <f>62195+58518+210+214</f>
        <v>121137</v>
      </c>
      <c r="E218" s="16" t="s">
        <v>6</v>
      </c>
      <c r="F218" s="16">
        <f>1466+1426+21+15</f>
        <v>2928</v>
      </c>
    </row>
    <row r="219" spans="1:6" x14ac:dyDescent="0.35">
      <c r="A219" s="16" t="s">
        <v>279</v>
      </c>
      <c r="B219" s="16" t="s">
        <v>280</v>
      </c>
      <c r="C219" s="16" t="s">
        <v>97</v>
      </c>
      <c r="D219" s="16">
        <f>61517+58081+191+185</f>
        <v>119974</v>
      </c>
      <c r="E219" s="16" t="s">
        <v>6</v>
      </c>
      <c r="F219" s="16">
        <f>1590+1470+5+13</f>
        <v>3078</v>
      </c>
    </row>
    <row r="220" spans="1:6" x14ac:dyDescent="0.35">
      <c r="A220" s="16" t="s">
        <v>279</v>
      </c>
      <c r="B220" s="16" t="s">
        <v>280</v>
      </c>
      <c r="C220" s="16" t="s">
        <v>98</v>
      </c>
      <c r="D220" s="16">
        <f>58579+55987+183+179</f>
        <v>114928</v>
      </c>
      <c r="E220" s="16" t="s">
        <v>6</v>
      </c>
      <c r="F220" s="16">
        <f>1651+1585+18+18</f>
        <v>3272</v>
      </c>
    </row>
    <row r="221" spans="1:6" x14ac:dyDescent="0.35">
      <c r="A221" s="16" t="s">
        <v>279</v>
      </c>
      <c r="B221" s="16" t="s">
        <v>280</v>
      </c>
      <c r="C221" s="16" t="s">
        <v>99</v>
      </c>
      <c r="D221" s="16">
        <f>55760+53394+172+155</f>
        <v>109481</v>
      </c>
      <c r="E221" s="16" t="s">
        <v>6</v>
      </c>
      <c r="F221" s="16">
        <f>1515+1489+13+8</f>
        <v>3025</v>
      </c>
    </row>
    <row r="222" spans="1:6" x14ac:dyDescent="0.35">
      <c r="A222" s="16" t="s">
        <v>279</v>
      </c>
      <c r="B222" s="16" t="s">
        <v>280</v>
      </c>
      <c r="C222" s="16" t="s">
        <v>100</v>
      </c>
      <c r="D222" s="16">
        <f>51635+48748+172+148</f>
        <v>100703</v>
      </c>
      <c r="E222" s="16" t="s">
        <v>6</v>
      </c>
      <c r="F222" s="16">
        <f>1520+1402+10+20</f>
        <v>2952</v>
      </c>
    </row>
    <row r="223" spans="1:6" x14ac:dyDescent="0.35">
      <c r="A223" s="16" t="s">
        <v>279</v>
      </c>
      <c r="B223" s="16" t="s">
        <v>280</v>
      </c>
      <c r="C223" s="16" t="s">
        <v>101</v>
      </c>
      <c r="D223" s="16">
        <f>47200+45252+159+145</f>
        <v>92756</v>
      </c>
      <c r="E223" s="16" t="s">
        <v>6</v>
      </c>
      <c r="F223" s="16">
        <f>1408+1332+10+10</f>
        <v>2760</v>
      </c>
    </row>
    <row r="224" spans="1:6" x14ac:dyDescent="0.35">
      <c r="A224" s="16" t="s">
        <v>279</v>
      </c>
      <c r="B224" s="16" t="s">
        <v>280</v>
      </c>
      <c r="C224" s="16" t="s">
        <v>102</v>
      </c>
      <c r="D224" s="16">
        <f>44963+42600+139+155</f>
        <v>87857</v>
      </c>
      <c r="E224" s="16" t="s">
        <v>6</v>
      </c>
      <c r="F224" s="16">
        <f>1517+1365+10+10</f>
        <v>2902</v>
      </c>
    </row>
    <row r="225" spans="1:6" x14ac:dyDescent="0.35">
      <c r="A225" s="16" t="s">
        <v>279</v>
      </c>
      <c r="B225" s="16" t="s">
        <v>280</v>
      </c>
      <c r="C225" s="16" t="s">
        <v>103</v>
      </c>
      <c r="D225" s="16">
        <f>44485+41665+149+145</f>
        <v>86444</v>
      </c>
      <c r="E225" s="16" t="s">
        <v>6</v>
      </c>
      <c r="F225" s="16">
        <f>1425+1395+14+10</f>
        <v>2844</v>
      </c>
    </row>
    <row r="226" spans="1:6" x14ac:dyDescent="0.35">
      <c r="A226" s="16" t="s">
        <v>279</v>
      </c>
      <c r="B226" s="16" t="s">
        <v>280</v>
      </c>
      <c r="C226" s="16" t="s">
        <v>104</v>
      </c>
      <c r="D226" s="16">
        <f>43733+41495+156+147</f>
        <v>85531</v>
      </c>
      <c r="E226" s="16" t="s">
        <v>6</v>
      </c>
      <c r="F226" s="16">
        <f>1460+1416+6+6</f>
        <v>2888</v>
      </c>
    </row>
    <row r="227" spans="1:6" x14ac:dyDescent="0.35">
      <c r="A227" s="16" t="s">
        <v>279</v>
      </c>
      <c r="B227" s="16" t="s">
        <v>280</v>
      </c>
      <c r="C227" s="16" t="s">
        <v>105</v>
      </c>
      <c r="D227" s="16">
        <f>45169+42342+160+157</f>
        <v>87828</v>
      </c>
      <c r="E227" s="16" t="s">
        <v>6</v>
      </c>
      <c r="F227" s="16">
        <f>1421+1446+3+8</f>
        <v>2878</v>
      </c>
    </row>
    <row r="228" spans="1:6" x14ac:dyDescent="0.35">
      <c r="A228" s="16" t="s">
        <v>279</v>
      </c>
      <c r="B228" s="16" t="s">
        <v>280</v>
      </c>
      <c r="C228" s="16" t="s">
        <v>106</v>
      </c>
      <c r="D228" s="16">
        <f>45622+42851+174+150</f>
        <v>88797</v>
      </c>
      <c r="E228" s="16" t="s">
        <v>6</v>
      </c>
      <c r="F228" s="16">
        <f>1472+1443+1</f>
        <v>2916</v>
      </c>
    </row>
    <row r="229" spans="1:6" x14ac:dyDescent="0.35">
      <c r="A229" s="16" t="s">
        <v>279</v>
      </c>
      <c r="B229" s="16" t="s">
        <v>280</v>
      </c>
      <c r="C229" s="16" t="s">
        <v>107</v>
      </c>
      <c r="D229" s="16">
        <f>47692+45095+168+153</f>
        <v>93108</v>
      </c>
      <c r="E229" s="16" t="s">
        <v>6</v>
      </c>
      <c r="F229" s="16">
        <f>1460+1501+2+3</f>
        <v>2966</v>
      </c>
    </row>
    <row r="230" spans="1:6" x14ac:dyDescent="0.35">
      <c r="A230" s="16" t="s">
        <v>279</v>
      </c>
      <c r="B230" s="16" t="s">
        <v>280</v>
      </c>
      <c r="C230" s="16" t="s">
        <v>108</v>
      </c>
      <c r="D230" s="16">
        <f>49441+46430+163+166</f>
        <v>96200</v>
      </c>
      <c r="E230" s="16" t="s">
        <v>6</v>
      </c>
      <c r="F230" s="16">
        <f>1654+1574+6+2</f>
        <v>3236</v>
      </c>
    </row>
    <row r="231" spans="1:6" x14ac:dyDescent="0.35">
      <c r="A231" s="16" t="s">
        <v>279</v>
      </c>
      <c r="B231" s="16" t="s">
        <v>280</v>
      </c>
      <c r="C231" s="16" t="s">
        <v>109</v>
      </c>
      <c r="D231" s="16">
        <f>50552+47568+137+157</f>
        <v>98414</v>
      </c>
      <c r="E231" s="16" t="s">
        <v>6</v>
      </c>
      <c r="F231" s="16">
        <f>1394+1355+4+7</f>
        <v>2760</v>
      </c>
    </row>
    <row r="232" spans="1:6" x14ac:dyDescent="0.35">
      <c r="A232" s="16" t="s">
        <v>279</v>
      </c>
      <c r="B232" s="16" t="s">
        <v>280</v>
      </c>
      <c r="C232" s="16" t="s">
        <v>110</v>
      </c>
      <c r="D232" s="16">
        <f>50584+47963+141+151</f>
        <v>98839</v>
      </c>
      <c r="E232" s="16" t="s">
        <v>6</v>
      </c>
      <c r="F232" s="16">
        <f>1413+1316+4+5</f>
        <v>2738</v>
      </c>
    </row>
    <row r="233" spans="1:6" x14ac:dyDescent="0.35">
      <c r="A233" s="16" t="s">
        <v>279</v>
      </c>
      <c r="B233" s="16" t="s">
        <v>280</v>
      </c>
      <c r="C233" s="16" t="s">
        <v>111</v>
      </c>
      <c r="D233" s="16">
        <f>52984+49938+154+149</f>
        <v>103225</v>
      </c>
      <c r="E233" s="16" t="s">
        <v>6</v>
      </c>
      <c r="F233" s="16">
        <f>1480+1460+5+11</f>
        <v>2956</v>
      </c>
    </row>
    <row r="234" spans="1:6" x14ac:dyDescent="0.35">
      <c r="A234" s="16" t="s">
        <v>279</v>
      </c>
      <c r="B234" s="16" t="s">
        <v>280</v>
      </c>
      <c r="C234" s="16">
        <v>2007</v>
      </c>
      <c r="D234" s="16">
        <f>53715+50670+149+162</f>
        <v>104696</v>
      </c>
      <c r="E234" s="16" t="s">
        <v>6</v>
      </c>
      <c r="F234" s="16">
        <f>1513+1460+9+6</f>
        <v>2988</v>
      </c>
    </row>
    <row r="235" spans="1:6" x14ac:dyDescent="0.35">
      <c r="A235" s="16" t="s">
        <v>279</v>
      </c>
      <c r="B235" s="16" t="s">
        <v>280</v>
      </c>
      <c r="C235" s="16">
        <v>2008</v>
      </c>
      <c r="D235" s="16">
        <f>54823+51353+192+184</f>
        <v>106552</v>
      </c>
      <c r="E235" s="16" t="s">
        <v>6</v>
      </c>
      <c r="F235" s="16">
        <f>1500+1562+7+13</f>
        <v>3082</v>
      </c>
    </row>
    <row r="236" spans="1:6" x14ac:dyDescent="0.35">
      <c r="A236" s="16" t="s">
        <v>279</v>
      </c>
      <c r="B236" s="16" t="s">
        <v>280</v>
      </c>
      <c r="C236" s="16">
        <v>2009</v>
      </c>
      <c r="D236" s="16">
        <f>55868+52678+220+204</f>
        <v>108970</v>
      </c>
      <c r="E236" s="16" t="s">
        <v>6</v>
      </c>
      <c r="F236" s="16">
        <f>1660+1512+14+12</f>
        <v>3198</v>
      </c>
    </row>
    <row r="237" spans="1:6" x14ac:dyDescent="0.35">
      <c r="A237" s="16" t="s">
        <v>279</v>
      </c>
      <c r="B237" s="16" t="s">
        <v>280</v>
      </c>
      <c r="C237" s="16" t="s">
        <v>115</v>
      </c>
      <c r="D237" s="16">
        <v>112741</v>
      </c>
      <c r="E237" s="16" t="s">
        <v>6</v>
      </c>
      <c r="F237" s="16">
        <v>3236</v>
      </c>
    </row>
    <row r="238" spans="1:6" x14ac:dyDescent="0.35">
      <c r="A238" s="16" t="s">
        <v>279</v>
      </c>
      <c r="B238" s="16" t="s">
        <v>280</v>
      </c>
      <c r="C238" s="16" t="s">
        <v>116</v>
      </c>
      <c r="D238" s="16">
        <v>109015</v>
      </c>
      <c r="E238" s="16">
        <v>1548</v>
      </c>
      <c r="F238" s="16">
        <v>3096</v>
      </c>
    </row>
    <row r="239" spans="1:6" x14ac:dyDescent="0.35">
      <c r="A239" s="16" t="s">
        <v>279</v>
      </c>
      <c r="B239" s="16" t="s">
        <v>280</v>
      </c>
      <c r="C239" s="16" t="s">
        <v>117</v>
      </c>
      <c r="D239" s="16">
        <v>110527</v>
      </c>
      <c r="E239" s="16">
        <v>1535</v>
      </c>
      <c r="F239" s="16">
        <v>3070</v>
      </c>
    </row>
    <row r="240" spans="1:6" x14ac:dyDescent="0.35">
      <c r="A240" s="16" t="s">
        <v>279</v>
      </c>
      <c r="B240" s="16" t="s">
        <v>280</v>
      </c>
      <c r="C240" s="16" t="s">
        <v>118</v>
      </c>
      <c r="D240" s="16">
        <v>110800</v>
      </c>
      <c r="E240" s="16">
        <v>1578</v>
      </c>
      <c r="F240" s="16">
        <v>3156</v>
      </c>
    </row>
    <row r="241" spans="1:6" x14ac:dyDescent="0.35">
      <c r="A241" s="16" t="s">
        <v>279</v>
      </c>
      <c r="B241" s="16" t="s">
        <v>280</v>
      </c>
      <c r="C241" s="16" t="s">
        <v>119</v>
      </c>
      <c r="D241" s="16">
        <v>111946</v>
      </c>
      <c r="E241" s="16">
        <v>1668</v>
      </c>
      <c r="F241" s="16">
        <v>3336</v>
      </c>
    </row>
    <row r="242" spans="1:6" x14ac:dyDescent="0.35">
      <c r="A242" s="16" t="s">
        <v>279</v>
      </c>
      <c r="B242" s="16" t="s">
        <v>280</v>
      </c>
      <c r="C242" s="16" t="s">
        <v>120</v>
      </c>
      <c r="D242" s="16">
        <v>111975</v>
      </c>
      <c r="E242" s="16">
        <v>1628</v>
      </c>
      <c r="F242" s="16">
        <v>3256</v>
      </c>
    </row>
    <row r="243" spans="1:6" x14ac:dyDescent="0.35">
      <c r="A243" s="16" t="s">
        <v>279</v>
      </c>
      <c r="B243" s="16" t="s">
        <v>280</v>
      </c>
      <c r="C243" s="16" t="s">
        <v>121</v>
      </c>
      <c r="D243" s="16">
        <v>114487</v>
      </c>
      <c r="E243" s="16">
        <v>1643</v>
      </c>
      <c r="F243" s="16">
        <v>3286</v>
      </c>
    </row>
    <row r="244" spans="1:6" x14ac:dyDescent="0.35">
      <c r="A244" s="16" t="s">
        <v>279</v>
      </c>
      <c r="B244" s="16" t="s">
        <v>280</v>
      </c>
      <c r="C244" s="16" t="s">
        <v>122</v>
      </c>
      <c r="D244" s="16">
        <v>112507</v>
      </c>
      <c r="E244" s="16">
        <v>1621</v>
      </c>
      <c r="F244" s="16">
        <v>3242</v>
      </c>
    </row>
    <row r="245" spans="1:6" x14ac:dyDescent="0.35">
      <c r="A245" s="16" t="s">
        <v>279</v>
      </c>
      <c r="B245" s="16" t="s">
        <v>280</v>
      </c>
      <c r="C245" s="16" t="s">
        <v>123</v>
      </c>
      <c r="D245" s="16">
        <v>113200</v>
      </c>
      <c r="E245" s="16">
        <v>1510</v>
      </c>
      <c r="F245" s="16">
        <v>3020</v>
      </c>
    </row>
    <row r="246" spans="1:6" x14ac:dyDescent="0.35">
      <c r="A246" s="16" t="s">
        <v>279</v>
      </c>
      <c r="B246" s="16" t="s">
        <v>280</v>
      </c>
      <c r="C246" s="16" t="s">
        <v>124</v>
      </c>
      <c r="D246" s="3">
        <v>111909</v>
      </c>
      <c r="E246" s="3">
        <v>1465</v>
      </c>
      <c r="F246" s="3">
        <v>2930</v>
      </c>
    </row>
    <row r="247" spans="1:6" x14ac:dyDescent="0.35">
      <c r="A247" s="16" t="s">
        <v>279</v>
      </c>
      <c r="B247" s="16" t="s">
        <v>280</v>
      </c>
      <c r="C247" s="16" t="s">
        <v>267</v>
      </c>
      <c r="D247" s="3">
        <v>110332</v>
      </c>
      <c r="E247" s="3">
        <v>1526</v>
      </c>
      <c r="F247" s="3">
        <v>3052</v>
      </c>
    </row>
    <row r="248" spans="1:6" x14ac:dyDescent="0.35">
      <c r="A248" s="16" t="s">
        <v>279</v>
      </c>
      <c r="B248" s="16" t="s">
        <v>280</v>
      </c>
      <c r="C248" s="16">
        <v>1861</v>
      </c>
      <c r="D248" s="16">
        <v>123355</v>
      </c>
      <c r="E248" s="16" t="s">
        <v>6</v>
      </c>
      <c r="F248" s="16">
        <v>3229</v>
      </c>
    </row>
    <row r="249" spans="1:6" x14ac:dyDescent="0.35">
      <c r="A249" s="16" t="s">
        <v>279</v>
      </c>
      <c r="B249" s="16" t="s">
        <v>280</v>
      </c>
      <c r="C249" s="16">
        <v>1862</v>
      </c>
      <c r="D249" s="16">
        <v>127970</v>
      </c>
      <c r="E249" s="16" t="s">
        <v>6</v>
      </c>
      <c r="F249" s="16">
        <v>3558</v>
      </c>
    </row>
    <row r="250" spans="1:6" x14ac:dyDescent="0.35">
      <c r="A250" s="16" t="s">
        <v>279</v>
      </c>
      <c r="B250" s="16" t="s">
        <v>280</v>
      </c>
      <c r="C250" s="16">
        <v>1863</v>
      </c>
      <c r="D250" s="16">
        <v>130715</v>
      </c>
      <c r="E250" s="16" t="s">
        <v>6</v>
      </c>
      <c r="F250" s="16">
        <v>3499</v>
      </c>
    </row>
    <row r="251" spans="1:6" x14ac:dyDescent="0.35">
      <c r="A251" s="16" t="s">
        <v>279</v>
      </c>
      <c r="B251" s="16" t="s">
        <v>280</v>
      </c>
      <c r="C251" s="16">
        <v>1864</v>
      </c>
      <c r="D251" s="16">
        <v>132503</v>
      </c>
      <c r="E251" s="16" t="s">
        <v>6</v>
      </c>
      <c r="F251" s="16">
        <v>3440</v>
      </c>
    </row>
    <row r="252" spans="1:6" x14ac:dyDescent="0.35">
      <c r="A252" s="16" t="s">
        <v>279</v>
      </c>
      <c r="B252" s="16" t="s">
        <v>280</v>
      </c>
      <c r="C252" s="16">
        <v>1865</v>
      </c>
      <c r="D252" s="16">
        <v>130800</v>
      </c>
      <c r="E252" s="16" t="s">
        <v>6</v>
      </c>
      <c r="F252" s="16">
        <v>3332</v>
      </c>
    </row>
    <row r="253" spans="1:6" x14ac:dyDescent="0.35">
      <c r="A253" s="16" t="s">
        <v>279</v>
      </c>
      <c r="B253" s="16" t="s">
        <v>280</v>
      </c>
      <c r="C253" s="16">
        <v>1866</v>
      </c>
      <c r="D253" s="16">
        <v>133379</v>
      </c>
      <c r="E253" s="16" t="s">
        <v>6</v>
      </c>
      <c r="F253" s="16">
        <v>3537</v>
      </c>
    </row>
    <row r="254" spans="1:6" x14ac:dyDescent="0.35">
      <c r="A254" s="16" t="s">
        <v>279</v>
      </c>
      <c r="B254" s="16" t="s">
        <v>280</v>
      </c>
      <c r="C254" s="16">
        <v>1867</v>
      </c>
      <c r="D254" s="16">
        <v>125516</v>
      </c>
      <c r="E254" s="16" t="s">
        <v>6</v>
      </c>
      <c r="F254" s="16">
        <v>3259</v>
      </c>
    </row>
    <row r="255" spans="1:6" x14ac:dyDescent="0.35">
      <c r="A255" s="16" t="s">
        <v>279</v>
      </c>
      <c r="B255" s="16" t="s">
        <v>280</v>
      </c>
      <c r="C255" s="16">
        <v>1868</v>
      </c>
      <c r="D255" s="16">
        <v>111889</v>
      </c>
      <c r="E255" s="16" t="s">
        <v>6</v>
      </c>
      <c r="F255" s="16">
        <v>3009</v>
      </c>
    </row>
    <row r="256" spans="1:6" x14ac:dyDescent="0.35">
      <c r="A256" s="16" t="s">
        <v>279</v>
      </c>
      <c r="B256" s="16" t="s">
        <v>280</v>
      </c>
      <c r="C256" s="16">
        <v>1869</v>
      </c>
      <c r="D256" s="16">
        <v>114457</v>
      </c>
      <c r="E256" s="16" t="s">
        <v>6</v>
      </c>
      <c r="F256" s="16">
        <v>3160</v>
      </c>
    </row>
    <row r="257" spans="1:6" x14ac:dyDescent="0.35">
      <c r="A257" s="16" t="s">
        <v>279</v>
      </c>
      <c r="B257" s="16" t="s">
        <v>280</v>
      </c>
      <c r="C257" s="16">
        <v>1870</v>
      </c>
      <c r="D257" s="16">
        <v>116476</v>
      </c>
      <c r="E257" s="16" t="s">
        <v>6</v>
      </c>
      <c r="F257" s="16">
        <v>3292</v>
      </c>
    </row>
    <row r="258" spans="1:6" x14ac:dyDescent="0.35">
      <c r="A258" s="16" t="s">
        <v>279</v>
      </c>
      <c r="B258" s="16" t="s">
        <v>280</v>
      </c>
      <c r="C258" s="16">
        <v>1871</v>
      </c>
      <c r="D258" s="16">
        <v>123873</v>
      </c>
      <c r="E258" s="16" t="s">
        <v>6</v>
      </c>
      <c r="F258" s="16">
        <v>3414</v>
      </c>
    </row>
    <row r="259" spans="1:6" x14ac:dyDescent="0.35">
      <c r="A259" s="16" t="s">
        <v>279</v>
      </c>
      <c r="B259" s="16" t="s">
        <v>280</v>
      </c>
      <c r="C259" s="16">
        <v>1872</v>
      </c>
      <c r="D259" s="16">
        <v>123616</v>
      </c>
      <c r="E259" s="16" t="s">
        <v>6</v>
      </c>
      <c r="F259" s="16">
        <v>3301</v>
      </c>
    </row>
    <row r="260" spans="1:6" x14ac:dyDescent="0.35">
      <c r="A260" s="16" t="s">
        <v>279</v>
      </c>
      <c r="B260" s="16" t="s">
        <v>280</v>
      </c>
      <c r="C260" s="16">
        <v>1873</v>
      </c>
      <c r="D260" s="16">
        <v>128106</v>
      </c>
      <c r="E260" s="16" t="s">
        <v>6</v>
      </c>
      <c r="F260" s="16">
        <v>3510</v>
      </c>
    </row>
    <row r="261" spans="1:6" x14ac:dyDescent="0.35">
      <c r="A261" s="16" t="s">
        <v>279</v>
      </c>
      <c r="B261" s="16" t="s">
        <v>280</v>
      </c>
      <c r="C261" s="16">
        <v>1874</v>
      </c>
      <c r="D261" s="16">
        <v>129608</v>
      </c>
      <c r="E261" s="16" t="s">
        <v>6</v>
      </c>
      <c r="F261" s="16">
        <v>3577</v>
      </c>
    </row>
    <row r="262" spans="1:6" x14ac:dyDescent="0.35">
      <c r="A262" s="16" t="s">
        <v>279</v>
      </c>
      <c r="B262" s="16" t="s">
        <v>280</v>
      </c>
      <c r="C262" s="16">
        <v>1875</v>
      </c>
      <c r="D262" s="16">
        <v>132075</v>
      </c>
      <c r="E262" s="16" t="s">
        <v>6</v>
      </c>
      <c r="F262" s="16">
        <v>3803</v>
      </c>
    </row>
    <row r="263" spans="1:6" x14ac:dyDescent="0.35">
      <c r="A263" s="16" t="s">
        <v>279</v>
      </c>
      <c r="B263" s="16" t="s">
        <v>280</v>
      </c>
      <c r="C263" s="16">
        <v>1876</v>
      </c>
      <c r="D263" s="16">
        <f>67908+64201</f>
        <v>132109</v>
      </c>
      <c r="E263" s="16" t="s">
        <v>6</v>
      </c>
      <c r="F263" s="16">
        <f>1838+1906</f>
        <v>3744</v>
      </c>
    </row>
    <row r="264" spans="1:6" x14ac:dyDescent="0.35">
      <c r="A264" s="16" t="s">
        <v>279</v>
      </c>
      <c r="B264" s="16" t="s">
        <v>280</v>
      </c>
      <c r="C264" s="16">
        <v>1877</v>
      </c>
      <c r="D264" s="16">
        <f>69258+65549</f>
        <v>134807</v>
      </c>
      <c r="E264" s="16" t="s">
        <v>6</v>
      </c>
      <c r="F264" s="16">
        <f>1853+1780</f>
        <v>3633</v>
      </c>
    </row>
    <row r="265" spans="1:6" x14ac:dyDescent="0.35">
      <c r="A265" s="16" t="s">
        <v>279</v>
      </c>
      <c r="B265" s="16" t="s">
        <v>280</v>
      </c>
      <c r="C265" s="16">
        <v>1878</v>
      </c>
      <c r="D265" s="16">
        <f>67184+63691</f>
        <v>130875</v>
      </c>
      <c r="E265" s="16" t="s">
        <v>6</v>
      </c>
      <c r="F265" s="16">
        <f>1822+1713</f>
        <v>3535</v>
      </c>
    </row>
    <row r="266" spans="1:6" x14ac:dyDescent="0.35">
      <c r="A266" s="16" t="s">
        <v>279</v>
      </c>
      <c r="B266" s="16" t="s">
        <v>280</v>
      </c>
      <c r="C266" s="16">
        <v>1879</v>
      </c>
      <c r="D266" s="16">
        <f>69339+66002</f>
        <v>135341</v>
      </c>
      <c r="E266" s="16" t="s">
        <v>6</v>
      </c>
      <c r="F266" s="16">
        <f>1872+1782</f>
        <v>3654</v>
      </c>
    </row>
    <row r="267" spans="1:6" x14ac:dyDescent="0.35">
      <c r="A267" s="16" t="s">
        <v>279</v>
      </c>
      <c r="B267" s="16" t="s">
        <v>280</v>
      </c>
      <c r="C267" s="16">
        <v>1880</v>
      </c>
      <c r="D267" s="16">
        <f>66814+64064</f>
        <v>130878</v>
      </c>
      <c r="E267" s="16" t="s">
        <v>6</v>
      </c>
      <c r="F267" s="16">
        <f>1705+1612</f>
        <v>3317</v>
      </c>
    </row>
    <row r="268" spans="1:6" x14ac:dyDescent="0.35">
      <c r="A268" s="16" t="s">
        <v>279</v>
      </c>
      <c r="B268" s="16" t="s">
        <v>280</v>
      </c>
      <c r="C268" s="16">
        <v>1881</v>
      </c>
      <c r="D268" s="16">
        <f>66423+62654</f>
        <v>129077</v>
      </c>
      <c r="E268" s="16" t="s">
        <v>6</v>
      </c>
      <c r="F268" s="16">
        <f>1917+1725</f>
        <v>3642</v>
      </c>
    </row>
    <row r="269" spans="1:6" x14ac:dyDescent="0.35">
      <c r="A269" s="16" t="s">
        <v>279</v>
      </c>
      <c r="B269" s="16" t="s">
        <v>280</v>
      </c>
      <c r="C269" s="16">
        <v>1882</v>
      </c>
      <c r="D269" s="16">
        <f>67096+63708</f>
        <v>130804</v>
      </c>
      <c r="E269" s="16" t="s">
        <v>6</v>
      </c>
      <c r="F269" s="16">
        <f>1796+1631</f>
        <v>3427</v>
      </c>
    </row>
    <row r="270" spans="1:6" x14ac:dyDescent="0.35">
      <c r="A270" s="16" t="s">
        <v>279</v>
      </c>
      <c r="B270" s="16" t="s">
        <v>280</v>
      </c>
      <c r="C270" s="16">
        <v>1883</v>
      </c>
      <c r="D270" s="16">
        <f>66589+62723</f>
        <v>129312</v>
      </c>
      <c r="E270" s="16" t="s">
        <v>6</v>
      </c>
      <c r="F270" s="16">
        <f>1762+1731</f>
        <v>3493</v>
      </c>
    </row>
    <row r="271" spans="1:6" x14ac:dyDescent="0.35">
      <c r="A271" s="16" t="s">
        <v>279</v>
      </c>
      <c r="B271" s="16" t="s">
        <v>280</v>
      </c>
      <c r="C271" s="16">
        <v>1884</v>
      </c>
      <c r="D271" s="16">
        <f>69398+65549</f>
        <v>134947</v>
      </c>
      <c r="E271" s="16" t="s">
        <v>6</v>
      </c>
      <c r="F271" s="16">
        <f>1882+1845</f>
        <v>3727</v>
      </c>
    </row>
    <row r="272" spans="1:6" x14ac:dyDescent="0.35">
      <c r="A272" s="16" t="s">
        <v>279</v>
      </c>
      <c r="B272" s="16" t="s">
        <v>280</v>
      </c>
      <c r="C272" s="16">
        <v>1885</v>
      </c>
      <c r="D272" s="16">
        <f>68706+65005</f>
        <v>133711</v>
      </c>
      <c r="E272" s="16" t="s">
        <v>6</v>
      </c>
      <c r="F272" s="16">
        <f>1792+1749</f>
        <v>3541</v>
      </c>
    </row>
    <row r="273" spans="1:6" x14ac:dyDescent="0.35">
      <c r="A273" s="16" t="s">
        <v>279</v>
      </c>
      <c r="B273" s="16" t="s">
        <v>280</v>
      </c>
      <c r="C273" s="16">
        <v>1886</v>
      </c>
      <c r="D273" s="16">
        <f>69850+66516</f>
        <v>136366</v>
      </c>
      <c r="E273" s="16" t="s">
        <v>6</v>
      </c>
      <c r="F273" s="16">
        <f>1788+1672</f>
        <v>3460</v>
      </c>
    </row>
    <row r="274" spans="1:6" x14ac:dyDescent="0.35">
      <c r="A274" s="16" t="s">
        <v>279</v>
      </c>
      <c r="B274" s="16" t="s">
        <v>280</v>
      </c>
      <c r="C274" s="16">
        <v>1887</v>
      </c>
      <c r="D274" s="16">
        <f>69982+66338</f>
        <v>136320</v>
      </c>
      <c r="E274" s="16" t="s">
        <v>6</v>
      </c>
      <c r="F274" s="16">
        <f>1903+1884</f>
        <v>3787</v>
      </c>
    </row>
    <row r="275" spans="1:6" x14ac:dyDescent="0.35">
      <c r="A275" s="16" t="s">
        <v>279</v>
      </c>
      <c r="B275" s="16" t="s">
        <v>280</v>
      </c>
      <c r="C275" s="16">
        <v>1888</v>
      </c>
      <c r="D275" s="16">
        <f>68049+64945</f>
        <v>132994</v>
      </c>
      <c r="E275" s="16" t="s">
        <v>6</v>
      </c>
      <c r="F275" s="16">
        <f>1680+1726</f>
        <v>3406</v>
      </c>
    </row>
    <row r="276" spans="1:6" x14ac:dyDescent="0.35">
      <c r="A276" s="16" t="s">
        <v>279</v>
      </c>
      <c r="B276" s="16" t="s">
        <v>280</v>
      </c>
      <c r="C276" s="16">
        <v>1889</v>
      </c>
      <c r="D276" s="16">
        <f>65732+62860</f>
        <v>128592</v>
      </c>
      <c r="E276" s="16" t="s">
        <v>6</v>
      </c>
      <c r="F276" s="16">
        <f>1757+1660</f>
        <v>3417</v>
      </c>
    </row>
    <row r="277" spans="1:6" x14ac:dyDescent="0.35">
      <c r="A277" s="16" t="s">
        <v>279</v>
      </c>
      <c r="B277" s="16" t="s">
        <v>280</v>
      </c>
      <c r="C277" s="16">
        <v>1890</v>
      </c>
      <c r="D277" s="16">
        <f>66554+63577</f>
        <v>130131</v>
      </c>
      <c r="E277" s="16" t="s">
        <v>6</v>
      </c>
      <c r="F277" s="16">
        <f>1744+1651</f>
        <v>3395</v>
      </c>
    </row>
    <row r="278" spans="1:6" x14ac:dyDescent="0.35">
      <c r="A278" s="16" t="s">
        <v>279</v>
      </c>
      <c r="B278" s="16" t="s">
        <v>280</v>
      </c>
      <c r="C278" s="16">
        <v>1891</v>
      </c>
      <c r="D278" s="16">
        <f>67929+64132</f>
        <v>132061</v>
      </c>
      <c r="E278" s="16" t="s">
        <v>6</v>
      </c>
      <c r="F278" s="16">
        <f>1708+1709</f>
        <v>3417</v>
      </c>
    </row>
    <row r="279" spans="1:6" x14ac:dyDescent="0.35">
      <c r="A279" s="16" t="s">
        <v>279</v>
      </c>
      <c r="B279" s="16" t="s">
        <v>280</v>
      </c>
      <c r="C279" s="16">
        <v>1892</v>
      </c>
      <c r="D279" s="16">
        <f>64760+61457</f>
        <v>126217</v>
      </c>
      <c r="E279" s="16" t="s">
        <v>6</v>
      </c>
      <c r="F279" s="16">
        <f>1722+1626</f>
        <v>3348</v>
      </c>
    </row>
    <row r="280" spans="1:6" x14ac:dyDescent="0.35">
      <c r="A280" s="16" t="s">
        <v>279</v>
      </c>
      <c r="B280" s="16" t="s">
        <v>280</v>
      </c>
      <c r="C280" s="16">
        <v>1893</v>
      </c>
      <c r="D280" s="16">
        <f>66182+62136</f>
        <v>128318</v>
      </c>
      <c r="E280" s="16" t="s">
        <v>6</v>
      </c>
      <c r="F280" s="16">
        <f>1695+1682</f>
        <v>3377</v>
      </c>
    </row>
    <row r="281" spans="1:6" x14ac:dyDescent="0.35">
      <c r="A281" s="16" t="s">
        <v>279</v>
      </c>
      <c r="B281" s="16" t="s">
        <v>280</v>
      </c>
      <c r="C281" s="16">
        <v>1894</v>
      </c>
      <c r="D281" s="16">
        <f>65595+62263</f>
        <v>127858</v>
      </c>
      <c r="E281" s="16" t="s">
        <v>6</v>
      </c>
      <c r="F281" s="16">
        <f>1761+1726</f>
        <v>3487</v>
      </c>
    </row>
    <row r="282" spans="1:6" x14ac:dyDescent="0.35">
      <c r="A282" s="16" t="s">
        <v>279</v>
      </c>
      <c r="B282" s="16" t="s">
        <v>280</v>
      </c>
      <c r="C282" s="16">
        <v>1895</v>
      </c>
      <c r="D282" s="16">
        <f>67270+63546</f>
        <v>130816</v>
      </c>
      <c r="E282" s="16" t="s">
        <v>6</v>
      </c>
      <c r="F282" s="16">
        <f>1886+1816</f>
        <v>3702</v>
      </c>
    </row>
    <row r="283" spans="1:6" x14ac:dyDescent="0.35">
      <c r="A283" s="16" t="s">
        <v>279</v>
      </c>
      <c r="B283" s="16" t="s">
        <v>280</v>
      </c>
      <c r="C283" s="16">
        <v>1896</v>
      </c>
      <c r="D283" s="16">
        <f>67092+63790</f>
        <v>130882</v>
      </c>
      <c r="E283" s="16" t="s">
        <v>6</v>
      </c>
      <c r="F283" s="16">
        <f>1775+1614</f>
        <v>3389</v>
      </c>
    </row>
    <row r="284" spans="1:6" x14ac:dyDescent="0.35">
      <c r="A284" s="16" t="s">
        <v>279</v>
      </c>
      <c r="B284" s="16" t="s">
        <v>280</v>
      </c>
      <c r="C284" s="16">
        <v>1897</v>
      </c>
      <c r="D284" s="16">
        <f>66657+62707</f>
        <v>129364</v>
      </c>
      <c r="E284" s="16" t="s">
        <v>6</v>
      </c>
      <c r="F284" s="16">
        <f>1823+1762</f>
        <v>3585</v>
      </c>
    </row>
    <row r="285" spans="1:6" x14ac:dyDescent="0.35">
      <c r="A285" s="16" t="s">
        <v>279</v>
      </c>
      <c r="B285" s="16" t="s">
        <v>280</v>
      </c>
      <c r="C285" s="16">
        <v>1898</v>
      </c>
      <c r="D285" s="16">
        <f>68423+64232</f>
        <v>132655</v>
      </c>
      <c r="E285" s="16" t="s">
        <v>6</v>
      </c>
      <c r="F285" s="16">
        <f>1935+1870</f>
        <v>3805</v>
      </c>
    </row>
    <row r="286" spans="1:6" x14ac:dyDescent="0.35">
      <c r="A286" s="16" t="s">
        <v>279</v>
      </c>
      <c r="B286" s="16" t="s">
        <v>280</v>
      </c>
      <c r="C286" s="16" t="s">
        <v>227</v>
      </c>
      <c r="D286" s="16">
        <f>66800+63232</f>
        <v>130032</v>
      </c>
      <c r="E286" s="16" t="s">
        <v>6</v>
      </c>
      <c r="F286" s="16">
        <f>1869+1900</f>
        <v>3769</v>
      </c>
    </row>
    <row r="287" spans="1:6" x14ac:dyDescent="0.35">
      <c r="A287" s="16" t="s">
        <v>279</v>
      </c>
      <c r="B287" s="16" t="s">
        <v>280</v>
      </c>
      <c r="C287" s="16">
        <v>1900</v>
      </c>
      <c r="D287" s="16">
        <f>68899+65412</f>
        <v>134311</v>
      </c>
      <c r="E287" s="16" t="s">
        <v>6</v>
      </c>
      <c r="F287" s="16">
        <f>1889+1848</f>
        <v>3737</v>
      </c>
    </row>
    <row r="288" spans="1:6" x14ac:dyDescent="0.35">
      <c r="A288" s="16" t="s">
        <v>279</v>
      </c>
      <c r="B288" s="16" t="s">
        <v>280</v>
      </c>
      <c r="C288" s="16">
        <v>1901</v>
      </c>
      <c r="D288" s="16">
        <f>69683+65560</f>
        <v>135243</v>
      </c>
      <c r="E288" s="16" t="s">
        <v>6</v>
      </c>
      <c r="F288" s="16">
        <f>2081+1994</f>
        <v>4075</v>
      </c>
    </row>
    <row r="289" spans="1:6" x14ac:dyDescent="0.35">
      <c r="A289" s="16" t="s">
        <v>279</v>
      </c>
      <c r="B289" s="16" t="s">
        <v>280</v>
      </c>
      <c r="C289" s="16">
        <v>1902</v>
      </c>
      <c r="D289" s="16">
        <f>68364+65180</f>
        <v>133544</v>
      </c>
      <c r="E289" s="16" t="s">
        <v>6</v>
      </c>
      <c r="F289" s="16">
        <f>1901+1855</f>
        <v>3756</v>
      </c>
    </row>
    <row r="290" spans="1:6" x14ac:dyDescent="0.35">
      <c r="A290" s="16" t="s">
        <v>279</v>
      </c>
      <c r="B290" s="16" t="s">
        <v>280</v>
      </c>
      <c r="C290" s="16">
        <v>1903</v>
      </c>
      <c r="D290" s="16">
        <f>66765+63515</f>
        <v>130280</v>
      </c>
      <c r="E290" s="16" t="s">
        <v>6</v>
      </c>
      <c r="F290" s="16">
        <f>1843+1729</f>
        <v>3572</v>
      </c>
    </row>
    <row r="291" spans="1:6" x14ac:dyDescent="0.35">
      <c r="A291" s="16" t="s">
        <v>279</v>
      </c>
      <c r="B291" s="16" t="s">
        <v>280</v>
      </c>
      <c r="C291" s="16">
        <v>1904</v>
      </c>
      <c r="D291" s="16">
        <f>67713+63403</f>
        <v>131116</v>
      </c>
      <c r="E291" s="16" t="s">
        <v>6</v>
      </c>
      <c r="F291" s="16">
        <f>1918+1871</f>
        <v>3789</v>
      </c>
    </row>
    <row r="292" spans="1:6" x14ac:dyDescent="0.35">
      <c r="A292" s="16" t="s">
        <v>279</v>
      </c>
      <c r="B292" s="16" t="s">
        <v>280</v>
      </c>
      <c r="C292" s="16">
        <v>1905</v>
      </c>
      <c r="D292" s="16">
        <f>67403+64295</f>
        <v>131698</v>
      </c>
      <c r="E292" s="16" t="s">
        <v>6</v>
      </c>
      <c r="F292" s="16">
        <f>1845+1816</f>
        <v>3661</v>
      </c>
    </row>
    <row r="293" spans="1:6" x14ac:dyDescent="0.35">
      <c r="A293" s="16" t="s">
        <v>279</v>
      </c>
      <c r="B293" s="16" t="s">
        <v>280</v>
      </c>
      <c r="C293" s="16">
        <v>1906</v>
      </c>
      <c r="D293" s="16">
        <f>68527+64383</f>
        <v>132910</v>
      </c>
      <c r="E293" s="16" t="s">
        <v>6</v>
      </c>
      <c r="F293" s="16">
        <f>1828+1817</f>
        <v>3645</v>
      </c>
    </row>
    <row r="294" spans="1:6" x14ac:dyDescent="0.35">
      <c r="A294" s="16" t="s">
        <v>279</v>
      </c>
      <c r="B294" s="16" t="s">
        <v>280</v>
      </c>
      <c r="C294" s="16">
        <v>1907</v>
      </c>
      <c r="D294" s="16">
        <f>68507+64356</f>
        <v>132863</v>
      </c>
      <c r="E294" s="16" t="s">
        <v>6</v>
      </c>
      <c r="F294" s="16">
        <f>1956+1918</f>
        <v>3874</v>
      </c>
    </row>
    <row r="295" spans="1:6" x14ac:dyDescent="0.35">
      <c r="A295" s="16" t="s">
        <v>279</v>
      </c>
      <c r="B295" s="16" t="s">
        <v>280</v>
      </c>
      <c r="C295" s="16">
        <v>1908</v>
      </c>
      <c r="D295" s="16">
        <f>69346+65575</f>
        <v>134921</v>
      </c>
      <c r="E295" s="16" t="s">
        <v>6</v>
      </c>
      <c r="F295" s="16">
        <f>2003+1887</f>
        <v>3890</v>
      </c>
    </row>
    <row r="296" spans="1:6" x14ac:dyDescent="0.35">
      <c r="A296" s="16" t="s">
        <v>279</v>
      </c>
      <c r="B296" s="16" t="s">
        <v>280</v>
      </c>
      <c r="C296" s="16">
        <v>1909</v>
      </c>
      <c r="D296" s="16">
        <f>69923+65704</f>
        <v>135627</v>
      </c>
      <c r="E296" s="16" t="s">
        <v>6</v>
      </c>
      <c r="F296" s="16">
        <f>1971+1852</f>
        <v>3823</v>
      </c>
    </row>
    <row r="297" spans="1:6" x14ac:dyDescent="0.35">
      <c r="A297" s="16" t="s">
        <v>279</v>
      </c>
      <c r="B297" s="16" t="s">
        <v>280</v>
      </c>
      <c r="C297" s="16">
        <v>1910</v>
      </c>
      <c r="D297" s="16">
        <f>68238+63692</f>
        <v>131930</v>
      </c>
      <c r="E297" s="16" t="s">
        <v>6</v>
      </c>
      <c r="F297" s="16">
        <f>1842+1776</f>
        <v>3618</v>
      </c>
    </row>
    <row r="298" spans="1:6" x14ac:dyDescent="0.35">
      <c r="A298" s="16" t="s">
        <v>279</v>
      </c>
      <c r="B298" s="16" t="s">
        <v>280</v>
      </c>
      <c r="C298" s="16">
        <v>1911</v>
      </c>
      <c r="D298" s="16">
        <f>66560+62785</f>
        <v>129345</v>
      </c>
      <c r="E298" s="16" t="s">
        <v>6</v>
      </c>
      <c r="F298" s="16">
        <f>1865+1720</f>
        <v>3585</v>
      </c>
    </row>
    <row r="299" spans="1:6" x14ac:dyDescent="0.35">
      <c r="A299" s="16" t="s">
        <v>279</v>
      </c>
      <c r="B299" s="16" t="s">
        <v>280</v>
      </c>
      <c r="C299" s="16">
        <v>1912</v>
      </c>
      <c r="D299" s="16">
        <f>66358+62860</f>
        <v>129218</v>
      </c>
      <c r="E299" s="16" t="s">
        <v>6</v>
      </c>
      <c r="F299" s="16">
        <f>1813+1764</f>
        <v>3577</v>
      </c>
    </row>
    <row r="300" spans="1:6" x14ac:dyDescent="0.35">
      <c r="A300" s="16" t="s">
        <v>279</v>
      </c>
      <c r="B300" s="16" t="s">
        <v>280</v>
      </c>
      <c r="C300" s="16">
        <v>1913</v>
      </c>
      <c r="D300" s="16">
        <f>65206+61428</f>
        <v>126634</v>
      </c>
      <c r="E300" s="16" t="s">
        <v>6</v>
      </c>
      <c r="F300" s="16">
        <f>1789+1718</f>
        <v>3507</v>
      </c>
    </row>
    <row r="301" spans="1:6" x14ac:dyDescent="0.35">
      <c r="A301" s="16" t="s">
        <v>279</v>
      </c>
      <c r="B301" s="16" t="s">
        <v>280</v>
      </c>
      <c r="C301" s="16">
        <v>1914</v>
      </c>
      <c r="D301" s="16">
        <f>64638+61136</f>
        <v>125774</v>
      </c>
      <c r="E301" s="16" t="s">
        <v>6</v>
      </c>
      <c r="F301" s="16">
        <f>1815+1792</f>
        <v>3607</v>
      </c>
    </row>
    <row r="302" spans="1:6" x14ac:dyDescent="0.35">
      <c r="A302" s="16" t="s">
        <v>279</v>
      </c>
      <c r="B302" s="16" t="s">
        <v>280</v>
      </c>
      <c r="C302" s="16">
        <v>1915</v>
      </c>
      <c r="D302" s="16">
        <f>61259+58110</f>
        <v>119369</v>
      </c>
      <c r="E302" s="16" t="s">
        <v>6</v>
      </c>
      <c r="F302" s="16">
        <f>1846+1727</f>
        <v>3573</v>
      </c>
    </row>
    <row r="303" spans="1:6" x14ac:dyDescent="0.35">
      <c r="A303" s="16" t="s">
        <v>279</v>
      </c>
      <c r="B303" s="16" t="s">
        <v>280</v>
      </c>
      <c r="C303" s="16">
        <v>1916</v>
      </c>
      <c r="D303" s="16">
        <f>60849+57357</f>
        <v>118206</v>
      </c>
      <c r="E303" s="16" t="s">
        <v>6</v>
      </c>
      <c r="F303" s="16">
        <f>1709+1727</f>
        <v>3436</v>
      </c>
    </row>
    <row r="304" spans="1:6" x14ac:dyDescent="0.35">
      <c r="A304" s="16" t="s">
        <v>279</v>
      </c>
      <c r="B304" s="16" t="s">
        <v>280</v>
      </c>
      <c r="C304" s="16">
        <v>1917</v>
      </c>
      <c r="D304" s="16">
        <f>60333+57099</f>
        <v>117432</v>
      </c>
      <c r="E304" s="16" t="s">
        <v>6</v>
      </c>
      <c r="F304" s="16">
        <f>1700+1668</f>
        <v>3368</v>
      </c>
    </row>
    <row r="305" spans="1:6" x14ac:dyDescent="0.35">
      <c r="A305" s="16" t="s">
        <v>279</v>
      </c>
      <c r="B305" s="16" t="s">
        <v>280</v>
      </c>
      <c r="C305" s="16">
        <v>1918</v>
      </c>
      <c r="D305" s="16">
        <f>59216+55711</f>
        <v>114927</v>
      </c>
      <c r="E305" s="16" t="s">
        <v>6</v>
      </c>
      <c r="F305" s="16">
        <f>1527+1465</f>
        <v>2992</v>
      </c>
    </row>
    <row r="306" spans="1:6" x14ac:dyDescent="0.35">
      <c r="A306" s="16" t="s">
        <v>279</v>
      </c>
      <c r="B306" s="16" t="s">
        <v>280</v>
      </c>
      <c r="C306" s="16">
        <v>1919</v>
      </c>
      <c r="D306" s="16">
        <f>57873+54380</f>
        <v>112253</v>
      </c>
      <c r="E306" s="16" t="s">
        <v>6</v>
      </c>
      <c r="F306" s="16">
        <f>1447+1438</f>
        <v>2885</v>
      </c>
    </row>
    <row r="307" spans="1:6" x14ac:dyDescent="0.35">
      <c r="A307" s="16" t="s">
        <v>279</v>
      </c>
      <c r="B307" s="16" t="s">
        <v>280</v>
      </c>
      <c r="C307" s="16">
        <v>1920</v>
      </c>
      <c r="D307" s="16">
        <f>69427+65284</f>
        <v>134711</v>
      </c>
      <c r="E307" s="16" t="s">
        <v>6</v>
      </c>
      <c r="F307" s="16">
        <f>2087+1902</f>
        <v>3989</v>
      </c>
    </row>
    <row r="308" spans="1:6" x14ac:dyDescent="0.35">
      <c r="A308" s="16" t="s">
        <v>279</v>
      </c>
      <c r="B308" s="16" t="s">
        <v>280</v>
      </c>
      <c r="C308" s="16">
        <v>1921</v>
      </c>
      <c r="D308" s="16">
        <f>63757+60457</f>
        <v>124214</v>
      </c>
      <c r="E308" s="16" t="s">
        <v>6</v>
      </c>
      <c r="F308" s="16">
        <f>1772+1703</f>
        <v>3475</v>
      </c>
    </row>
    <row r="309" spans="1:6" x14ac:dyDescent="0.35">
      <c r="A309" s="16" t="s">
        <v>279</v>
      </c>
      <c r="B309" s="16" t="s">
        <v>280</v>
      </c>
      <c r="C309" s="16">
        <v>1922</v>
      </c>
      <c r="D309" s="16">
        <f>58366+55263</f>
        <v>113629</v>
      </c>
      <c r="E309" s="16" t="s">
        <v>6</v>
      </c>
      <c r="F309" s="16">
        <f>1676+1592</f>
        <v>3268</v>
      </c>
    </row>
    <row r="310" spans="1:6" x14ac:dyDescent="0.35">
      <c r="A310" s="16" t="s">
        <v>279</v>
      </c>
      <c r="B310" s="16" t="s">
        <v>280</v>
      </c>
      <c r="C310" s="16">
        <v>1923</v>
      </c>
      <c r="D310" s="16">
        <f>56926+53343</f>
        <v>110269</v>
      </c>
      <c r="E310" s="16" t="s">
        <v>6</v>
      </c>
      <c r="F310" s="16">
        <f>1631+1496</f>
        <v>3127</v>
      </c>
    </row>
    <row r="311" spans="1:6" x14ac:dyDescent="0.35">
      <c r="A311" s="16" t="s">
        <v>279</v>
      </c>
      <c r="B311" s="16" t="s">
        <v>280</v>
      </c>
      <c r="C311" s="16">
        <v>1924</v>
      </c>
      <c r="D311" s="16">
        <f>54436+51620</f>
        <v>106056</v>
      </c>
      <c r="E311" s="16" t="s">
        <v>6</v>
      </c>
      <c r="F311" s="16">
        <f>1495+1470</f>
        <v>2965</v>
      </c>
    </row>
    <row r="312" spans="1:6" x14ac:dyDescent="0.35">
      <c r="A312" s="16" t="s">
        <v>279</v>
      </c>
      <c r="B312" s="16" t="s">
        <v>280</v>
      </c>
      <c r="C312" s="16">
        <v>1925</v>
      </c>
      <c r="D312" s="16">
        <f>53379+50168</f>
        <v>103547</v>
      </c>
      <c r="E312" s="16" t="s">
        <v>6</v>
      </c>
      <c r="F312" s="16">
        <f>1347+1359</f>
        <v>2706</v>
      </c>
    </row>
    <row r="313" spans="1:6" x14ac:dyDescent="0.35">
      <c r="A313" s="16" t="s">
        <v>279</v>
      </c>
      <c r="B313" s="16" t="s">
        <v>280</v>
      </c>
      <c r="C313" s="16">
        <v>1926</v>
      </c>
      <c r="D313" s="16">
        <f>50877+48226</f>
        <v>99103</v>
      </c>
      <c r="E313" s="16" t="s">
        <v>6</v>
      </c>
      <c r="F313" s="16">
        <f>1408+1439</f>
        <v>2847</v>
      </c>
    </row>
    <row r="314" spans="1:6" x14ac:dyDescent="0.35">
      <c r="A314" s="16" t="s">
        <v>279</v>
      </c>
      <c r="B314" s="16" t="s">
        <v>280</v>
      </c>
      <c r="C314" s="16">
        <v>1927</v>
      </c>
      <c r="D314" s="16">
        <f>48926+46421</f>
        <v>95347</v>
      </c>
      <c r="E314" s="16" t="s">
        <v>6</v>
      </c>
      <c r="F314" s="16">
        <f>1384+1221</f>
        <v>2605</v>
      </c>
    </row>
    <row r="315" spans="1:6" x14ac:dyDescent="0.35">
      <c r="A315" s="16" t="s">
        <v>279</v>
      </c>
      <c r="B315" s="16" t="s">
        <v>280</v>
      </c>
      <c r="C315" s="16">
        <v>1928</v>
      </c>
      <c r="D315" s="16">
        <f>48884+46349</f>
        <v>95233</v>
      </c>
      <c r="E315" s="16" t="s">
        <v>6</v>
      </c>
      <c r="F315" s="16">
        <f>1316+1290</f>
        <v>2606</v>
      </c>
    </row>
    <row r="316" spans="1:6" x14ac:dyDescent="0.35">
      <c r="A316" s="16" t="s">
        <v>279</v>
      </c>
      <c r="B316" s="16" t="s">
        <v>280</v>
      </c>
      <c r="C316" s="16">
        <v>1929</v>
      </c>
      <c r="D316" s="16">
        <f>46423+43782</f>
        <v>90205</v>
      </c>
      <c r="E316" s="16" t="s">
        <v>6</v>
      </c>
      <c r="F316" s="16">
        <f>1317+1300</f>
        <v>2617</v>
      </c>
    </row>
    <row r="317" spans="1:6" x14ac:dyDescent="0.35">
      <c r="A317" s="16" t="s">
        <v>279</v>
      </c>
      <c r="B317" s="16" t="s">
        <v>280</v>
      </c>
      <c r="C317" s="16">
        <v>1930</v>
      </c>
      <c r="D317" s="16">
        <f>46899+44736</f>
        <v>91635</v>
      </c>
      <c r="E317" s="16" t="s">
        <v>6</v>
      </c>
      <c r="F317" s="16">
        <f>1281+1253</f>
        <v>2534</v>
      </c>
    </row>
    <row r="318" spans="1:6" x14ac:dyDescent="0.35">
      <c r="A318" s="16" t="s">
        <v>279</v>
      </c>
      <c r="B318" s="16" t="s">
        <v>280</v>
      </c>
      <c r="C318" s="16">
        <v>1931</v>
      </c>
      <c r="D318" s="16">
        <f>45593+43096</f>
        <v>88689</v>
      </c>
      <c r="E318" s="16" t="s">
        <v>6</v>
      </c>
      <c r="F318" s="16">
        <f>1164+1179</f>
        <v>2343</v>
      </c>
    </row>
    <row r="319" spans="1:6" x14ac:dyDescent="0.35">
      <c r="A319" s="16" t="s">
        <v>279</v>
      </c>
      <c r="B319" s="16" t="s">
        <v>280</v>
      </c>
      <c r="C319" s="16">
        <v>1932</v>
      </c>
      <c r="D319" s="16">
        <f>44870+42564</f>
        <v>87434</v>
      </c>
      <c r="E319" s="16" t="s">
        <v>6</v>
      </c>
      <c r="F319" s="16">
        <f>1141+1180</f>
        <v>2321</v>
      </c>
    </row>
    <row r="320" spans="1:6" x14ac:dyDescent="0.35">
      <c r="A320" s="16" t="s">
        <v>279</v>
      </c>
      <c r="B320" s="16" t="s">
        <v>280</v>
      </c>
      <c r="C320" s="16">
        <v>1933</v>
      </c>
      <c r="D320" s="16">
        <f>42736+40102</f>
        <v>82838</v>
      </c>
      <c r="E320" s="16" t="s">
        <v>6</v>
      </c>
      <c r="F320" s="16">
        <f>1072+1078</f>
        <v>2150</v>
      </c>
    </row>
    <row r="321" spans="1:6" x14ac:dyDescent="0.35">
      <c r="A321" s="16" t="s">
        <v>279</v>
      </c>
      <c r="B321" s="16" t="s">
        <v>280</v>
      </c>
      <c r="C321" s="16">
        <v>1934</v>
      </c>
      <c r="D321" s="16">
        <f>42748+40225</f>
        <v>82973</v>
      </c>
      <c r="E321" s="16" t="s">
        <v>6</v>
      </c>
      <c r="F321" s="16">
        <f>1040+1069</f>
        <v>2109</v>
      </c>
    </row>
    <row r="322" spans="1:6" x14ac:dyDescent="0.35">
      <c r="A322" s="16" t="s">
        <v>279</v>
      </c>
      <c r="B322" s="16" t="s">
        <v>280</v>
      </c>
      <c r="C322" s="16">
        <v>1935</v>
      </c>
      <c r="D322" s="16">
        <f>43275+40453</f>
        <v>83728</v>
      </c>
      <c r="E322" s="16" t="s">
        <v>6</v>
      </c>
      <c r="F322" s="16">
        <f>1105+1049</f>
        <v>2154</v>
      </c>
    </row>
    <row r="323" spans="1:6" x14ac:dyDescent="0.35">
      <c r="A323" s="16" t="s">
        <v>279</v>
      </c>
      <c r="B323" s="16" t="s">
        <v>280</v>
      </c>
      <c r="C323" s="16">
        <v>1936</v>
      </c>
      <c r="D323" s="16">
        <f>44511+42240</f>
        <v>86751</v>
      </c>
      <c r="E323" s="16" t="s">
        <v>6</v>
      </c>
      <c r="F323" s="16">
        <f>1095+1063</f>
        <v>2158</v>
      </c>
    </row>
    <row r="324" spans="1:6" x14ac:dyDescent="0.35">
      <c r="A324" s="16" t="s">
        <v>279</v>
      </c>
      <c r="B324" s="16" t="s">
        <v>280</v>
      </c>
      <c r="C324" s="16">
        <v>1937</v>
      </c>
      <c r="D324" s="16">
        <f>45336+42677</f>
        <v>88013</v>
      </c>
      <c r="E324" s="16" t="s">
        <v>6</v>
      </c>
      <c r="F324" s="16">
        <f>1188+1147</f>
        <v>2335</v>
      </c>
    </row>
    <row r="325" spans="1:6" x14ac:dyDescent="0.35">
      <c r="A325" s="16" t="s">
        <v>279</v>
      </c>
      <c r="B325" s="16" t="s">
        <v>280</v>
      </c>
      <c r="C325" s="16">
        <v>1938</v>
      </c>
      <c r="D325" s="16">
        <f>47078+44505</f>
        <v>91583</v>
      </c>
      <c r="E325" s="16" t="s">
        <v>6</v>
      </c>
      <c r="F325" s="16">
        <f>1159+1178</f>
        <v>2337</v>
      </c>
    </row>
    <row r="326" spans="1:6" x14ac:dyDescent="0.35">
      <c r="A326" s="16" t="s">
        <v>279</v>
      </c>
      <c r="B326" s="16" t="s">
        <v>280</v>
      </c>
      <c r="C326" s="16">
        <v>1939</v>
      </c>
      <c r="D326" s="16">
        <f>48691+46172</f>
        <v>94863</v>
      </c>
      <c r="E326" s="16" t="s">
        <v>6</v>
      </c>
      <c r="F326" s="16">
        <f>1256+1235</f>
        <v>2491</v>
      </c>
    </row>
    <row r="327" spans="1:6" x14ac:dyDescent="0.35">
      <c r="A327" s="16" t="s">
        <v>279</v>
      </c>
      <c r="B327" s="16" t="s">
        <v>280</v>
      </c>
      <c r="C327" s="16">
        <v>1940</v>
      </c>
      <c r="D327" s="16">
        <f>47958+45403</f>
        <v>93361</v>
      </c>
      <c r="E327" s="16" t="s">
        <v>6</v>
      </c>
      <c r="F327" s="16">
        <f>1264+1141</f>
        <v>2405</v>
      </c>
    </row>
    <row r="328" spans="1:6" x14ac:dyDescent="0.35">
      <c r="A328" s="16" t="s">
        <v>279</v>
      </c>
      <c r="B328" s="16" t="s">
        <v>280</v>
      </c>
      <c r="C328" s="16">
        <v>1941</v>
      </c>
      <c r="D328" s="16">
        <f>49903+47365</f>
        <v>97268</v>
      </c>
      <c r="E328" s="16" t="s">
        <v>6</v>
      </c>
      <c r="F328" s="16">
        <f>1232+1189</f>
        <v>2421</v>
      </c>
    </row>
    <row r="329" spans="1:6" x14ac:dyDescent="0.35">
      <c r="A329" s="16" t="s">
        <v>279</v>
      </c>
      <c r="B329" s="16" t="s">
        <v>280</v>
      </c>
      <c r="C329" s="16">
        <v>1942</v>
      </c>
      <c r="D329" s="16">
        <f>57146+53936</f>
        <v>111082</v>
      </c>
      <c r="E329" s="16" t="s">
        <v>6</v>
      </c>
      <c r="F329" s="16">
        <f>1434+1416</f>
        <v>2850</v>
      </c>
    </row>
    <row r="330" spans="1:6" x14ac:dyDescent="0.35">
      <c r="A330" s="16" t="s">
        <v>279</v>
      </c>
      <c r="B330" s="16" t="s">
        <v>280</v>
      </c>
      <c r="C330" s="16">
        <v>1943</v>
      </c>
      <c r="D330" s="16">
        <f>62777+59519</f>
        <v>122296</v>
      </c>
      <c r="E330" s="16" t="s">
        <v>6</v>
      </c>
      <c r="F330" s="16">
        <f>1538+1517</f>
        <v>3055</v>
      </c>
    </row>
    <row r="331" spans="1:6" x14ac:dyDescent="0.35">
      <c r="A331" s="16" t="s">
        <v>279</v>
      </c>
      <c r="B331" s="16" t="s">
        <v>280</v>
      </c>
      <c r="C331" s="16">
        <v>1944</v>
      </c>
      <c r="D331" s="16">
        <f>68068+63585</f>
        <v>131653</v>
      </c>
      <c r="E331" s="16" t="s">
        <v>6</v>
      </c>
      <c r="F331" s="16">
        <f>1620+1655</f>
        <v>3275</v>
      </c>
    </row>
    <row r="332" spans="1:6" x14ac:dyDescent="0.35">
      <c r="A332" s="16" t="s">
        <v>279</v>
      </c>
      <c r="B332" s="16" t="s">
        <v>280</v>
      </c>
      <c r="C332" s="16">
        <v>1945</v>
      </c>
      <c r="D332" s="16">
        <f>68253+63829</f>
        <v>132082</v>
      </c>
      <c r="E332" s="16" t="s">
        <v>6</v>
      </c>
      <c r="F332" s="16">
        <f>1659+1571</f>
        <v>3230</v>
      </c>
    </row>
    <row r="333" spans="1:6" x14ac:dyDescent="0.35">
      <c r="A333" s="16" t="s">
        <v>279</v>
      </c>
      <c r="B333" s="16" t="s">
        <v>280</v>
      </c>
      <c r="C333" s="16">
        <v>1946</v>
      </c>
      <c r="D333" s="16">
        <f>66650+62732</f>
        <v>129382</v>
      </c>
      <c r="E333" s="16" t="s">
        <v>6</v>
      </c>
      <c r="F333" s="16">
        <f>1559+1604</f>
        <v>3163</v>
      </c>
    </row>
    <row r="334" spans="1:6" x14ac:dyDescent="0.35">
      <c r="A334" s="16" t="s">
        <v>279</v>
      </c>
      <c r="B334" s="16" t="s">
        <v>280</v>
      </c>
      <c r="C334" s="16">
        <v>1947</v>
      </c>
      <c r="D334" s="16">
        <f>64641+60974</f>
        <v>125615</v>
      </c>
      <c r="E334" s="16" t="s">
        <v>6</v>
      </c>
      <c r="F334" s="16">
        <f>1561+1565</f>
        <v>3126</v>
      </c>
    </row>
    <row r="335" spans="1:6" x14ac:dyDescent="0.35">
      <c r="A335" s="16" t="s">
        <v>279</v>
      </c>
      <c r="B335" s="16" t="s">
        <v>280</v>
      </c>
      <c r="C335" s="16">
        <v>1948</v>
      </c>
      <c r="D335" s="16">
        <f>63404+60159</f>
        <v>123563</v>
      </c>
      <c r="E335" s="16" t="s">
        <v>6</v>
      </c>
      <c r="F335" s="16">
        <f>1559+1500</f>
        <v>3059</v>
      </c>
    </row>
    <row r="336" spans="1:6" x14ac:dyDescent="0.35">
      <c r="A336" s="16" t="s">
        <v>279</v>
      </c>
      <c r="B336" s="16" t="s">
        <v>280</v>
      </c>
      <c r="C336" s="16">
        <v>1949</v>
      </c>
      <c r="D336" s="16">
        <f>61101+57611</f>
        <v>118712</v>
      </c>
      <c r="E336" s="16" t="s">
        <v>6</v>
      </c>
      <c r="F336" s="16">
        <f>1358+1179</f>
        <v>2537</v>
      </c>
    </row>
    <row r="337" spans="1:6" x14ac:dyDescent="0.35">
      <c r="A337" s="16" t="s">
        <v>279</v>
      </c>
      <c r="B337" s="16" t="s">
        <v>280</v>
      </c>
      <c r="C337" s="16">
        <v>1950</v>
      </c>
      <c r="D337" s="16">
        <f>58310+54506</f>
        <v>112816</v>
      </c>
      <c r="E337" s="16" t="s">
        <v>6</v>
      </c>
      <c r="F337" s="16">
        <f>1327+1242</f>
        <v>2569</v>
      </c>
    </row>
    <row r="338" spans="1:6" x14ac:dyDescent="0.35">
      <c r="A338" s="16" t="s">
        <v>279</v>
      </c>
      <c r="B338" s="16" t="s">
        <v>280</v>
      </c>
      <c r="C338" s="16">
        <v>1951</v>
      </c>
      <c r="D338" s="16">
        <f>55524+52174</f>
        <v>107698</v>
      </c>
      <c r="E338" s="16" t="s">
        <v>6</v>
      </c>
      <c r="F338" s="16">
        <f>1262+1183</f>
        <v>2445</v>
      </c>
    </row>
    <row r="339" spans="1:6" x14ac:dyDescent="0.35">
      <c r="A339" s="16" t="s">
        <v>279</v>
      </c>
      <c r="B339" s="16" t="s">
        <v>280</v>
      </c>
      <c r="C339" s="16">
        <v>1952</v>
      </c>
      <c r="D339" s="16">
        <f>55648+52117</f>
        <v>107765</v>
      </c>
      <c r="E339" s="16" t="s">
        <v>6</v>
      </c>
      <c r="F339" s="16">
        <f>1218+1185</f>
        <v>2403</v>
      </c>
    </row>
    <row r="340" spans="1:6" x14ac:dyDescent="0.35">
      <c r="A340" s="16" t="s">
        <v>279</v>
      </c>
      <c r="B340" s="16" t="s">
        <v>280</v>
      </c>
      <c r="C340" s="16">
        <v>1953</v>
      </c>
      <c r="D340" s="16">
        <f>55499+52087</f>
        <v>107586</v>
      </c>
      <c r="E340" s="16" t="s">
        <v>6</v>
      </c>
      <c r="F340" s="16">
        <f>1310+1196</f>
        <v>2506</v>
      </c>
    </row>
    <row r="341" spans="1:6" x14ac:dyDescent="0.35">
      <c r="A341" s="16" t="s">
        <v>279</v>
      </c>
      <c r="B341" s="16" t="s">
        <v>280</v>
      </c>
      <c r="C341" s="16">
        <v>1954</v>
      </c>
      <c r="D341" s="16">
        <f>52991+49779</f>
        <v>102770</v>
      </c>
      <c r="E341" s="16" t="s">
        <v>6</v>
      </c>
      <c r="F341" s="16">
        <f>1185+1127</f>
        <v>2312</v>
      </c>
    </row>
    <row r="342" spans="1:6" x14ac:dyDescent="0.35">
      <c r="A342" s="16" t="s">
        <v>279</v>
      </c>
      <c r="B342" s="16" t="s">
        <v>280</v>
      </c>
      <c r="C342" s="16">
        <v>1955</v>
      </c>
      <c r="D342" s="16">
        <f>54021+50969</f>
        <v>104990</v>
      </c>
      <c r="E342" s="16" t="s">
        <v>6</v>
      </c>
      <c r="F342" s="16">
        <f>1193+1090</f>
        <v>2283</v>
      </c>
    </row>
    <row r="343" spans="1:6" x14ac:dyDescent="0.35">
      <c r="A343" s="16" t="s">
        <v>279</v>
      </c>
      <c r="B343" s="16" t="s">
        <v>280</v>
      </c>
      <c r="C343" s="16">
        <v>1956</v>
      </c>
      <c r="D343" s="16">
        <f>54821+50810</f>
        <v>105631</v>
      </c>
      <c r="E343" s="16" t="s">
        <v>6</v>
      </c>
      <c r="F343" s="16">
        <f>1175+1101</f>
        <v>2276</v>
      </c>
    </row>
    <row r="344" spans="1:6" x14ac:dyDescent="0.35">
      <c r="A344" s="16" t="s">
        <v>279</v>
      </c>
      <c r="B344" s="16" t="s">
        <v>280</v>
      </c>
      <c r="C344" s="16">
        <v>1957</v>
      </c>
      <c r="D344" s="16">
        <f>53763+51266</f>
        <v>105029</v>
      </c>
      <c r="E344" s="16" t="s">
        <v>6</v>
      </c>
      <c r="F344" s="16">
        <f>1082+1030</f>
        <v>2112</v>
      </c>
    </row>
    <row r="345" spans="1:6" x14ac:dyDescent="0.35">
      <c r="A345" s="16" t="s">
        <v>279</v>
      </c>
      <c r="B345" s="16" t="s">
        <v>280</v>
      </c>
      <c r="C345" s="16">
        <v>1958</v>
      </c>
      <c r="D345" s="16">
        <f>53400+49906</f>
        <v>103306</v>
      </c>
      <c r="E345" s="16" t="s">
        <v>6</v>
      </c>
      <c r="F345" s="16">
        <f>1105+1064</f>
        <v>2169</v>
      </c>
    </row>
    <row r="346" spans="1:6" x14ac:dyDescent="0.35">
      <c r="A346" s="16" t="s">
        <v>279</v>
      </c>
      <c r="B346" s="16" t="s">
        <v>280</v>
      </c>
      <c r="C346" s="16">
        <v>1959</v>
      </c>
      <c r="D346" s="16">
        <f>53141+49531</f>
        <v>102672</v>
      </c>
      <c r="E346" s="16" t="s">
        <v>6</v>
      </c>
      <c r="F346" s="16">
        <f>1070+970</f>
        <v>2040</v>
      </c>
    </row>
    <row r="347" spans="1:6" x14ac:dyDescent="0.35">
      <c r="A347" s="16" t="s">
        <v>279</v>
      </c>
      <c r="B347" s="16" t="s">
        <v>280</v>
      </c>
      <c r="C347" s="16">
        <v>1960</v>
      </c>
      <c r="D347" s="16">
        <f>51312+48770</f>
        <v>100082</v>
      </c>
      <c r="E347" s="16" t="s">
        <v>6</v>
      </c>
      <c r="F347" s="16">
        <f>1094+1032</f>
        <v>2126</v>
      </c>
    </row>
    <row r="348" spans="1:6" x14ac:dyDescent="0.35">
      <c r="A348" s="23" t="s">
        <v>279</v>
      </c>
      <c r="B348" s="16" t="s">
        <v>280</v>
      </c>
      <c r="C348" s="23">
        <v>1961</v>
      </c>
      <c r="D348" s="23">
        <f>52658+49623</f>
        <v>102281</v>
      </c>
      <c r="E348" s="23" t="s">
        <v>6</v>
      </c>
      <c r="F348" s="23">
        <f>1139+1053</f>
        <v>2192</v>
      </c>
    </row>
    <row r="349" spans="1:6" x14ac:dyDescent="0.35">
      <c r="A349" s="23" t="s">
        <v>279</v>
      </c>
      <c r="B349" s="16" t="s">
        <v>280</v>
      </c>
      <c r="C349" s="23">
        <v>1962</v>
      </c>
      <c r="D349" s="23">
        <f>54046+51049</f>
        <v>105095</v>
      </c>
      <c r="E349" s="23" t="s">
        <v>6</v>
      </c>
      <c r="F349" s="23">
        <f>1059+1102</f>
        <v>2161</v>
      </c>
    </row>
    <row r="350" spans="1:6" x14ac:dyDescent="0.35">
      <c r="A350" s="16" t="s">
        <v>279</v>
      </c>
      <c r="B350" s="16" t="s">
        <v>280</v>
      </c>
      <c r="C350" s="16">
        <v>1963</v>
      </c>
      <c r="D350" s="16">
        <f>57131+53470</f>
        <v>110601</v>
      </c>
      <c r="E350" s="16" t="s">
        <v>6</v>
      </c>
      <c r="F350" s="16">
        <f>1182+1099</f>
        <v>2281</v>
      </c>
    </row>
    <row r="351" spans="1:6" x14ac:dyDescent="0.35">
      <c r="A351" s="16" t="s">
        <v>279</v>
      </c>
      <c r="B351" s="16" t="s">
        <v>280</v>
      </c>
      <c r="C351" s="16">
        <v>1964</v>
      </c>
      <c r="D351" s="16">
        <f>61702+58616</f>
        <v>120318</v>
      </c>
      <c r="E351" s="16" t="s">
        <v>6</v>
      </c>
      <c r="F351" s="16">
        <f>1172+1152</f>
        <v>2324</v>
      </c>
    </row>
    <row r="352" spans="1:6" x14ac:dyDescent="0.35">
      <c r="A352" s="16" t="s">
        <v>279</v>
      </c>
      <c r="B352" s="16" t="s">
        <v>280</v>
      </c>
      <c r="C352" s="16">
        <v>1965</v>
      </c>
      <c r="D352" s="16">
        <f>61914+58456</f>
        <v>120370</v>
      </c>
      <c r="E352" s="16" t="s">
        <v>6</v>
      </c>
      <c r="F352" s="16">
        <f>1220+1169</f>
        <v>2389</v>
      </c>
    </row>
    <row r="353" spans="1:6" x14ac:dyDescent="0.35">
      <c r="A353" s="16" t="s">
        <v>279</v>
      </c>
      <c r="B353" s="16" t="s">
        <v>280</v>
      </c>
      <c r="C353" s="16">
        <v>1966</v>
      </c>
      <c r="D353" s="16">
        <f>62484+58610</f>
        <v>121094</v>
      </c>
      <c r="E353" s="23" t="s">
        <v>6</v>
      </c>
      <c r="F353" s="23">
        <f>1148+1081</f>
        <v>2229</v>
      </c>
    </row>
    <row r="354" spans="1:6" x14ac:dyDescent="0.35">
      <c r="A354" s="16" t="s">
        <v>279</v>
      </c>
      <c r="B354" s="16" t="s">
        <v>280</v>
      </c>
      <c r="C354" s="16">
        <v>1967</v>
      </c>
      <c r="D354" s="16">
        <f>61466+57762</f>
        <v>119228</v>
      </c>
      <c r="E354" s="23" t="s">
        <v>6</v>
      </c>
      <c r="F354" s="23">
        <f>1045+1053</f>
        <v>2098</v>
      </c>
    </row>
    <row r="355" spans="1:6" x14ac:dyDescent="0.35">
      <c r="A355" s="16" t="s">
        <v>279</v>
      </c>
      <c r="B355" s="16" t="s">
        <v>280</v>
      </c>
      <c r="C355" s="16">
        <v>1968</v>
      </c>
      <c r="D355" s="16">
        <f>57124+53983</f>
        <v>111107</v>
      </c>
      <c r="E355" s="16" t="s">
        <v>6</v>
      </c>
      <c r="F355" s="16">
        <f>981+964</f>
        <v>1945</v>
      </c>
    </row>
    <row r="356" spans="1:6" x14ac:dyDescent="0.35">
      <c r="A356" s="16" t="s">
        <v>279</v>
      </c>
      <c r="B356" s="16" t="s">
        <v>280</v>
      </c>
      <c r="C356" s="16">
        <v>1969</v>
      </c>
      <c r="D356" s="16">
        <f>54718+51123</f>
        <v>105841</v>
      </c>
      <c r="E356" s="16" t="s">
        <v>6</v>
      </c>
      <c r="F356" s="16">
        <f>888+859</f>
        <v>1747</v>
      </c>
    </row>
    <row r="357" spans="1:6" x14ac:dyDescent="0.35">
      <c r="A357" s="16" t="s">
        <v>279</v>
      </c>
      <c r="B357" s="16" t="s">
        <v>280</v>
      </c>
      <c r="C357" s="16">
        <v>1970</v>
      </c>
      <c r="D357" s="16">
        <f>55610+52694</f>
        <v>108304</v>
      </c>
      <c r="E357" s="16" t="s">
        <v>6</v>
      </c>
      <c r="F357" s="16">
        <f>925+902</f>
        <v>1827</v>
      </c>
    </row>
    <row r="358" spans="1:6" x14ac:dyDescent="0.35">
      <c r="A358" s="16" t="s">
        <v>279</v>
      </c>
      <c r="B358" s="16" t="s">
        <v>280</v>
      </c>
      <c r="C358" s="16">
        <v>1971</v>
      </c>
      <c r="D358" s="16">
        <f>58089+54457</f>
        <v>112546</v>
      </c>
      <c r="E358" s="16" t="s">
        <v>6</v>
      </c>
      <c r="F358" s="16">
        <f>978+945</f>
        <v>1923</v>
      </c>
    </row>
    <row r="359" spans="1:6" x14ac:dyDescent="0.35">
      <c r="A359" s="16" t="s">
        <v>279</v>
      </c>
      <c r="B359" s="16" t="s">
        <v>280</v>
      </c>
      <c r="C359" s="16">
        <v>1972</v>
      </c>
      <c r="D359" s="16">
        <f>56876+53370</f>
        <v>110246</v>
      </c>
      <c r="E359" s="16" t="s">
        <v>6</v>
      </c>
      <c r="F359" s="16">
        <f>1010+978</f>
        <v>1988</v>
      </c>
    </row>
    <row r="360" spans="1:6" x14ac:dyDescent="0.35">
      <c r="A360" s="16" t="s">
        <v>279</v>
      </c>
      <c r="B360" s="16" t="s">
        <v>280</v>
      </c>
      <c r="C360" s="16">
        <v>1973</v>
      </c>
      <c r="D360" s="16">
        <f>55474+52372</f>
        <v>107846</v>
      </c>
      <c r="E360" s="16" t="s">
        <v>6</v>
      </c>
      <c r="F360" s="16">
        <f>920+864</f>
        <v>1784</v>
      </c>
    </row>
    <row r="361" spans="1:6" x14ac:dyDescent="0.35">
      <c r="A361" s="16" t="s">
        <v>279</v>
      </c>
      <c r="B361" s="16" t="s">
        <v>280</v>
      </c>
      <c r="C361" s="16">
        <v>1974</v>
      </c>
      <c r="D361" s="16">
        <f>55686+52365</f>
        <v>108051</v>
      </c>
      <c r="E361" s="16" t="s">
        <v>6</v>
      </c>
      <c r="F361" s="16">
        <f>874+911</f>
        <v>1785</v>
      </c>
    </row>
    <row r="362" spans="1:6" x14ac:dyDescent="0.35">
      <c r="A362" s="16" t="s">
        <v>279</v>
      </c>
      <c r="B362" s="16" t="s">
        <v>280</v>
      </c>
      <c r="C362" s="16">
        <v>1975</v>
      </c>
      <c r="D362" s="16">
        <f>52358+49546</f>
        <v>101904</v>
      </c>
      <c r="E362" s="16" t="s">
        <v>6</v>
      </c>
      <c r="F362" s="16">
        <f>872+833</f>
        <v>1705</v>
      </c>
    </row>
    <row r="363" spans="1:6" x14ac:dyDescent="0.35">
      <c r="A363" s="16" t="s">
        <v>279</v>
      </c>
      <c r="B363" s="16" t="s">
        <v>280</v>
      </c>
      <c r="C363" s="16">
        <v>1976</v>
      </c>
      <c r="D363" s="16">
        <f>49718+46998</f>
        <v>96716</v>
      </c>
      <c r="E363" s="16" t="s">
        <v>6</v>
      </c>
      <c r="F363" s="16">
        <f>818+783</f>
        <v>1601</v>
      </c>
    </row>
    <row r="364" spans="1:6" x14ac:dyDescent="0.35">
      <c r="A364" s="16" t="s">
        <v>279</v>
      </c>
      <c r="B364" s="16" t="s">
        <v>280</v>
      </c>
      <c r="C364" s="16">
        <v>1977</v>
      </c>
      <c r="D364" s="16">
        <f>48778+45706</f>
        <v>94484</v>
      </c>
      <c r="E364" s="16" t="s">
        <v>6</v>
      </c>
      <c r="F364" s="16">
        <f>744+808</f>
        <v>1552</v>
      </c>
    </row>
    <row r="365" spans="1:6" x14ac:dyDescent="0.35">
      <c r="A365" s="16" t="s">
        <v>279</v>
      </c>
      <c r="B365" s="16" t="s">
        <v>280</v>
      </c>
      <c r="C365" s="16">
        <v>1978</v>
      </c>
      <c r="D365" s="16">
        <f>46994+44578</f>
        <v>91572</v>
      </c>
      <c r="E365" s="16" t="s">
        <v>6</v>
      </c>
      <c r="F365" s="16">
        <f>838+805</f>
        <v>1643</v>
      </c>
    </row>
    <row r="366" spans="1:6" x14ac:dyDescent="0.35">
      <c r="A366" s="16" t="s">
        <v>279</v>
      </c>
      <c r="B366" s="16" t="s">
        <v>280</v>
      </c>
      <c r="C366" s="16">
        <v>1979</v>
      </c>
      <c r="D366" s="16">
        <f>48516+45856</f>
        <v>94372</v>
      </c>
      <c r="E366" s="16" t="s">
        <v>6</v>
      </c>
      <c r="F366" s="16">
        <f>871+968</f>
        <v>1839</v>
      </c>
    </row>
    <row r="367" spans="1:6" x14ac:dyDescent="0.35">
      <c r="A367" s="16" t="s">
        <v>279</v>
      </c>
      <c r="B367" s="16" t="s">
        <v>280</v>
      </c>
      <c r="C367" s="16">
        <v>1980</v>
      </c>
      <c r="D367" s="16">
        <f>48966+46340</f>
        <v>95306</v>
      </c>
      <c r="E367" s="16" t="s">
        <v>6</v>
      </c>
      <c r="F367" s="16">
        <f>883+847</f>
        <v>1730</v>
      </c>
    </row>
    <row r="368" spans="1:6" x14ac:dyDescent="0.35">
      <c r="A368" s="16" t="s">
        <v>279</v>
      </c>
      <c r="B368" s="16" t="s">
        <v>280</v>
      </c>
      <c r="C368" s="16">
        <v>1981</v>
      </c>
      <c r="D368" s="16">
        <f>47264+45067</f>
        <v>92331</v>
      </c>
      <c r="E368" s="16" t="s">
        <v>6</v>
      </c>
      <c r="F368" s="16">
        <f>855+852</f>
        <v>1707</v>
      </c>
    </row>
    <row r="369" spans="1:6" x14ac:dyDescent="0.35">
      <c r="A369" s="16" t="s">
        <v>279</v>
      </c>
      <c r="B369" s="16" t="s">
        <v>280</v>
      </c>
      <c r="C369" s="16">
        <v>1982</v>
      </c>
      <c r="D369" s="16">
        <f>46851+44165</f>
        <v>91016</v>
      </c>
      <c r="E369" s="16" t="s">
        <v>6</v>
      </c>
      <c r="F369" s="16">
        <f>866+833</f>
        <v>1699</v>
      </c>
    </row>
    <row r="370" spans="1:6" x14ac:dyDescent="0.35">
      <c r="A370" s="16" t="s">
        <v>279</v>
      </c>
      <c r="B370" s="16" t="s">
        <v>280</v>
      </c>
      <c r="C370" s="16">
        <v>1983</v>
      </c>
      <c r="D370" s="16">
        <f>46366+43615</f>
        <v>89981</v>
      </c>
      <c r="E370" s="16" t="s">
        <v>6</v>
      </c>
      <c r="F370" s="16">
        <f>930+842</f>
        <v>1772</v>
      </c>
    </row>
    <row r="371" spans="1:6" x14ac:dyDescent="0.35">
      <c r="A371" s="16" t="s">
        <v>279</v>
      </c>
      <c r="B371" s="16" t="s">
        <v>280</v>
      </c>
      <c r="C371" s="16">
        <v>1984</v>
      </c>
      <c r="D371" s="16">
        <f>47398+44552</f>
        <v>91950</v>
      </c>
      <c r="E371" s="16" t="s">
        <v>6</v>
      </c>
      <c r="F371" s="16">
        <f>928+972</f>
        <v>1900</v>
      </c>
    </row>
    <row r="372" spans="1:6" x14ac:dyDescent="0.35">
      <c r="A372" s="16" t="s">
        <v>279</v>
      </c>
      <c r="B372" s="16" t="s">
        <v>280</v>
      </c>
      <c r="C372" s="16">
        <v>1985</v>
      </c>
      <c r="D372" s="16">
        <f>49768+46752</f>
        <v>96520</v>
      </c>
      <c r="E372" s="16" t="s">
        <v>6</v>
      </c>
      <c r="F372" s="16">
        <f>972+949</f>
        <v>1921</v>
      </c>
    </row>
    <row r="373" spans="1:6" x14ac:dyDescent="0.35">
      <c r="A373" s="16" t="s">
        <v>279</v>
      </c>
      <c r="B373" s="16" t="s">
        <v>280</v>
      </c>
      <c r="C373" s="16">
        <v>1986</v>
      </c>
      <c r="D373" s="16">
        <f>51344+48436</f>
        <v>99780</v>
      </c>
      <c r="E373" s="16" t="s">
        <v>6</v>
      </c>
      <c r="F373" s="16">
        <f>1025+1095</f>
        <v>2120</v>
      </c>
    </row>
    <row r="374" spans="1:6" x14ac:dyDescent="0.35">
      <c r="A374" s="16" t="s">
        <v>279</v>
      </c>
      <c r="B374" s="16" t="s">
        <v>280</v>
      </c>
      <c r="C374" s="16">
        <v>1987</v>
      </c>
      <c r="D374" s="16">
        <f>52504+50119</f>
        <v>102623</v>
      </c>
      <c r="E374" s="16" t="s">
        <v>6</v>
      </c>
      <c r="F374" s="16">
        <f>1032+987</f>
        <v>2019</v>
      </c>
    </row>
    <row r="375" spans="1:6" x14ac:dyDescent="0.35">
      <c r="A375" s="16" t="s">
        <v>279</v>
      </c>
      <c r="B375" s="16" t="s">
        <v>280</v>
      </c>
      <c r="C375" s="16">
        <v>1988</v>
      </c>
      <c r="D375" s="16">
        <f>56544+53035</f>
        <v>109579</v>
      </c>
      <c r="E375" s="16" t="s">
        <v>6</v>
      </c>
      <c r="F375" s="16">
        <f>1250+1198</f>
        <v>2448</v>
      </c>
    </row>
    <row r="376" spans="1:6" x14ac:dyDescent="0.35">
      <c r="A376" s="16" t="s">
        <v>279</v>
      </c>
      <c r="B376" s="16" t="s">
        <v>280</v>
      </c>
      <c r="C376" s="16">
        <v>1989</v>
      </c>
      <c r="D376" s="16">
        <f>58385+55115</f>
        <v>113500</v>
      </c>
      <c r="E376" s="16" t="s">
        <v>6</v>
      </c>
      <c r="F376" s="16">
        <f>1243+1179</f>
        <v>2422</v>
      </c>
    </row>
    <row r="377" spans="1:6" x14ac:dyDescent="0.35">
      <c r="A377" s="16" t="s">
        <v>279</v>
      </c>
      <c r="B377" s="16" t="s">
        <v>280</v>
      </c>
      <c r="C377" s="16">
        <v>1990</v>
      </c>
      <c r="D377" s="16">
        <f>62192+58962</f>
        <v>121154</v>
      </c>
      <c r="E377" s="16" t="s">
        <v>6</v>
      </c>
      <c r="F377" s="16">
        <f>1316+1368</f>
        <v>2684</v>
      </c>
    </row>
    <row r="378" spans="1:6" x14ac:dyDescent="0.35">
      <c r="A378" s="16" t="s">
        <v>279</v>
      </c>
      <c r="B378" s="16" t="s">
        <v>280</v>
      </c>
      <c r="C378" s="16">
        <v>1991</v>
      </c>
      <c r="D378" s="16">
        <f>62195+58518</f>
        <v>120713</v>
      </c>
      <c r="E378" s="16" t="s">
        <v>6</v>
      </c>
      <c r="F378" s="16">
        <f>1466+1426</f>
        <v>2892</v>
      </c>
    </row>
    <row r="379" spans="1:6" x14ac:dyDescent="0.35">
      <c r="A379" s="16" t="s">
        <v>279</v>
      </c>
      <c r="B379" s="16" t="s">
        <v>280</v>
      </c>
      <c r="C379" s="16">
        <v>1992</v>
      </c>
      <c r="D379" s="16">
        <f>61517+58081</f>
        <v>119598</v>
      </c>
      <c r="E379" s="16" t="s">
        <v>6</v>
      </c>
      <c r="F379" s="16">
        <f>1590+1470</f>
        <v>3060</v>
      </c>
    </row>
    <row r="380" spans="1:6" x14ac:dyDescent="0.35">
      <c r="A380" s="16" t="s">
        <v>279</v>
      </c>
      <c r="B380" s="16" t="s">
        <v>280</v>
      </c>
      <c r="C380" s="16">
        <v>1993</v>
      </c>
      <c r="D380" s="16">
        <f>58579+55987</f>
        <v>114566</v>
      </c>
      <c r="E380" s="16" t="s">
        <v>6</v>
      </c>
      <c r="F380" s="16">
        <f>1651+1585</f>
        <v>3236</v>
      </c>
    </row>
    <row r="381" spans="1:6" x14ac:dyDescent="0.35">
      <c r="A381" s="16" t="s">
        <v>279</v>
      </c>
      <c r="B381" s="16" t="s">
        <v>280</v>
      </c>
      <c r="C381" s="16">
        <v>1994</v>
      </c>
      <c r="D381" s="16">
        <f>55760+53394</f>
        <v>109154</v>
      </c>
      <c r="E381" s="16" t="s">
        <v>6</v>
      </c>
      <c r="F381" s="16">
        <f>1515+1489</f>
        <v>3004</v>
      </c>
    </row>
    <row r="382" spans="1:6" x14ac:dyDescent="0.35">
      <c r="A382" s="16" t="s">
        <v>279</v>
      </c>
      <c r="B382" s="16" t="s">
        <v>280</v>
      </c>
      <c r="C382" s="16">
        <v>1995</v>
      </c>
      <c r="D382" s="16">
        <f>51635+48748</f>
        <v>100383</v>
      </c>
      <c r="E382" s="16" t="s">
        <v>6</v>
      </c>
      <c r="F382" s="16">
        <f>1520+1402</f>
        <v>2922</v>
      </c>
    </row>
    <row r="383" spans="1:6" x14ac:dyDescent="0.35">
      <c r="A383" s="16" t="s">
        <v>279</v>
      </c>
      <c r="B383" s="16" t="s">
        <v>280</v>
      </c>
      <c r="C383" s="16">
        <v>1996</v>
      </c>
      <c r="D383" s="16">
        <f>47200+45252</f>
        <v>92452</v>
      </c>
      <c r="E383" s="16" t="s">
        <v>6</v>
      </c>
      <c r="F383" s="16">
        <f>1408+1332</f>
        <v>2740</v>
      </c>
    </row>
    <row r="384" spans="1:6" x14ac:dyDescent="0.35">
      <c r="A384" s="16" t="s">
        <v>279</v>
      </c>
      <c r="B384" s="16" t="s">
        <v>280</v>
      </c>
      <c r="C384" s="16">
        <v>1997</v>
      </c>
      <c r="D384" s="16">
        <f>44963+42600</f>
        <v>87563</v>
      </c>
      <c r="E384" s="16" t="s">
        <v>6</v>
      </c>
      <c r="F384" s="16">
        <f>1517+1365</f>
        <v>2882</v>
      </c>
    </row>
    <row r="385" spans="1:6" x14ac:dyDescent="0.35">
      <c r="A385" s="16" t="s">
        <v>279</v>
      </c>
      <c r="B385" s="16" t="s">
        <v>280</v>
      </c>
      <c r="C385" s="16">
        <v>1998</v>
      </c>
      <c r="D385" s="16">
        <f>44485+41665</f>
        <v>86150</v>
      </c>
      <c r="E385" s="16" t="s">
        <v>6</v>
      </c>
      <c r="F385" s="16">
        <f>1425+1395</f>
        <v>2820</v>
      </c>
    </row>
    <row r="386" spans="1:6" x14ac:dyDescent="0.35">
      <c r="A386" s="16" t="s">
        <v>279</v>
      </c>
      <c r="B386" s="16" t="s">
        <v>280</v>
      </c>
      <c r="C386" s="16">
        <v>1999</v>
      </c>
      <c r="D386" s="16">
        <f>43733+41495</f>
        <v>85228</v>
      </c>
      <c r="E386" s="16" t="s">
        <v>6</v>
      </c>
      <c r="F386" s="16">
        <f>1460+1416</f>
        <v>2876</v>
      </c>
    </row>
    <row r="387" spans="1:6" x14ac:dyDescent="0.35">
      <c r="A387" s="16" t="s">
        <v>279</v>
      </c>
      <c r="B387" s="16" t="s">
        <v>280</v>
      </c>
      <c r="C387" s="16">
        <v>2000</v>
      </c>
      <c r="D387" s="16">
        <f>45169+42342</f>
        <v>87511</v>
      </c>
      <c r="E387" s="16" t="s">
        <v>6</v>
      </c>
      <c r="F387" s="16">
        <f>1421+1446</f>
        <v>2867</v>
      </c>
    </row>
    <row r="388" spans="1:6" x14ac:dyDescent="0.35">
      <c r="A388" s="16" t="s">
        <v>279</v>
      </c>
      <c r="B388" s="16" t="s">
        <v>280</v>
      </c>
      <c r="C388" s="16">
        <v>2001</v>
      </c>
      <c r="D388" s="16">
        <f>45622+42851</f>
        <v>88473</v>
      </c>
      <c r="E388" s="16" t="s">
        <v>6</v>
      </c>
      <c r="F388" s="16">
        <f>1472+1443</f>
        <v>2915</v>
      </c>
    </row>
    <row r="389" spans="1:6" x14ac:dyDescent="0.35">
      <c r="A389" s="16" t="s">
        <v>279</v>
      </c>
      <c r="B389" s="16" t="s">
        <v>280</v>
      </c>
      <c r="C389" s="16">
        <v>2002</v>
      </c>
      <c r="D389" s="16">
        <f>47692+45095</f>
        <v>92787</v>
      </c>
      <c r="E389" s="16" t="s">
        <v>6</v>
      </c>
      <c r="F389" s="16">
        <f>1460+1501</f>
        <v>2961</v>
      </c>
    </row>
    <row r="390" spans="1:6" x14ac:dyDescent="0.35">
      <c r="A390" s="16" t="s">
        <v>279</v>
      </c>
      <c r="B390" s="16" t="s">
        <v>280</v>
      </c>
      <c r="C390" s="16">
        <v>2003</v>
      </c>
      <c r="D390" s="16">
        <f>49441+46430</f>
        <v>95871</v>
      </c>
      <c r="E390" s="16" t="s">
        <v>6</v>
      </c>
      <c r="F390" s="16">
        <f>1654+1574</f>
        <v>3228</v>
      </c>
    </row>
    <row r="391" spans="1:6" x14ac:dyDescent="0.35">
      <c r="A391" s="16" t="s">
        <v>279</v>
      </c>
      <c r="B391" s="16" t="s">
        <v>280</v>
      </c>
      <c r="C391" s="16">
        <v>2004</v>
      </c>
      <c r="D391" s="16">
        <f>50552+47568</f>
        <v>98120</v>
      </c>
      <c r="E391" s="16" t="s">
        <v>6</v>
      </c>
      <c r="F391" s="16">
        <f>1394+1355</f>
        <v>2749</v>
      </c>
    </row>
    <row r="392" spans="1:6" x14ac:dyDescent="0.35">
      <c r="A392" s="16" t="s">
        <v>279</v>
      </c>
      <c r="B392" s="16" t="s">
        <v>280</v>
      </c>
      <c r="C392" s="16">
        <v>2005</v>
      </c>
      <c r="D392" s="16">
        <f>50584+47963</f>
        <v>98547</v>
      </c>
      <c r="E392" s="16" t="s">
        <v>6</v>
      </c>
      <c r="F392" s="16">
        <f>1413+1316</f>
        <v>2729</v>
      </c>
    </row>
    <row r="393" spans="1:6" x14ac:dyDescent="0.35">
      <c r="A393" s="16" t="s">
        <v>279</v>
      </c>
      <c r="B393" s="16" t="s">
        <v>280</v>
      </c>
      <c r="C393" s="16">
        <v>2006</v>
      </c>
      <c r="D393" s="16">
        <f>52984+49938</f>
        <v>102922</v>
      </c>
      <c r="E393" s="16" t="s">
        <v>6</v>
      </c>
      <c r="F393" s="16">
        <f>1480+1460</f>
        <v>2940</v>
      </c>
    </row>
    <row r="394" spans="1:6" x14ac:dyDescent="0.35">
      <c r="A394" s="16" t="s">
        <v>279</v>
      </c>
      <c r="B394" s="16" t="s">
        <v>280</v>
      </c>
      <c r="C394" s="16" t="s">
        <v>112</v>
      </c>
      <c r="D394" s="16">
        <f>53715+50670</f>
        <v>104385</v>
      </c>
      <c r="E394" s="16" t="s">
        <v>6</v>
      </c>
      <c r="F394" s="16">
        <f>1513+1460</f>
        <v>2973</v>
      </c>
    </row>
    <row r="395" spans="1:6" x14ac:dyDescent="0.35">
      <c r="A395" s="16" t="s">
        <v>279</v>
      </c>
      <c r="B395" s="16" t="s">
        <v>280</v>
      </c>
      <c r="C395" s="16" t="s">
        <v>113</v>
      </c>
      <c r="D395" s="16">
        <f>54823+51353</f>
        <v>106176</v>
      </c>
      <c r="E395" s="16" t="s">
        <v>6</v>
      </c>
      <c r="F395" s="16">
        <f>1500+1562</f>
        <v>3062</v>
      </c>
    </row>
    <row r="396" spans="1:6" x14ac:dyDescent="0.35">
      <c r="A396" s="16" t="s">
        <v>279</v>
      </c>
      <c r="B396" s="16" t="s">
        <v>280</v>
      </c>
      <c r="C396" s="16" t="s">
        <v>114</v>
      </c>
      <c r="D396" s="16">
        <f>55868+52678</f>
        <v>108546</v>
      </c>
      <c r="E396" s="16" t="s">
        <v>6</v>
      </c>
      <c r="F396" s="16">
        <f>1660+1512</f>
        <v>3172</v>
      </c>
    </row>
    <row r="397" spans="1:6" x14ac:dyDescent="0.35">
      <c r="A397" s="16" t="s">
        <v>279</v>
      </c>
      <c r="B397" s="16" t="s">
        <v>280</v>
      </c>
      <c r="C397" s="16">
        <v>2010</v>
      </c>
      <c r="D397" s="16">
        <v>112339</v>
      </c>
      <c r="E397" s="16" t="s">
        <v>6</v>
      </c>
      <c r="F397" s="16">
        <v>3213</v>
      </c>
    </row>
    <row r="398" spans="1:6" x14ac:dyDescent="0.35">
      <c r="A398" s="16" t="s">
        <v>279</v>
      </c>
      <c r="B398" s="16" t="s">
        <v>280</v>
      </c>
      <c r="C398" s="16">
        <v>2011</v>
      </c>
      <c r="D398" s="16">
        <v>108611</v>
      </c>
      <c r="E398" s="16" t="s">
        <v>6</v>
      </c>
      <c r="F398" s="16">
        <v>3071</v>
      </c>
    </row>
    <row r="399" spans="1:6" x14ac:dyDescent="0.35">
      <c r="A399" s="16" t="s">
        <v>279</v>
      </c>
      <c r="B399" s="16" t="s">
        <v>280</v>
      </c>
      <c r="C399" s="16">
        <v>2012</v>
      </c>
      <c r="D399" s="16">
        <v>110103</v>
      </c>
      <c r="E399" s="16" t="s">
        <v>6</v>
      </c>
      <c r="F399" s="16">
        <v>3042</v>
      </c>
    </row>
    <row r="400" spans="1:6" x14ac:dyDescent="0.35">
      <c r="A400" s="16" t="s">
        <v>279</v>
      </c>
      <c r="B400" s="16" t="s">
        <v>280</v>
      </c>
      <c r="C400" s="16">
        <v>2013</v>
      </c>
      <c r="D400" s="16">
        <v>110389</v>
      </c>
      <c r="E400" s="16" t="s">
        <v>6</v>
      </c>
      <c r="F400" s="16">
        <v>3130</v>
      </c>
    </row>
    <row r="401" spans="1:6" x14ac:dyDescent="0.35">
      <c r="A401" s="16" t="s">
        <v>279</v>
      </c>
      <c r="B401" s="16" t="s">
        <v>280</v>
      </c>
      <c r="C401" s="16">
        <v>2014</v>
      </c>
      <c r="D401" s="16">
        <v>111516</v>
      </c>
      <c r="E401" s="16" t="s">
        <v>6</v>
      </c>
      <c r="F401" s="16">
        <v>3311</v>
      </c>
    </row>
    <row r="402" spans="1:6" x14ac:dyDescent="0.35">
      <c r="A402" s="16" t="s">
        <v>279</v>
      </c>
      <c r="B402" s="16" t="s">
        <v>280</v>
      </c>
      <c r="C402" s="16">
        <v>2015</v>
      </c>
      <c r="D402" s="16">
        <v>111573</v>
      </c>
      <c r="E402" s="16" t="s">
        <v>6</v>
      </c>
      <c r="F402" s="16">
        <v>3229</v>
      </c>
    </row>
    <row r="403" spans="1:6" x14ac:dyDescent="0.35">
      <c r="A403" s="16" t="s">
        <v>279</v>
      </c>
      <c r="B403" s="16" t="s">
        <v>280</v>
      </c>
      <c r="C403" s="16">
        <v>2016</v>
      </c>
      <c r="D403" s="16">
        <v>114097</v>
      </c>
      <c r="E403" s="16" t="s">
        <v>6</v>
      </c>
      <c r="F403" s="16">
        <v>3263</v>
      </c>
    </row>
    <row r="404" spans="1:6" x14ac:dyDescent="0.35">
      <c r="A404" s="16" t="s">
        <v>279</v>
      </c>
      <c r="B404" s="16" t="s">
        <v>280</v>
      </c>
      <c r="C404" s="16">
        <v>2017</v>
      </c>
      <c r="D404" s="16">
        <v>112128</v>
      </c>
      <c r="E404" s="16" t="s">
        <v>6</v>
      </c>
      <c r="F404" s="16">
        <v>3222</v>
      </c>
    </row>
    <row r="405" spans="1:6" x14ac:dyDescent="0.35">
      <c r="A405" s="16" t="s">
        <v>279</v>
      </c>
      <c r="B405" s="16" t="s">
        <v>280</v>
      </c>
      <c r="C405" s="16">
        <v>2018</v>
      </c>
      <c r="D405" s="16">
        <v>112781</v>
      </c>
      <c r="E405" s="16" t="s">
        <v>6</v>
      </c>
      <c r="F405" s="16">
        <v>2997</v>
      </c>
    </row>
    <row r="406" spans="1:6" x14ac:dyDescent="0.35">
      <c r="A406" s="16" t="s">
        <v>279</v>
      </c>
      <c r="B406" s="16" t="s">
        <v>280</v>
      </c>
      <c r="C406" s="16">
        <v>2019</v>
      </c>
      <c r="D406" s="3">
        <v>111554</v>
      </c>
      <c r="E406" s="4" t="s">
        <v>6</v>
      </c>
      <c r="F406" s="3">
        <v>2918</v>
      </c>
    </row>
    <row r="407" spans="1:6" x14ac:dyDescent="0.35">
      <c r="A407" s="4" t="s">
        <v>279</v>
      </c>
      <c r="B407" s="16" t="s">
        <v>280</v>
      </c>
      <c r="C407" s="3">
        <v>2020</v>
      </c>
      <c r="D407" s="3">
        <v>110003</v>
      </c>
      <c r="E407" s="4" t="s">
        <v>6</v>
      </c>
      <c r="F407" s="3">
        <v>3028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5D89-1C4D-4C26-BAC7-40C33468A1B1}">
  <dimension ref="A1:F41"/>
  <sheetViews>
    <sheetView zoomScale="70" zoomScaleNormal="70" workbookViewId="0">
      <selection sqref="A1:F41"/>
    </sheetView>
  </sheetViews>
  <sheetFormatPr defaultRowHeight="14.5" x14ac:dyDescent="0.35"/>
  <cols>
    <col min="1" max="2" width="11" style="23" customWidth="1"/>
    <col min="3" max="3" width="7.453125" style="23" customWidth="1"/>
    <col min="4" max="4" width="12.36328125" style="23" customWidth="1"/>
    <col min="5" max="5" width="16.7265625" style="23" customWidth="1"/>
    <col min="6" max="6" width="15.26953125" style="23" customWidth="1"/>
  </cols>
  <sheetData>
    <row r="1" spans="1:6" ht="26.5" x14ac:dyDescent="0.35">
      <c r="A1" s="24" t="s">
        <v>0</v>
      </c>
      <c r="B1" s="24" t="s">
        <v>1</v>
      </c>
      <c r="C1" s="24" t="s">
        <v>2</v>
      </c>
      <c r="D1" s="24" t="s">
        <v>9</v>
      </c>
      <c r="E1" s="24" t="s">
        <v>7</v>
      </c>
      <c r="F1" s="24" t="s">
        <v>8</v>
      </c>
    </row>
    <row r="2" spans="1:6" x14ac:dyDescent="0.35">
      <c r="A2" s="23" t="s">
        <v>281</v>
      </c>
      <c r="B2" s="23" t="s">
        <v>282</v>
      </c>
      <c r="C2" s="23" t="s">
        <v>86</v>
      </c>
      <c r="D2" s="23">
        <v>53199</v>
      </c>
      <c r="E2" s="23" t="s">
        <v>6</v>
      </c>
      <c r="F2" s="23">
        <v>719</v>
      </c>
    </row>
    <row r="3" spans="1:6" x14ac:dyDescent="0.35">
      <c r="A3" s="23" t="s">
        <v>281</v>
      </c>
      <c r="B3" s="23" t="s">
        <v>282</v>
      </c>
      <c r="C3" s="23" t="s">
        <v>87</v>
      </c>
      <c r="D3" s="23">
        <v>52166</v>
      </c>
      <c r="E3" s="23" t="s">
        <v>6</v>
      </c>
      <c r="F3" s="23" t="s">
        <v>6</v>
      </c>
    </row>
    <row r="4" spans="1:6" x14ac:dyDescent="0.35">
      <c r="A4" s="23" t="s">
        <v>281</v>
      </c>
      <c r="B4" s="23" t="s">
        <v>282</v>
      </c>
      <c r="C4" s="23" t="s">
        <v>88</v>
      </c>
      <c r="D4" s="23">
        <v>52571</v>
      </c>
      <c r="E4" s="23" t="s">
        <v>6</v>
      </c>
      <c r="F4" s="23">
        <v>816</v>
      </c>
    </row>
    <row r="5" spans="1:6" x14ac:dyDescent="0.35">
      <c r="A5" s="23" t="s">
        <v>281</v>
      </c>
      <c r="B5" s="23" t="s">
        <v>282</v>
      </c>
      <c r="C5" s="23" t="s">
        <v>89</v>
      </c>
      <c r="D5" s="23">
        <v>52486</v>
      </c>
      <c r="E5" s="23" t="s">
        <v>6</v>
      </c>
      <c r="F5" s="23" t="s">
        <v>6</v>
      </c>
    </row>
    <row r="6" spans="1:6" x14ac:dyDescent="0.35">
      <c r="A6" s="23" t="s">
        <v>281</v>
      </c>
      <c r="B6" s="23" t="s">
        <v>282</v>
      </c>
      <c r="C6" s="23" t="s">
        <v>90</v>
      </c>
      <c r="D6" s="23">
        <v>52922</v>
      </c>
      <c r="E6" s="23" t="s">
        <v>6</v>
      </c>
      <c r="F6" s="23" t="s">
        <v>6</v>
      </c>
    </row>
    <row r="7" spans="1:6" x14ac:dyDescent="0.35">
      <c r="A7" s="23" t="s">
        <v>281</v>
      </c>
      <c r="B7" s="23" t="s">
        <v>282</v>
      </c>
      <c r="C7" s="23" t="s">
        <v>91</v>
      </c>
      <c r="D7" s="23">
        <v>53329</v>
      </c>
      <c r="E7" s="23" t="s">
        <v>6</v>
      </c>
      <c r="F7" s="23" t="s">
        <v>6</v>
      </c>
    </row>
    <row r="8" spans="1:6" x14ac:dyDescent="0.35">
      <c r="A8" s="23" t="s">
        <v>281</v>
      </c>
      <c r="B8" s="23" t="s">
        <v>282</v>
      </c>
      <c r="C8" s="23" t="s">
        <v>92</v>
      </c>
      <c r="D8" s="23">
        <v>52560</v>
      </c>
      <c r="E8" s="23" t="s">
        <v>6</v>
      </c>
      <c r="F8" s="23" t="s">
        <v>6</v>
      </c>
    </row>
    <row r="9" spans="1:6" x14ac:dyDescent="0.35">
      <c r="A9" s="23" t="s">
        <v>281</v>
      </c>
      <c r="B9" s="23" t="s">
        <v>282</v>
      </c>
      <c r="C9" s="23" t="s">
        <v>93</v>
      </c>
      <c r="D9" s="23">
        <v>54614</v>
      </c>
      <c r="E9" s="23" t="s">
        <v>6</v>
      </c>
      <c r="F9" s="23" t="s">
        <v>6</v>
      </c>
    </row>
    <row r="10" spans="1:6" x14ac:dyDescent="0.35">
      <c r="A10" s="23" t="s">
        <v>281</v>
      </c>
      <c r="B10" s="23" t="s">
        <v>6</v>
      </c>
      <c r="C10" s="23" t="s">
        <v>94</v>
      </c>
      <c r="D10" s="23" t="s">
        <v>6</v>
      </c>
      <c r="E10" s="23" t="s">
        <v>6</v>
      </c>
      <c r="F10" s="23" t="s">
        <v>6</v>
      </c>
    </row>
    <row r="11" spans="1:6" x14ac:dyDescent="0.35">
      <c r="A11" s="23" t="s">
        <v>281</v>
      </c>
      <c r="B11" s="23" t="s">
        <v>6</v>
      </c>
      <c r="C11" s="23" t="s">
        <v>95</v>
      </c>
      <c r="D11" s="23" t="s">
        <v>6</v>
      </c>
      <c r="E11" s="23" t="s">
        <v>6</v>
      </c>
      <c r="F11" s="23" t="s">
        <v>6</v>
      </c>
    </row>
    <row r="12" spans="1:6" x14ac:dyDescent="0.35">
      <c r="A12" s="23" t="s">
        <v>281</v>
      </c>
      <c r="B12" s="23" t="s">
        <v>6</v>
      </c>
      <c r="C12" s="23" t="s">
        <v>96</v>
      </c>
      <c r="D12" s="23" t="s">
        <v>6</v>
      </c>
      <c r="E12" s="23" t="s">
        <v>6</v>
      </c>
      <c r="F12" s="23" t="s">
        <v>6</v>
      </c>
    </row>
    <row r="13" spans="1:6" x14ac:dyDescent="0.35">
      <c r="A13" s="23" t="s">
        <v>281</v>
      </c>
      <c r="B13" s="23" t="s">
        <v>6</v>
      </c>
      <c r="C13" s="23" t="s">
        <v>97</v>
      </c>
      <c r="D13" s="23" t="s">
        <v>6</v>
      </c>
      <c r="E13" s="23" t="s">
        <v>6</v>
      </c>
      <c r="F13" s="23" t="s">
        <v>6</v>
      </c>
    </row>
    <row r="14" spans="1:6" x14ac:dyDescent="0.35">
      <c r="A14" s="23" t="s">
        <v>281</v>
      </c>
      <c r="B14" s="23" t="s">
        <v>282</v>
      </c>
      <c r="C14" s="23" t="s">
        <v>98</v>
      </c>
      <c r="D14" s="23">
        <v>54810</v>
      </c>
      <c r="E14" s="23" t="s">
        <v>6</v>
      </c>
      <c r="F14" s="23">
        <v>1133</v>
      </c>
    </row>
    <row r="15" spans="1:6" x14ac:dyDescent="0.35">
      <c r="A15" s="23" t="s">
        <v>281</v>
      </c>
      <c r="B15" s="23" t="s">
        <v>6</v>
      </c>
      <c r="C15" s="23" t="s">
        <v>99</v>
      </c>
      <c r="D15" s="23" t="s">
        <v>6</v>
      </c>
      <c r="E15" s="23" t="s">
        <v>6</v>
      </c>
      <c r="F15" s="23" t="s">
        <v>6</v>
      </c>
    </row>
    <row r="16" spans="1:6" x14ac:dyDescent="0.35">
      <c r="A16" s="23" t="s">
        <v>281</v>
      </c>
      <c r="B16" s="23" t="s">
        <v>6</v>
      </c>
      <c r="C16" s="23" t="s">
        <v>100</v>
      </c>
      <c r="D16" s="23" t="s">
        <v>6</v>
      </c>
      <c r="E16" s="23" t="s">
        <v>6</v>
      </c>
      <c r="F16" s="23" t="s">
        <v>6</v>
      </c>
    </row>
    <row r="17" spans="1:6" x14ac:dyDescent="0.35">
      <c r="A17" s="23" t="s">
        <v>281</v>
      </c>
      <c r="B17" s="23" t="s">
        <v>282</v>
      </c>
      <c r="C17" s="23" t="s">
        <v>101</v>
      </c>
      <c r="D17" s="23">
        <v>57588</v>
      </c>
      <c r="E17" s="23" t="s">
        <v>6</v>
      </c>
      <c r="F17" s="23">
        <v>995</v>
      </c>
    </row>
    <row r="18" spans="1:6" x14ac:dyDescent="0.35">
      <c r="A18" s="23" t="s">
        <v>281</v>
      </c>
      <c r="B18" s="23" t="s">
        <v>282</v>
      </c>
      <c r="C18" s="23" t="s">
        <v>102</v>
      </c>
      <c r="D18" s="23">
        <v>53819</v>
      </c>
      <c r="E18" s="23" t="s">
        <v>6</v>
      </c>
      <c r="F18" s="23">
        <v>1001</v>
      </c>
    </row>
    <row r="19" spans="1:6" x14ac:dyDescent="0.35">
      <c r="A19" s="23" t="s">
        <v>281</v>
      </c>
      <c r="B19" s="23" t="s">
        <v>6</v>
      </c>
      <c r="C19" s="23" t="s">
        <v>103</v>
      </c>
      <c r="D19" s="23" t="s">
        <v>6</v>
      </c>
      <c r="E19" s="23" t="s">
        <v>6</v>
      </c>
      <c r="F19" s="23" t="s">
        <v>6</v>
      </c>
    </row>
    <row r="20" spans="1:6" x14ac:dyDescent="0.35">
      <c r="A20" s="23" t="s">
        <v>281</v>
      </c>
      <c r="B20" s="23" t="s">
        <v>282</v>
      </c>
      <c r="C20" s="23" t="s">
        <v>104</v>
      </c>
      <c r="D20" s="23">
        <v>52826</v>
      </c>
      <c r="E20" s="23" t="s">
        <v>6</v>
      </c>
      <c r="F20" s="23">
        <v>921</v>
      </c>
    </row>
    <row r="21" spans="1:6" x14ac:dyDescent="0.35">
      <c r="A21" s="23" t="s">
        <v>281</v>
      </c>
      <c r="B21" s="23" t="s">
        <v>282</v>
      </c>
      <c r="C21" s="23" t="s">
        <v>105</v>
      </c>
      <c r="D21" s="23">
        <v>52254</v>
      </c>
      <c r="E21" s="23" t="s">
        <v>6</v>
      </c>
      <c r="F21" s="23">
        <v>841</v>
      </c>
    </row>
    <row r="22" spans="1:6" x14ac:dyDescent="0.35">
      <c r="A22" s="23" t="s">
        <v>281</v>
      </c>
      <c r="B22" s="23" t="s">
        <v>282</v>
      </c>
      <c r="C22" s="23" t="s">
        <v>106</v>
      </c>
      <c r="D22" s="23">
        <v>50898</v>
      </c>
      <c r="E22" s="23" t="s">
        <v>6</v>
      </c>
      <c r="F22" s="23">
        <v>1000</v>
      </c>
    </row>
    <row r="23" spans="1:6" x14ac:dyDescent="0.35">
      <c r="A23" s="23" t="s">
        <v>281</v>
      </c>
      <c r="B23" s="23" t="s">
        <v>282</v>
      </c>
      <c r="C23" s="23" t="s">
        <v>107</v>
      </c>
      <c r="D23" s="23">
        <v>50796</v>
      </c>
      <c r="E23" s="23" t="s">
        <v>6</v>
      </c>
      <c r="F23" s="23">
        <v>963</v>
      </c>
    </row>
    <row r="24" spans="1:6" x14ac:dyDescent="0.35">
      <c r="A24" s="23" t="s">
        <v>281</v>
      </c>
      <c r="B24" s="23" t="s">
        <v>282</v>
      </c>
      <c r="C24" s="23" t="s">
        <v>108</v>
      </c>
      <c r="D24" s="23">
        <v>49480</v>
      </c>
      <c r="E24" s="23" t="s">
        <v>6</v>
      </c>
      <c r="F24" s="23">
        <v>974</v>
      </c>
    </row>
    <row r="25" spans="1:6" x14ac:dyDescent="0.35">
      <c r="A25" s="23" t="s">
        <v>281</v>
      </c>
      <c r="B25" s="23" t="s">
        <v>282</v>
      </c>
      <c r="C25" s="23" t="s">
        <v>109</v>
      </c>
      <c r="D25" s="23">
        <v>48871</v>
      </c>
      <c r="E25" s="23" t="s">
        <v>6</v>
      </c>
      <c r="F25" s="23">
        <v>1055</v>
      </c>
    </row>
    <row r="26" spans="1:6" x14ac:dyDescent="0.35">
      <c r="A26" s="23" t="s">
        <v>281</v>
      </c>
      <c r="B26" s="23" t="s">
        <v>282</v>
      </c>
      <c r="C26" s="23" t="s">
        <v>110</v>
      </c>
      <c r="D26" s="23">
        <v>46026</v>
      </c>
      <c r="E26" s="23" t="s">
        <v>6</v>
      </c>
      <c r="F26" s="23">
        <v>969</v>
      </c>
    </row>
    <row r="27" spans="1:6" x14ac:dyDescent="0.35">
      <c r="A27" s="23" t="s">
        <v>281</v>
      </c>
      <c r="B27" s="23" t="s">
        <v>282</v>
      </c>
      <c r="C27" s="23" t="s">
        <v>111</v>
      </c>
      <c r="D27" s="23">
        <v>46768</v>
      </c>
      <c r="E27" s="23" t="s">
        <v>6</v>
      </c>
      <c r="F27" s="23">
        <v>988</v>
      </c>
    </row>
    <row r="28" spans="1:6" x14ac:dyDescent="0.35">
      <c r="A28" s="23" t="s">
        <v>281</v>
      </c>
      <c r="B28" s="23" t="s">
        <v>282</v>
      </c>
      <c r="C28" s="23" t="s">
        <v>112</v>
      </c>
      <c r="D28" s="23">
        <v>46026</v>
      </c>
      <c r="E28" s="23" t="s">
        <v>6</v>
      </c>
      <c r="F28" s="23">
        <v>1034</v>
      </c>
    </row>
    <row r="29" spans="1:6" x14ac:dyDescent="0.35">
      <c r="A29" s="23" t="s">
        <v>281</v>
      </c>
      <c r="B29" s="23" t="s">
        <v>282</v>
      </c>
      <c r="C29" s="23" t="s">
        <v>113</v>
      </c>
      <c r="D29" s="23">
        <v>46025</v>
      </c>
      <c r="E29" s="23" t="s">
        <v>6</v>
      </c>
      <c r="F29" s="23">
        <v>1009</v>
      </c>
    </row>
    <row r="30" spans="1:6" x14ac:dyDescent="0.35">
      <c r="A30" s="23" t="s">
        <v>281</v>
      </c>
      <c r="B30" s="23" t="s">
        <v>282</v>
      </c>
      <c r="C30" s="23" t="s">
        <v>114</v>
      </c>
      <c r="D30" s="23">
        <v>45686</v>
      </c>
      <c r="E30" s="23" t="s">
        <v>6</v>
      </c>
      <c r="F30" s="23">
        <v>1113</v>
      </c>
    </row>
    <row r="31" spans="1:6" x14ac:dyDescent="0.35">
      <c r="A31" s="23" t="s">
        <v>281</v>
      </c>
      <c r="B31" s="23" t="s">
        <v>282</v>
      </c>
      <c r="C31" s="23" t="s">
        <v>115</v>
      </c>
      <c r="D31" s="23">
        <v>45833</v>
      </c>
      <c r="E31" s="23" t="s">
        <v>6</v>
      </c>
      <c r="F31" s="23">
        <v>1028</v>
      </c>
    </row>
    <row r="32" spans="1:6" x14ac:dyDescent="0.35">
      <c r="A32" s="23" t="s">
        <v>281</v>
      </c>
      <c r="B32" s="23" t="s">
        <v>282</v>
      </c>
      <c r="C32" s="23" t="s">
        <v>116</v>
      </c>
      <c r="D32" s="23">
        <v>45467</v>
      </c>
      <c r="E32" s="23" t="s">
        <v>6</v>
      </c>
      <c r="F32" s="23">
        <v>1199</v>
      </c>
    </row>
    <row r="33" spans="1:6" x14ac:dyDescent="0.35">
      <c r="A33" s="23" t="s">
        <v>281</v>
      </c>
      <c r="B33" s="23" t="s">
        <v>282</v>
      </c>
      <c r="C33" s="23" t="s">
        <v>117</v>
      </c>
      <c r="D33" s="23">
        <v>46789</v>
      </c>
      <c r="E33" s="23" t="s">
        <v>6</v>
      </c>
      <c r="F33" s="23">
        <v>1223</v>
      </c>
    </row>
    <row r="34" spans="1:6" x14ac:dyDescent="0.35">
      <c r="A34" s="23" t="s">
        <v>281</v>
      </c>
      <c r="B34" s="23" t="s">
        <v>282</v>
      </c>
      <c r="C34" s="23" t="s">
        <v>118</v>
      </c>
      <c r="D34" s="23">
        <v>47488</v>
      </c>
      <c r="E34" s="23" t="s">
        <v>6</v>
      </c>
      <c r="F34" s="23">
        <v>1153</v>
      </c>
    </row>
    <row r="35" spans="1:6" x14ac:dyDescent="0.35">
      <c r="A35" s="23" t="s">
        <v>281</v>
      </c>
      <c r="B35" s="23" t="s">
        <v>282</v>
      </c>
      <c r="C35" s="23" t="s">
        <v>119</v>
      </c>
      <c r="D35" s="23">
        <v>47104</v>
      </c>
      <c r="E35" s="23" t="s">
        <v>6</v>
      </c>
      <c r="F35" s="23">
        <v>1236</v>
      </c>
    </row>
    <row r="36" spans="1:6" x14ac:dyDescent="0.35">
      <c r="A36" s="23" t="s">
        <v>281</v>
      </c>
      <c r="B36" s="23" t="s">
        <v>282</v>
      </c>
      <c r="C36" s="23" t="s">
        <v>120</v>
      </c>
      <c r="D36" s="23">
        <v>47651</v>
      </c>
      <c r="E36" s="23" t="s">
        <v>6</v>
      </c>
      <c r="F36" s="23">
        <v>1249</v>
      </c>
    </row>
    <row r="37" spans="1:6" x14ac:dyDescent="0.35">
      <c r="A37" s="23" t="s">
        <v>281</v>
      </c>
      <c r="B37" s="23" t="s">
        <v>282</v>
      </c>
      <c r="C37" s="23" t="s">
        <v>121</v>
      </c>
      <c r="D37" s="23">
        <v>45819</v>
      </c>
      <c r="E37" s="23" t="s">
        <v>6</v>
      </c>
      <c r="F37" s="23">
        <v>1212</v>
      </c>
    </row>
    <row r="38" spans="1:6" x14ac:dyDescent="0.35">
      <c r="A38" s="23" t="s">
        <v>281</v>
      </c>
      <c r="B38" s="23" t="s">
        <v>282</v>
      </c>
      <c r="C38" s="23" t="s">
        <v>122</v>
      </c>
      <c r="D38" s="23">
        <v>41805</v>
      </c>
      <c r="E38" s="23" t="s">
        <v>6</v>
      </c>
      <c r="F38" s="23">
        <v>1210</v>
      </c>
    </row>
    <row r="39" spans="1:6" x14ac:dyDescent="0.35">
      <c r="A39" s="23" t="s">
        <v>281</v>
      </c>
      <c r="B39" s="23" t="s">
        <v>282</v>
      </c>
      <c r="C39" s="23" t="s">
        <v>123</v>
      </c>
      <c r="D39" s="23">
        <v>39048</v>
      </c>
      <c r="E39" s="23" t="s">
        <v>6</v>
      </c>
      <c r="F39" s="23">
        <v>1070</v>
      </c>
    </row>
    <row r="40" spans="1:6" x14ac:dyDescent="0.35">
      <c r="A40" s="23" t="s">
        <v>281</v>
      </c>
      <c r="B40" s="23" t="s">
        <v>282</v>
      </c>
      <c r="C40" s="23">
        <v>2019</v>
      </c>
      <c r="D40" s="23">
        <v>36436</v>
      </c>
      <c r="E40" s="23" t="s">
        <v>6</v>
      </c>
      <c r="F40" s="23">
        <v>1017</v>
      </c>
    </row>
    <row r="41" spans="1:6" x14ac:dyDescent="0.35">
      <c r="A41" s="23" t="s">
        <v>281</v>
      </c>
      <c r="B41" s="23" t="s">
        <v>282</v>
      </c>
      <c r="C41" s="23">
        <v>2020</v>
      </c>
      <c r="D41" s="23">
        <v>34937</v>
      </c>
      <c r="E41" s="23" t="s">
        <v>6</v>
      </c>
      <c r="F41" s="23">
        <v>906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3367-C28A-4DD8-B9BF-1C0DBA102B71}">
  <dimension ref="A1:F107"/>
  <sheetViews>
    <sheetView zoomScale="70" zoomScaleNormal="70" workbookViewId="0">
      <selection sqref="A1:F107"/>
    </sheetView>
  </sheetViews>
  <sheetFormatPr defaultRowHeight="14.5" x14ac:dyDescent="0.35"/>
  <cols>
    <col min="1" max="1" width="14.453125" style="3" customWidth="1"/>
    <col min="2" max="2" width="11" style="14" customWidth="1"/>
    <col min="3" max="3" width="8.1796875" style="3" customWidth="1"/>
    <col min="4" max="4" width="14.36328125" style="3" customWidth="1"/>
    <col min="5" max="5" width="19.54296875" style="3" customWidth="1"/>
    <col min="6" max="6" width="17.7265625" style="3" customWidth="1"/>
  </cols>
  <sheetData>
    <row r="1" spans="1:6" ht="26.5" x14ac:dyDescent="0.35">
      <c r="A1" s="1" t="s">
        <v>0</v>
      </c>
      <c r="B1" s="20" t="s">
        <v>1</v>
      </c>
      <c r="C1" s="1" t="s">
        <v>2</v>
      </c>
      <c r="D1" s="1" t="s">
        <v>9</v>
      </c>
      <c r="E1" s="1" t="s">
        <v>7</v>
      </c>
      <c r="F1" s="1" t="s">
        <v>8</v>
      </c>
    </row>
    <row r="2" spans="1:6" x14ac:dyDescent="0.35">
      <c r="A2" s="6" t="s">
        <v>283</v>
      </c>
      <c r="B2" s="6" t="s">
        <v>284</v>
      </c>
      <c r="C2" s="3">
        <v>1915</v>
      </c>
      <c r="D2" s="6">
        <v>761150</v>
      </c>
      <c r="E2" s="6">
        <v>7673</v>
      </c>
      <c r="F2" s="6" t="s">
        <v>6</v>
      </c>
    </row>
    <row r="3" spans="1:6" x14ac:dyDescent="0.35">
      <c r="A3" s="6" t="s">
        <v>283</v>
      </c>
      <c r="B3" s="6" t="s">
        <v>284</v>
      </c>
      <c r="C3" s="3">
        <v>1916</v>
      </c>
      <c r="D3" s="6">
        <v>802892</v>
      </c>
      <c r="E3" s="6">
        <v>8139</v>
      </c>
      <c r="F3" s="6" t="s">
        <v>6</v>
      </c>
    </row>
    <row r="4" spans="1:6" x14ac:dyDescent="0.35">
      <c r="A4" s="6" t="s">
        <v>283</v>
      </c>
      <c r="B4" s="6" t="s">
        <v>284</v>
      </c>
      <c r="C4" s="3">
        <v>1917</v>
      </c>
      <c r="D4" s="6">
        <v>1325426</v>
      </c>
      <c r="E4" s="6">
        <v>14394</v>
      </c>
      <c r="F4" s="6" t="s">
        <v>6</v>
      </c>
    </row>
    <row r="5" spans="1:6" x14ac:dyDescent="0.35">
      <c r="A5" s="6" t="s">
        <v>283</v>
      </c>
      <c r="B5" s="6" t="s">
        <v>284</v>
      </c>
      <c r="C5" s="3">
        <v>1918</v>
      </c>
      <c r="D5" s="6">
        <v>1333526</v>
      </c>
      <c r="E5" s="6">
        <v>15342</v>
      </c>
      <c r="F5" s="6" t="s">
        <v>6</v>
      </c>
    </row>
    <row r="6" spans="1:6" x14ac:dyDescent="0.35">
      <c r="A6" s="6" t="s">
        <v>283</v>
      </c>
      <c r="B6" s="6" t="s">
        <v>284</v>
      </c>
      <c r="C6" s="3">
        <v>1919</v>
      </c>
      <c r="D6" s="6">
        <v>1341234</v>
      </c>
      <c r="E6" s="6">
        <v>16316</v>
      </c>
      <c r="F6" s="6" t="s">
        <v>6</v>
      </c>
    </row>
    <row r="7" spans="1:6" x14ac:dyDescent="0.35">
      <c r="A7" s="6" t="s">
        <v>283</v>
      </c>
      <c r="B7" s="6" t="s">
        <v>284</v>
      </c>
      <c r="C7" s="3">
        <v>1920</v>
      </c>
      <c r="D7" s="6">
        <v>1475113</v>
      </c>
      <c r="E7" s="6">
        <v>17229</v>
      </c>
      <c r="F7" s="6" t="s">
        <v>6</v>
      </c>
    </row>
    <row r="8" spans="1:6" x14ac:dyDescent="0.35">
      <c r="A8" s="6" t="s">
        <v>283</v>
      </c>
      <c r="B8" s="6" t="s">
        <v>284</v>
      </c>
      <c r="C8" s="3">
        <v>1921</v>
      </c>
      <c r="D8" s="6">
        <v>1674875</v>
      </c>
      <c r="E8" s="6">
        <v>20021</v>
      </c>
      <c r="F8" s="6" t="s">
        <v>6</v>
      </c>
    </row>
    <row r="9" spans="1:6" x14ac:dyDescent="0.35">
      <c r="A9" s="6" t="s">
        <v>283</v>
      </c>
      <c r="B9" s="6" t="s">
        <v>284</v>
      </c>
      <c r="C9" s="3">
        <v>1922</v>
      </c>
      <c r="D9" s="6">
        <v>1735074</v>
      </c>
      <c r="E9" s="6">
        <v>20284</v>
      </c>
      <c r="F9" s="6" t="s">
        <v>6</v>
      </c>
    </row>
    <row r="10" spans="1:6" x14ac:dyDescent="0.35">
      <c r="A10" s="6" t="s">
        <v>283</v>
      </c>
      <c r="B10" s="6" t="s">
        <v>284</v>
      </c>
      <c r="C10" s="3">
        <v>1923</v>
      </c>
      <c r="D10" s="6">
        <v>1752331</v>
      </c>
      <c r="E10" s="6">
        <v>20594</v>
      </c>
      <c r="F10" s="6" t="s">
        <v>6</v>
      </c>
    </row>
    <row r="11" spans="1:6" x14ac:dyDescent="0.35">
      <c r="A11" s="6" t="s">
        <v>283</v>
      </c>
      <c r="B11" s="6" t="s">
        <v>284</v>
      </c>
      <c r="C11" s="3">
        <v>1924</v>
      </c>
      <c r="D11" s="6">
        <v>1887776</v>
      </c>
      <c r="E11" s="6">
        <v>21864</v>
      </c>
      <c r="F11" s="6" t="s">
        <v>6</v>
      </c>
    </row>
    <row r="12" spans="1:6" x14ac:dyDescent="0.35">
      <c r="A12" s="6" t="s">
        <v>283</v>
      </c>
      <c r="B12" s="6" t="s">
        <v>284</v>
      </c>
      <c r="C12" s="3">
        <v>1925</v>
      </c>
      <c r="D12" s="6">
        <v>1838296</v>
      </c>
      <c r="E12" s="6">
        <v>20645</v>
      </c>
      <c r="F12" s="6" t="s">
        <v>6</v>
      </c>
    </row>
    <row r="13" spans="1:6" x14ac:dyDescent="0.35">
      <c r="A13" s="6" t="s">
        <v>283</v>
      </c>
      <c r="B13" s="6" t="s">
        <v>284</v>
      </c>
      <c r="C13" s="3">
        <v>1926</v>
      </c>
      <c r="D13" s="6">
        <v>1815108</v>
      </c>
      <c r="E13" s="6">
        <v>20885</v>
      </c>
      <c r="F13" s="6" t="s">
        <v>6</v>
      </c>
    </row>
    <row r="14" spans="1:6" x14ac:dyDescent="0.35">
      <c r="A14" s="6" t="s">
        <v>283</v>
      </c>
      <c r="B14" s="6" t="s">
        <v>284</v>
      </c>
      <c r="C14" s="3">
        <v>1927</v>
      </c>
      <c r="D14" s="6">
        <v>2089508</v>
      </c>
      <c r="E14" s="6">
        <v>24658</v>
      </c>
      <c r="F14" s="6" t="s">
        <v>6</v>
      </c>
    </row>
    <row r="15" spans="1:6" x14ac:dyDescent="0.35">
      <c r="A15" s="6" t="s">
        <v>283</v>
      </c>
      <c r="B15" s="6" t="s">
        <v>284</v>
      </c>
      <c r="C15" s="3">
        <v>1928</v>
      </c>
      <c r="D15" s="6">
        <v>2182879</v>
      </c>
      <c r="E15" s="6">
        <v>25619</v>
      </c>
      <c r="F15" s="6" t="s">
        <v>6</v>
      </c>
    </row>
    <row r="16" spans="1:6" x14ac:dyDescent="0.35">
      <c r="A16" s="6" t="s">
        <v>283</v>
      </c>
      <c r="B16" s="6" t="s">
        <v>284</v>
      </c>
      <c r="C16" s="3">
        <v>1929</v>
      </c>
      <c r="D16" s="6">
        <v>2120415</v>
      </c>
      <c r="E16" s="6">
        <v>25358</v>
      </c>
      <c r="F16" s="6" t="s">
        <v>6</v>
      </c>
    </row>
    <row r="17" spans="1:6" x14ac:dyDescent="0.35">
      <c r="A17" s="6" t="s">
        <v>283</v>
      </c>
      <c r="B17" s="6" t="s">
        <v>284</v>
      </c>
      <c r="C17" s="3">
        <v>1930</v>
      </c>
      <c r="D17" s="6">
        <v>2155094</v>
      </c>
      <c r="E17" s="6">
        <v>24963</v>
      </c>
      <c r="F17" s="6" t="s">
        <v>6</v>
      </c>
    </row>
    <row r="18" spans="1:6" x14ac:dyDescent="0.35">
      <c r="A18" s="6" t="s">
        <v>283</v>
      </c>
      <c r="B18" s="6" t="s">
        <v>284</v>
      </c>
      <c r="C18" s="3">
        <v>1931</v>
      </c>
      <c r="D18" s="6">
        <v>2065803</v>
      </c>
      <c r="E18" s="6">
        <v>24049</v>
      </c>
      <c r="F18" s="6" t="s">
        <v>6</v>
      </c>
    </row>
    <row r="19" spans="1:6" x14ac:dyDescent="0.35">
      <c r="A19" s="6" t="s">
        <v>283</v>
      </c>
      <c r="B19" s="6" t="s">
        <v>284</v>
      </c>
      <c r="C19" s="3">
        <v>1932</v>
      </c>
      <c r="D19" s="6">
        <v>2027134</v>
      </c>
      <c r="E19" s="6">
        <v>24020</v>
      </c>
      <c r="F19" s="6" t="s">
        <v>6</v>
      </c>
    </row>
    <row r="20" spans="1:6" x14ac:dyDescent="0.35">
      <c r="A20" s="6" t="s">
        <v>283</v>
      </c>
      <c r="B20" s="6" t="s">
        <v>284</v>
      </c>
      <c r="C20" s="3">
        <v>1933</v>
      </c>
      <c r="D20" s="6">
        <v>2034466</v>
      </c>
      <c r="E20" s="6">
        <v>23995</v>
      </c>
      <c r="F20" s="6" t="s">
        <v>6</v>
      </c>
    </row>
    <row r="21" spans="1:6" x14ac:dyDescent="0.35">
      <c r="A21" s="6" t="s">
        <v>283</v>
      </c>
      <c r="B21" s="6" t="s">
        <v>284</v>
      </c>
      <c r="C21" s="3">
        <v>1934</v>
      </c>
      <c r="D21" s="6">
        <v>2118997</v>
      </c>
      <c r="E21" s="6">
        <v>24866</v>
      </c>
      <c r="F21" s="6" t="s">
        <v>6</v>
      </c>
    </row>
    <row r="22" spans="1:6" x14ac:dyDescent="0.35">
      <c r="A22" s="6" t="s">
        <v>283</v>
      </c>
      <c r="B22" s="6" t="s">
        <v>284</v>
      </c>
      <c r="C22" s="3">
        <v>1935</v>
      </c>
      <c r="D22" s="6">
        <v>2107903</v>
      </c>
      <c r="E22" s="6">
        <v>24167</v>
      </c>
      <c r="F22" s="6" t="s">
        <v>6</v>
      </c>
    </row>
    <row r="23" spans="1:6" x14ac:dyDescent="0.35">
      <c r="A23" s="6" t="s">
        <v>283</v>
      </c>
      <c r="B23" s="6" t="s">
        <v>284</v>
      </c>
      <c r="C23" s="3">
        <v>1936</v>
      </c>
      <c r="D23" s="6">
        <v>2096667</v>
      </c>
      <c r="E23" s="6">
        <v>24569</v>
      </c>
      <c r="F23" s="6" t="s">
        <v>6</v>
      </c>
    </row>
    <row r="24" spans="1:6" x14ac:dyDescent="0.35">
      <c r="A24" s="6" t="s">
        <v>283</v>
      </c>
      <c r="B24" s="6" t="s">
        <v>284</v>
      </c>
      <c r="C24" s="3">
        <v>1937</v>
      </c>
      <c r="D24" s="6">
        <v>2154719</v>
      </c>
      <c r="E24" s="6">
        <v>24881</v>
      </c>
      <c r="F24" s="6" t="s">
        <v>6</v>
      </c>
    </row>
    <row r="25" spans="1:6" x14ac:dyDescent="0.35">
      <c r="A25" s="6" t="s">
        <v>283</v>
      </c>
      <c r="B25" s="6" t="s">
        <v>284</v>
      </c>
      <c r="C25" s="3">
        <v>1938</v>
      </c>
      <c r="D25" s="6">
        <v>2236863</v>
      </c>
      <c r="E25" s="6">
        <v>25644</v>
      </c>
      <c r="F25" s="6" t="s">
        <v>6</v>
      </c>
    </row>
    <row r="26" spans="1:6" x14ac:dyDescent="0.35">
      <c r="A26" s="6" t="s">
        <v>283</v>
      </c>
      <c r="B26" s="6" t="s">
        <v>284</v>
      </c>
      <c r="C26" s="3">
        <v>1939</v>
      </c>
      <c r="D26" s="6">
        <v>2216857</v>
      </c>
      <c r="E26" s="6">
        <v>24908</v>
      </c>
      <c r="F26" s="6" t="s">
        <v>6</v>
      </c>
    </row>
    <row r="27" spans="1:6" x14ac:dyDescent="0.35">
      <c r="A27" s="6" t="s">
        <v>283</v>
      </c>
      <c r="B27" s="6" t="s">
        <v>284</v>
      </c>
      <c r="C27" s="3">
        <v>1940</v>
      </c>
      <c r="D27" s="6">
        <v>2311378</v>
      </c>
      <c r="E27" s="6">
        <v>24976</v>
      </c>
      <c r="F27" s="6" t="s">
        <v>6</v>
      </c>
    </row>
    <row r="28" spans="1:6" x14ac:dyDescent="0.35">
      <c r="A28" s="6" t="s">
        <v>283</v>
      </c>
      <c r="B28" s="6" t="s">
        <v>284</v>
      </c>
      <c r="C28" s="3">
        <v>1941</v>
      </c>
      <c r="D28" s="6">
        <v>2461311</v>
      </c>
      <c r="E28" s="6">
        <v>26443</v>
      </c>
      <c r="F28" s="6" t="s">
        <v>6</v>
      </c>
    </row>
    <row r="29" spans="1:6" x14ac:dyDescent="0.35">
      <c r="A29" s="6" t="s">
        <v>283</v>
      </c>
      <c r="B29" s="6" t="s">
        <v>284</v>
      </c>
      <c r="C29" s="3">
        <v>1942</v>
      </c>
      <c r="D29" s="6">
        <v>2751568</v>
      </c>
      <c r="E29" s="6">
        <v>29139</v>
      </c>
      <c r="F29" s="6" t="s">
        <v>6</v>
      </c>
    </row>
    <row r="30" spans="1:6" x14ac:dyDescent="0.35">
      <c r="A30" s="6" t="s">
        <v>283</v>
      </c>
      <c r="B30" s="6" t="s">
        <v>284</v>
      </c>
      <c r="C30" s="3">
        <v>1943</v>
      </c>
      <c r="D30" s="6">
        <v>2876669</v>
      </c>
      <c r="E30" s="6">
        <v>29470</v>
      </c>
      <c r="F30" s="6" t="s">
        <v>6</v>
      </c>
    </row>
    <row r="31" spans="1:6" x14ac:dyDescent="0.35">
      <c r="A31" s="6" t="s">
        <v>283</v>
      </c>
      <c r="B31" s="6" t="s">
        <v>284</v>
      </c>
      <c r="C31" s="3">
        <v>1944</v>
      </c>
      <c r="D31" s="6">
        <v>2738438</v>
      </c>
      <c r="E31" s="6">
        <v>28591</v>
      </c>
      <c r="F31" s="6" t="s">
        <v>6</v>
      </c>
    </row>
    <row r="32" spans="1:6" x14ac:dyDescent="0.35">
      <c r="A32" s="6" t="s">
        <v>283</v>
      </c>
      <c r="B32" s="6" t="s">
        <v>284</v>
      </c>
      <c r="C32" s="3">
        <v>1945</v>
      </c>
      <c r="D32" s="6">
        <v>2678712</v>
      </c>
      <c r="E32" s="6">
        <v>28604</v>
      </c>
      <c r="F32" s="6" t="s">
        <v>6</v>
      </c>
    </row>
    <row r="33" spans="1:6" x14ac:dyDescent="0.35">
      <c r="A33" s="6" t="s">
        <v>283</v>
      </c>
      <c r="B33" s="6" t="s">
        <v>284</v>
      </c>
      <c r="C33" s="3">
        <v>1946</v>
      </c>
      <c r="D33" s="6">
        <v>3216000</v>
      </c>
      <c r="E33" s="6">
        <v>36782</v>
      </c>
      <c r="F33" s="6" t="s">
        <v>6</v>
      </c>
    </row>
    <row r="34" spans="1:6" x14ac:dyDescent="0.35">
      <c r="A34" s="6" t="s">
        <v>283</v>
      </c>
      <c r="B34" s="6" t="s">
        <v>284</v>
      </c>
      <c r="C34" s="3">
        <v>1947</v>
      </c>
      <c r="D34" s="6">
        <v>3624181</v>
      </c>
      <c r="E34" s="6">
        <v>38286</v>
      </c>
      <c r="F34" s="6" t="s">
        <v>6</v>
      </c>
    </row>
    <row r="35" spans="1:6" x14ac:dyDescent="0.35">
      <c r="A35" s="6" t="s">
        <v>283</v>
      </c>
      <c r="B35" s="6" t="s">
        <v>284</v>
      </c>
      <c r="C35" s="3">
        <v>1948</v>
      </c>
      <c r="D35" s="6">
        <v>3463320</v>
      </c>
      <c r="E35" s="6">
        <v>36246</v>
      </c>
      <c r="F35" s="6" t="s">
        <v>6</v>
      </c>
    </row>
    <row r="36" spans="1:6" x14ac:dyDescent="0.35">
      <c r="A36" s="6" t="s">
        <v>283</v>
      </c>
      <c r="B36" s="6" t="s">
        <v>284</v>
      </c>
      <c r="C36" s="3">
        <v>1949</v>
      </c>
      <c r="D36" s="6">
        <v>3487548</v>
      </c>
      <c r="E36" s="6">
        <v>36479</v>
      </c>
      <c r="F36" s="6" t="s">
        <v>6</v>
      </c>
    </row>
    <row r="37" spans="1:6" x14ac:dyDescent="0.35">
      <c r="A37" s="6" t="s">
        <v>283</v>
      </c>
      <c r="B37" s="6" t="s">
        <v>284</v>
      </c>
      <c r="C37" s="3">
        <v>1950</v>
      </c>
      <c r="D37" s="6">
        <v>3479639</v>
      </c>
      <c r="E37" s="6">
        <v>37759</v>
      </c>
      <c r="F37" s="6" t="s">
        <v>6</v>
      </c>
    </row>
    <row r="38" spans="1:6" x14ac:dyDescent="0.35">
      <c r="A38" s="6" t="s">
        <v>283</v>
      </c>
      <c r="B38" s="6" t="s">
        <v>284</v>
      </c>
      <c r="C38" s="3">
        <v>1951</v>
      </c>
      <c r="D38" s="6">
        <v>3673160</v>
      </c>
      <c r="E38" s="6">
        <v>38256</v>
      </c>
      <c r="F38" s="6" t="s">
        <v>6</v>
      </c>
    </row>
    <row r="39" spans="1:6" x14ac:dyDescent="0.35">
      <c r="A39" s="6" t="s">
        <v>283</v>
      </c>
      <c r="B39" s="6" t="s">
        <v>284</v>
      </c>
      <c r="C39" s="3">
        <v>1952</v>
      </c>
      <c r="D39" s="6">
        <f>3846986-79536</f>
        <v>3767450</v>
      </c>
      <c r="E39" s="6">
        <v>40154</v>
      </c>
      <c r="F39" s="6" t="s">
        <v>6</v>
      </c>
    </row>
    <row r="40" spans="1:6" x14ac:dyDescent="0.35">
      <c r="A40" s="6" t="s">
        <v>283</v>
      </c>
      <c r="B40" s="6" t="s">
        <v>284</v>
      </c>
      <c r="C40" s="3">
        <v>1953</v>
      </c>
      <c r="D40" s="6">
        <f>3902120-82057</f>
        <v>3820063</v>
      </c>
      <c r="E40" s="6">
        <v>41520</v>
      </c>
      <c r="F40" s="6" t="s">
        <v>6</v>
      </c>
    </row>
    <row r="41" spans="1:6" x14ac:dyDescent="0.35">
      <c r="A41" s="6" t="s">
        <v>283</v>
      </c>
      <c r="B41" s="6" t="s">
        <v>284</v>
      </c>
      <c r="C41" s="3">
        <v>1954</v>
      </c>
      <c r="D41" s="6">
        <f>4017362-83878</f>
        <v>3933484</v>
      </c>
      <c r="E41" s="6">
        <v>42240</v>
      </c>
      <c r="F41" s="6" t="s">
        <v>6</v>
      </c>
    </row>
    <row r="42" spans="1:6" x14ac:dyDescent="0.35">
      <c r="A42" s="6" t="s">
        <v>283</v>
      </c>
      <c r="B42" s="6" t="s">
        <v>284</v>
      </c>
      <c r="C42" s="3">
        <v>1955</v>
      </c>
      <c r="D42" s="6">
        <v>3961776</v>
      </c>
      <c r="E42" s="6">
        <v>43082</v>
      </c>
      <c r="F42" s="6" t="s">
        <v>6</v>
      </c>
    </row>
    <row r="43" spans="1:6" x14ac:dyDescent="0.35">
      <c r="A43" s="6" t="s">
        <v>283</v>
      </c>
      <c r="B43" s="6" t="s">
        <v>284</v>
      </c>
      <c r="C43" s="3">
        <v>1956</v>
      </c>
      <c r="D43" s="6">
        <v>4077170</v>
      </c>
      <c r="E43" s="6">
        <v>43228</v>
      </c>
      <c r="F43" s="6" t="s">
        <v>6</v>
      </c>
    </row>
    <row r="44" spans="1:6" x14ac:dyDescent="0.35">
      <c r="A44" s="6" t="s">
        <v>283</v>
      </c>
      <c r="B44" s="6" t="s">
        <v>284</v>
      </c>
      <c r="C44" s="3">
        <v>1957</v>
      </c>
      <c r="D44" s="6">
        <v>4167626</v>
      </c>
      <c r="E44" s="6">
        <v>43439</v>
      </c>
      <c r="F44" s="6" t="s">
        <v>6</v>
      </c>
    </row>
    <row r="45" spans="1:6" x14ac:dyDescent="0.35">
      <c r="A45" s="6" t="s">
        <v>283</v>
      </c>
      <c r="B45" s="6" t="s">
        <v>284</v>
      </c>
      <c r="C45" s="3">
        <v>1958</v>
      </c>
      <c r="D45" s="6">
        <v>4117202</v>
      </c>
      <c r="E45" s="6">
        <v>43360</v>
      </c>
      <c r="F45" s="6" t="s">
        <v>6</v>
      </c>
    </row>
    <row r="46" spans="1:6" x14ac:dyDescent="0.35">
      <c r="A46" s="6" t="s">
        <v>283</v>
      </c>
      <c r="B46" s="6" t="s">
        <v>284</v>
      </c>
      <c r="C46" s="3">
        <v>1959</v>
      </c>
      <c r="D46" s="6">
        <v>4157142</v>
      </c>
      <c r="E46" s="6" t="s">
        <v>6</v>
      </c>
      <c r="F46" s="6">
        <v>86426</v>
      </c>
    </row>
    <row r="47" spans="1:6" x14ac:dyDescent="0.35">
      <c r="A47" s="6" t="s">
        <v>283</v>
      </c>
      <c r="B47" s="6" t="s">
        <v>284</v>
      </c>
      <c r="C47" s="3">
        <v>1960</v>
      </c>
      <c r="D47" s="6">
        <v>4171166</v>
      </c>
      <c r="E47" s="6" t="s">
        <v>6</v>
      </c>
      <c r="F47" s="6">
        <v>85440</v>
      </c>
    </row>
    <row r="48" spans="1:6" x14ac:dyDescent="0.35">
      <c r="A48" s="6" t="s">
        <v>283</v>
      </c>
      <c r="B48" s="6" t="s">
        <v>284</v>
      </c>
      <c r="C48" s="3">
        <v>1961</v>
      </c>
      <c r="D48" s="6">
        <v>4182226</v>
      </c>
      <c r="E48" s="6" t="s">
        <v>6</v>
      </c>
      <c r="F48" s="6">
        <v>84926</v>
      </c>
    </row>
    <row r="49" spans="1:6" x14ac:dyDescent="0.35">
      <c r="A49" s="6" t="s">
        <v>283</v>
      </c>
      <c r="B49" s="6" t="s">
        <v>284</v>
      </c>
      <c r="C49" s="3">
        <v>1962</v>
      </c>
      <c r="D49" s="6">
        <v>4086056</v>
      </c>
      <c r="E49" s="6" t="s">
        <v>6</v>
      </c>
      <c r="F49" s="6">
        <v>80180</v>
      </c>
    </row>
    <row r="50" spans="1:6" x14ac:dyDescent="0.35">
      <c r="A50" s="6" t="s">
        <v>283</v>
      </c>
      <c r="B50" s="6" t="s">
        <v>284</v>
      </c>
      <c r="C50" s="3">
        <v>1963</v>
      </c>
      <c r="D50" s="6">
        <v>4016862</v>
      </c>
      <c r="E50" s="6" t="s">
        <v>6</v>
      </c>
      <c r="F50" s="6">
        <v>80044</v>
      </c>
    </row>
    <row r="51" spans="1:6" x14ac:dyDescent="0.35">
      <c r="A51" s="6" t="s">
        <v>283</v>
      </c>
      <c r="B51" s="6" t="s">
        <v>284</v>
      </c>
      <c r="C51" s="3">
        <v>1964</v>
      </c>
      <c r="D51" s="6">
        <v>3947334</v>
      </c>
      <c r="E51" s="6" t="s">
        <v>6</v>
      </c>
      <c r="F51" s="6">
        <v>78954</v>
      </c>
    </row>
    <row r="52" spans="1:6" x14ac:dyDescent="0.35">
      <c r="A52" s="6" t="s">
        <v>283</v>
      </c>
      <c r="B52" s="6" t="s">
        <v>284</v>
      </c>
      <c r="C52" s="3">
        <v>1965</v>
      </c>
      <c r="D52" s="6">
        <v>3684752</v>
      </c>
      <c r="E52" s="6" t="s">
        <v>6</v>
      </c>
      <c r="F52" s="6">
        <v>74594</v>
      </c>
    </row>
    <row r="53" spans="1:6" x14ac:dyDescent="0.35">
      <c r="A53" s="6" t="s">
        <v>283</v>
      </c>
      <c r="B53" s="6" t="s">
        <v>284</v>
      </c>
      <c r="C53" s="3">
        <v>1966</v>
      </c>
      <c r="D53" s="6">
        <v>3534962</v>
      </c>
      <c r="E53" s="6" t="s">
        <v>6</v>
      </c>
      <c r="F53" s="6">
        <v>70340</v>
      </c>
    </row>
    <row r="54" spans="1:6" x14ac:dyDescent="0.35">
      <c r="A54" s="6" t="s">
        <v>283</v>
      </c>
      <c r="B54" s="6" t="s">
        <v>284</v>
      </c>
      <c r="C54" s="3">
        <v>1967</v>
      </c>
      <c r="D54" s="6">
        <v>3451594</v>
      </c>
      <c r="E54" s="6" t="s">
        <v>6</v>
      </c>
      <c r="F54" s="6">
        <v>68336</v>
      </c>
    </row>
    <row r="55" spans="1:6" x14ac:dyDescent="0.35">
      <c r="A55" s="6" t="s">
        <v>283</v>
      </c>
      <c r="B55" s="6" t="s">
        <v>284</v>
      </c>
      <c r="C55" s="3">
        <v>1968</v>
      </c>
      <c r="D55" s="6">
        <v>3431156</v>
      </c>
      <c r="E55" s="6" t="s">
        <v>6</v>
      </c>
      <c r="F55" s="6">
        <v>69300</v>
      </c>
    </row>
    <row r="56" spans="1:6" x14ac:dyDescent="0.35">
      <c r="A56" s="6" t="s">
        <v>283</v>
      </c>
      <c r="B56" s="6" t="s">
        <v>284</v>
      </c>
      <c r="C56" s="3">
        <v>1969</v>
      </c>
      <c r="D56" s="6" t="s">
        <v>6</v>
      </c>
      <c r="E56" s="6" t="s">
        <v>6</v>
      </c>
      <c r="F56" s="6" t="s">
        <v>6</v>
      </c>
    </row>
    <row r="57" spans="1:6" x14ac:dyDescent="0.35">
      <c r="A57" s="6" t="s">
        <v>283</v>
      </c>
      <c r="B57" s="6" t="s">
        <v>284</v>
      </c>
      <c r="C57" s="3">
        <v>1970</v>
      </c>
      <c r="D57" s="6" t="s">
        <v>6</v>
      </c>
      <c r="E57" s="6" t="s">
        <v>6</v>
      </c>
      <c r="F57" s="6" t="s">
        <v>6</v>
      </c>
    </row>
    <row r="58" spans="1:6" x14ac:dyDescent="0.35">
      <c r="A58" s="6" t="s">
        <v>283</v>
      </c>
      <c r="B58" s="6" t="s">
        <v>284</v>
      </c>
      <c r="C58" s="3">
        <v>1971</v>
      </c>
      <c r="D58" s="6">
        <v>3491638</v>
      </c>
      <c r="E58" s="6" t="s">
        <v>6</v>
      </c>
      <c r="F58" s="6">
        <v>63298</v>
      </c>
    </row>
    <row r="59" spans="1:6" x14ac:dyDescent="0.35">
      <c r="A59" s="6" t="s">
        <v>283</v>
      </c>
      <c r="B59" s="6" t="s">
        <v>284</v>
      </c>
      <c r="C59" s="3">
        <v>1972</v>
      </c>
      <c r="D59" s="6">
        <v>3198382</v>
      </c>
      <c r="E59" s="6" t="s">
        <v>6</v>
      </c>
      <c r="F59" s="6">
        <v>59122</v>
      </c>
    </row>
    <row r="60" spans="1:6" x14ac:dyDescent="0.35">
      <c r="A60" s="6" t="s">
        <v>283</v>
      </c>
      <c r="B60" s="6" t="s">
        <v>284</v>
      </c>
      <c r="C60" s="3">
        <v>1973</v>
      </c>
      <c r="D60" s="6">
        <v>3079244</v>
      </c>
      <c r="E60" s="6" t="s">
        <v>6</v>
      </c>
      <c r="F60" s="6">
        <v>56777</v>
      </c>
    </row>
    <row r="61" spans="1:6" x14ac:dyDescent="0.35">
      <c r="A61" s="6" t="s">
        <v>283</v>
      </c>
      <c r="B61" s="6" t="s">
        <v>284</v>
      </c>
      <c r="C61" s="3">
        <v>1974</v>
      </c>
      <c r="D61" s="6">
        <v>3101117</v>
      </c>
      <c r="E61" s="6" t="s">
        <v>6</v>
      </c>
      <c r="F61" s="6">
        <v>57836</v>
      </c>
    </row>
    <row r="62" spans="1:6" x14ac:dyDescent="0.35">
      <c r="A62" s="6" t="s">
        <v>283</v>
      </c>
      <c r="B62" s="6" t="s">
        <v>284</v>
      </c>
      <c r="C62" s="3">
        <v>1975</v>
      </c>
      <c r="D62" s="6">
        <v>3083940</v>
      </c>
      <c r="E62" s="6" t="s">
        <v>6</v>
      </c>
      <c r="F62" s="6">
        <v>59192</v>
      </c>
    </row>
    <row r="63" spans="1:6" x14ac:dyDescent="0.35">
      <c r="A63" s="6" t="s">
        <v>283</v>
      </c>
      <c r="B63" s="6" t="s">
        <v>284</v>
      </c>
      <c r="C63" s="3">
        <v>1976</v>
      </c>
      <c r="D63" s="6">
        <v>3106038</v>
      </c>
      <c r="E63" s="6" t="s">
        <v>6</v>
      </c>
      <c r="F63" s="6">
        <v>60664</v>
      </c>
    </row>
    <row r="64" spans="1:6" x14ac:dyDescent="0.35">
      <c r="A64" s="6" t="s">
        <v>283</v>
      </c>
      <c r="B64" s="6" t="s">
        <v>284</v>
      </c>
      <c r="C64" s="3">
        <v>1977</v>
      </c>
      <c r="D64" s="6">
        <v>3262676</v>
      </c>
      <c r="E64" s="6" t="s">
        <v>6</v>
      </c>
      <c r="F64" s="6">
        <v>62880</v>
      </c>
    </row>
    <row r="65" spans="1:6" x14ac:dyDescent="0.35">
      <c r="A65" s="6" t="s">
        <v>283</v>
      </c>
      <c r="B65" s="6" t="s">
        <v>284</v>
      </c>
      <c r="C65" s="3">
        <v>1978</v>
      </c>
      <c r="D65" s="6">
        <v>3267931</v>
      </c>
      <c r="E65" s="6" t="s">
        <v>6</v>
      </c>
      <c r="F65" s="6">
        <v>64163</v>
      </c>
    </row>
    <row r="66" spans="1:6" x14ac:dyDescent="0.35">
      <c r="A66" s="6" t="s">
        <v>283</v>
      </c>
      <c r="B66" s="6" t="s">
        <v>284</v>
      </c>
      <c r="C66" s="3">
        <v>1979</v>
      </c>
      <c r="D66" s="6">
        <v>3426338</v>
      </c>
      <c r="E66" s="6" t="s">
        <v>6</v>
      </c>
      <c r="F66" s="6">
        <v>66858</v>
      </c>
    </row>
    <row r="67" spans="1:6" x14ac:dyDescent="0.35">
      <c r="A67" s="6" t="s">
        <v>283</v>
      </c>
      <c r="B67" s="6" t="s">
        <v>284</v>
      </c>
      <c r="C67" s="3">
        <v>1980</v>
      </c>
      <c r="D67" s="6">
        <v>3542582</v>
      </c>
      <c r="E67" s="6" t="s">
        <v>6</v>
      </c>
      <c r="F67" s="6">
        <v>68339</v>
      </c>
    </row>
    <row r="68" spans="1:6" x14ac:dyDescent="0.35">
      <c r="A68" s="6" t="s">
        <v>283</v>
      </c>
      <c r="B68" s="6" t="s">
        <v>284</v>
      </c>
      <c r="C68" s="3">
        <v>1981</v>
      </c>
      <c r="D68" s="6">
        <v>3557804</v>
      </c>
      <c r="E68" s="6" t="s">
        <v>6</v>
      </c>
      <c r="F68" s="6">
        <v>70049</v>
      </c>
    </row>
    <row r="69" spans="1:6" x14ac:dyDescent="0.35">
      <c r="A69" s="6" t="s">
        <v>283</v>
      </c>
      <c r="B69" s="6" t="s">
        <v>284</v>
      </c>
      <c r="C69" s="3">
        <v>1982</v>
      </c>
      <c r="D69" s="6">
        <v>3607422</v>
      </c>
      <c r="E69" s="6" t="s">
        <v>6</v>
      </c>
      <c r="F69" s="6">
        <v>71631</v>
      </c>
    </row>
    <row r="70" spans="1:6" x14ac:dyDescent="0.35">
      <c r="A70" s="6" t="s">
        <v>283</v>
      </c>
      <c r="B70" s="6" t="s">
        <v>284</v>
      </c>
      <c r="C70" s="3">
        <v>1983</v>
      </c>
      <c r="D70" s="6">
        <v>3565071</v>
      </c>
      <c r="E70" s="6" t="s">
        <v>6</v>
      </c>
      <c r="F70" s="6">
        <v>72287</v>
      </c>
    </row>
    <row r="71" spans="1:6" x14ac:dyDescent="0.35">
      <c r="A71" s="6" t="s">
        <v>283</v>
      </c>
      <c r="B71" s="6" t="s">
        <v>284</v>
      </c>
      <c r="C71" s="3">
        <v>1984</v>
      </c>
      <c r="D71" s="6">
        <v>3594539</v>
      </c>
      <c r="E71" s="6" t="s">
        <v>6</v>
      </c>
      <c r="F71" s="6">
        <v>72949</v>
      </c>
    </row>
    <row r="72" spans="1:6" x14ac:dyDescent="0.35">
      <c r="A72" s="6" t="s">
        <v>283</v>
      </c>
      <c r="B72" s="6" t="s">
        <v>284</v>
      </c>
      <c r="C72" s="3">
        <v>1985</v>
      </c>
      <c r="D72" s="6">
        <v>3681534</v>
      </c>
      <c r="E72" s="6" t="s">
        <v>6</v>
      </c>
      <c r="F72" s="6">
        <v>77102</v>
      </c>
    </row>
    <row r="73" spans="1:6" x14ac:dyDescent="0.35">
      <c r="A73" s="6" t="s">
        <v>283</v>
      </c>
      <c r="B73" s="6" t="s">
        <v>284</v>
      </c>
      <c r="C73" s="3">
        <v>1986</v>
      </c>
      <c r="D73" s="6">
        <v>3675248</v>
      </c>
      <c r="E73" s="6" t="s">
        <v>6</v>
      </c>
      <c r="F73" s="6">
        <v>79485</v>
      </c>
    </row>
    <row r="74" spans="1:6" x14ac:dyDescent="0.35">
      <c r="A74" s="6" t="s">
        <v>283</v>
      </c>
      <c r="B74" s="6" t="s">
        <v>284</v>
      </c>
      <c r="C74" s="3">
        <v>1987</v>
      </c>
      <c r="D74" s="6">
        <v>3725477</v>
      </c>
      <c r="E74" s="6" t="s">
        <v>6</v>
      </c>
      <c r="F74" s="6">
        <v>81778</v>
      </c>
    </row>
    <row r="75" spans="1:6" x14ac:dyDescent="0.35">
      <c r="A75" s="6" t="s">
        <v>283</v>
      </c>
      <c r="B75" s="6" t="s">
        <v>284</v>
      </c>
      <c r="C75" s="3">
        <v>1988</v>
      </c>
      <c r="D75" s="6">
        <v>3821810</v>
      </c>
      <c r="E75" s="6" t="s">
        <v>6</v>
      </c>
      <c r="F75" s="6">
        <v>85315</v>
      </c>
    </row>
    <row r="76" spans="1:6" x14ac:dyDescent="0.35">
      <c r="A76" s="6" t="s">
        <v>283</v>
      </c>
      <c r="B76" s="6" t="s">
        <v>284</v>
      </c>
      <c r="C76" s="3">
        <v>1989</v>
      </c>
      <c r="D76" s="6">
        <v>3948042</v>
      </c>
      <c r="E76" s="6" t="s">
        <v>6</v>
      </c>
      <c r="F76" s="6">
        <v>90118</v>
      </c>
    </row>
    <row r="77" spans="1:6" x14ac:dyDescent="0.35">
      <c r="A77" s="6" t="s">
        <v>283</v>
      </c>
      <c r="B77" s="6" t="s">
        <v>284</v>
      </c>
      <c r="C77" s="3">
        <v>1990</v>
      </c>
      <c r="D77" s="6">
        <v>4061319</v>
      </c>
      <c r="E77" s="6" t="s">
        <v>6</v>
      </c>
      <c r="F77" s="6">
        <v>93865</v>
      </c>
    </row>
    <row r="78" spans="1:6" x14ac:dyDescent="0.35">
      <c r="A78" s="6" t="s">
        <v>283</v>
      </c>
      <c r="B78" s="6" t="s">
        <v>284</v>
      </c>
      <c r="C78" s="3">
        <v>1991</v>
      </c>
      <c r="D78" s="6">
        <v>4012782</v>
      </c>
      <c r="E78" s="6" t="s">
        <v>6</v>
      </c>
      <c r="F78" s="6">
        <v>94779</v>
      </c>
    </row>
    <row r="79" spans="1:6" x14ac:dyDescent="0.35">
      <c r="A79" s="6" t="s">
        <v>283</v>
      </c>
      <c r="B79" s="6" t="s">
        <v>284</v>
      </c>
      <c r="C79" s="3">
        <v>1992</v>
      </c>
      <c r="D79" s="6">
        <v>3965759</v>
      </c>
      <c r="E79" s="6" t="s">
        <v>6</v>
      </c>
      <c r="F79" s="6">
        <v>95372</v>
      </c>
    </row>
    <row r="80" spans="1:6" x14ac:dyDescent="0.35">
      <c r="A80" s="6" t="s">
        <v>283</v>
      </c>
      <c r="B80" s="6" t="s">
        <v>284</v>
      </c>
      <c r="C80" s="3">
        <v>1993</v>
      </c>
      <c r="D80" s="6">
        <v>3899627</v>
      </c>
      <c r="E80" s="6" t="s">
        <v>6</v>
      </c>
      <c r="F80" s="6">
        <v>96445</v>
      </c>
    </row>
    <row r="81" spans="1:6" x14ac:dyDescent="0.35">
      <c r="A81" s="6" t="s">
        <v>283</v>
      </c>
      <c r="B81" s="6" t="s">
        <v>284</v>
      </c>
      <c r="C81" s="3">
        <v>1994</v>
      </c>
      <c r="D81" s="6">
        <v>3851109</v>
      </c>
      <c r="E81" s="6" t="s">
        <v>6</v>
      </c>
      <c r="F81" s="6">
        <v>97064</v>
      </c>
    </row>
    <row r="82" spans="1:6" x14ac:dyDescent="0.35">
      <c r="A82" s="6" t="s">
        <v>283</v>
      </c>
      <c r="B82" s="6" t="s">
        <v>284</v>
      </c>
      <c r="C82" s="3">
        <v>1995</v>
      </c>
      <c r="D82" s="6">
        <v>3797880</v>
      </c>
      <c r="E82" s="6" t="s">
        <v>6</v>
      </c>
      <c r="F82" s="6">
        <v>96736</v>
      </c>
    </row>
    <row r="83" spans="1:6" x14ac:dyDescent="0.35">
      <c r="A83" s="6" t="s">
        <v>283</v>
      </c>
      <c r="B83" s="6" t="s">
        <v>284</v>
      </c>
      <c r="C83" s="3">
        <v>1996</v>
      </c>
      <c r="D83" s="6">
        <v>3784805</v>
      </c>
      <c r="E83" s="6" t="s">
        <v>6</v>
      </c>
      <c r="F83" s="6">
        <v>100750</v>
      </c>
    </row>
    <row r="84" spans="1:6" x14ac:dyDescent="0.35">
      <c r="A84" s="6" t="s">
        <v>283</v>
      </c>
      <c r="B84" s="6" t="s">
        <v>284</v>
      </c>
      <c r="C84" s="3">
        <v>1997</v>
      </c>
      <c r="D84" s="6">
        <v>3770020</v>
      </c>
      <c r="E84" s="6" t="s">
        <v>6</v>
      </c>
      <c r="F84" s="6">
        <v>104137</v>
      </c>
    </row>
    <row r="85" spans="1:6" x14ac:dyDescent="0.35">
      <c r="A85" s="6" t="s">
        <v>283</v>
      </c>
      <c r="B85" s="6" t="s">
        <v>284</v>
      </c>
      <c r="C85" s="3">
        <v>1998</v>
      </c>
      <c r="D85" s="6">
        <v>3823258</v>
      </c>
      <c r="E85" s="6" t="s">
        <v>6</v>
      </c>
      <c r="F85" s="6">
        <v>110670</v>
      </c>
    </row>
    <row r="86" spans="1:6" x14ac:dyDescent="0.35">
      <c r="A86" s="6" t="s">
        <v>283</v>
      </c>
      <c r="B86" s="6" t="s">
        <v>284</v>
      </c>
      <c r="C86" s="3">
        <v>1999</v>
      </c>
      <c r="D86" s="6">
        <v>3837789</v>
      </c>
      <c r="E86" s="6" t="s">
        <v>6</v>
      </c>
      <c r="F86" s="6">
        <v>114307</v>
      </c>
    </row>
    <row r="87" spans="1:6" x14ac:dyDescent="0.35">
      <c r="A87" s="6" t="s">
        <v>283</v>
      </c>
      <c r="B87" s="6" t="s">
        <v>284</v>
      </c>
      <c r="C87" s="3">
        <v>2000</v>
      </c>
      <c r="D87" s="6">
        <v>3932573</v>
      </c>
      <c r="E87" s="6" t="s">
        <v>6</v>
      </c>
      <c r="F87" s="6">
        <v>118916</v>
      </c>
    </row>
    <row r="88" spans="1:6" x14ac:dyDescent="0.35">
      <c r="A88" s="6" t="s">
        <v>283</v>
      </c>
      <c r="B88" s="6" t="s">
        <v>284</v>
      </c>
      <c r="C88" s="3">
        <v>2001</v>
      </c>
      <c r="D88" s="6">
        <v>3897216</v>
      </c>
      <c r="E88" s="6" t="s">
        <v>6</v>
      </c>
      <c r="F88" s="6">
        <v>121246</v>
      </c>
    </row>
    <row r="89" spans="1:6" x14ac:dyDescent="0.35">
      <c r="A89" s="6" t="s">
        <v>283</v>
      </c>
      <c r="B89" s="6" t="s">
        <v>284</v>
      </c>
      <c r="C89" s="3">
        <v>2002</v>
      </c>
      <c r="D89" s="6">
        <v>3889191</v>
      </c>
      <c r="E89" s="6" t="s">
        <v>6</v>
      </c>
      <c r="F89" s="6">
        <v>125134</v>
      </c>
    </row>
    <row r="90" spans="1:6" x14ac:dyDescent="0.35">
      <c r="A90" s="6" t="s">
        <v>283</v>
      </c>
      <c r="B90" s="6" t="s">
        <v>284</v>
      </c>
      <c r="C90" s="3">
        <v>2003</v>
      </c>
      <c r="D90" s="6">
        <v>3953622</v>
      </c>
      <c r="E90" s="6" t="s">
        <v>6</v>
      </c>
      <c r="F90" s="6">
        <v>128665</v>
      </c>
    </row>
    <row r="91" spans="1:6" x14ac:dyDescent="0.35">
      <c r="A91" s="6" t="s">
        <v>283</v>
      </c>
      <c r="B91" s="6" t="s">
        <v>285</v>
      </c>
      <c r="C91" s="3">
        <v>2004</v>
      </c>
      <c r="D91" s="6">
        <v>3972558</v>
      </c>
      <c r="E91" s="6" t="s">
        <v>6</v>
      </c>
      <c r="F91" s="6">
        <v>132219</v>
      </c>
    </row>
    <row r="92" spans="1:6" x14ac:dyDescent="0.35">
      <c r="A92" s="6" t="s">
        <v>283</v>
      </c>
      <c r="B92" s="6" t="s">
        <v>285</v>
      </c>
      <c r="C92" s="3">
        <v>2005</v>
      </c>
      <c r="D92" s="6">
        <v>3998533</v>
      </c>
      <c r="E92" s="6" t="s">
        <v>6</v>
      </c>
      <c r="F92" s="6">
        <v>133122</v>
      </c>
    </row>
    <row r="93" spans="1:6" x14ac:dyDescent="0.35">
      <c r="A93" s="6" t="s">
        <v>283</v>
      </c>
      <c r="B93" s="6" t="s">
        <v>285</v>
      </c>
      <c r="C93" s="3">
        <v>2006</v>
      </c>
      <c r="D93" s="6">
        <v>4121930</v>
      </c>
      <c r="E93" s="6" t="s">
        <v>6</v>
      </c>
      <c r="F93" s="6">
        <v>137085</v>
      </c>
    </row>
    <row r="94" spans="1:6" x14ac:dyDescent="0.35">
      <c r="A94" s="6" t="s">
        <v>283</v>
      </c>
      <c r="B94" s="6" t="s">
        <v>285</v>
      </c>
      <c r="C94" s="3">
        <v>2007</v>
      </c>
      <c r="D94" s="6">
        <v>4170845</v>
      </c>
      <c r="E94" s="6" t="s">
        <v>6</v>
      </c>
      <c r="F94" s="6">
        <v>138961</v>
      </c>
    </row>
    <row r="95" spans="1:6" x14ac:dyDescent="0.35">
      <c r="A95" s="6" t="s">
        <v>283</v>
      </c>
      <c r="B95" s="6" t="s">
        <v>285</v>
      </c>
      <c r="C95" s="3">
        <v>2008</v>
      </c>
      <c r="D95" s="6">
        <v>4102766</v>
      </c>
      <c r="E95" s="6" t="s">
        <v>6</v>
      </c>
      <c r="F95" s="6">
        <v>138660</v>
      </c>
    </row>
    <row r="96" spans="1:6" x14ac:dyDescent="0.35">
      <c r="A96" s="6" t="s">
        <v>283</v>
      </c>
      <c r="B96" s="6" t="s">
        <v>285</v>
      </c>
      <c r="C96" s="3">
        <v>2009</v>
      </c>
      <c r="D96" s="6">
        <v>3987108</v>
      </c>
      <c r="E96" s="6" t="s">
        <v>6</v>
      </c>
      <c r="F96" s="6">
        <v>137217</v>
      </c>
    </row>
    <row r="97" spans="1:6" x14ac:dyDescent="0.35">
      <c r="A97" s="6" t="s">
        <v>283</v>
      </c>
      <c r="B97" s="6" t="s">
        <v>285</v>
      </c>
      <c r="C97" s="3">
        <v>2010</v>
      </c>
      <c r="D97" s="6">
        <v>3861321</v>
      </c>
      <c r="E97" s="6" t="s">
        <v>6</v>
      </c>
      <c r="F97" s="6">
        <v>132562</v>
      </c>
    </row>
    <row r="98" spans="1:6" x14ac:dyDescent="0.35">
      <c r="A98" s="6" t="s">
        <v>283</v>
      </c>
      <c r="B98" s="6" t="s">
        <v>285</v>
      </c>
      <c r="C98" s="3">
        <v>2011</v>
      </c>
      <c r="D98" s="6">
        <v>3816904</v>
      </c>
      <c r="E98" s="6" t="s">
        <v>6</v>
      </c>
      <c r="F98" s="6">
        <v>131269</v>
      </c>
    </row>
    <row r="99" spans="1:6" x14ac:dyDescent="0.35">
      <c r="A99" s="6" t="s">
        <v>283</v>
      </c>
      <c r="B99" s="6" t="s">
        <v>285</v>
      </c>
      <c r="C99" s="3">
        <v>2012</v>
      </c>
      <c r="D99" s="6">
        <v>3816898</v>
      </c>
      <c r="E99" s="6" t="s">
        <v>6</v>
      </c>
      <c r="F99" s="6">
        <v>131024</v>
      </c>
    </row>
    <row r="100" spans="1:6" x14ac:dyDescent="0.35">
      <c r="A100" s="6" t="s">
        <v>283</v>
      </c>
      <c r="B100" s="6" t="s">
        <v>285</v>
      </c>
      <c r="C100" s="3">
        <v>2013</v>
      </c>
      <c r="D100" s="6">
        <v>3795157</v>
      </c>
      <c r="E100" s="6" t="s">
        <v>6</v>
      </c>
      <c r="F100" s="6">
        <v>132324</v>
      </c>
    </row>
    <row r="101" spans="1:6" x14ac:dyDescent="0.35">
      <c r="A101" s="6" t="s">
        <v>283</v>
      </c>
      <c r="B101" s="6" t="s">
        <v>285</v>
      </c>
      <c r="C101" s="3">
        <v>2014</v>
      </c>
      <c r="D101" s="6">
        <v>3848214</v>
      </c>
      <c r="E101" s="6" t="s">
        <v>6</v>
      </c>
      <c r="F101" s="6">
        <v>135336</v>
      </c>
    </row>
    <row r="102" spans="1:6" x14ac:dyDescent="0.35">
      <c r="A102" s="6" t="s">
        <v>283</v>
      </c>
      <c r="B102" s="6" t="s">
        <v>285</v>
      </c>
      <c r="C102" s="3">
        <v>2015</v>
      </c>
      <c r="D102" s="6">
        <v>3841219</v>
      </c>
      <c r="E102" s="6" t="s">
        <v>6</v>
      </c>
      <c r="F102" s="6">
        <v>133155</v>
      </c>
    </row>
    <row r="103" spans="1:6" x14ac:dyDescent="0.35">
      <c r="A103" s="6" t="s">
        <v>283</v>
      </c>
      <c r="B103" s="6" t="s">
        <v>285</v>
      </c>
      <c r="C103" s="3">
        <v>2016</v>
      </c>
      <c r="D103" s="6">
        <v>3810149</v>
      </c>
      <c r="E103" s="6" t="s">
        <v>6</v>
      </c>
      <c r="F103" s="6">
        <v>131723</v>
      </c>
    </row>
    <row r="104" spans="1:6" x14ac:dyDescent="0.35">
      <c r="A104" s="6" t="s">
        <v>283</v>
      </c>
      <c r="B104" s="6" t="s">
        <v>285</v>
      </c>
      <c r="C104" s="3">
        <v>2017</v>
      </c>
      <c r="D104" s="6">
        <v>3723273</v>
      </c>
      <c r="E104" s="6" t="s">
        <v>6</v>
      </c>
      <c r="F104" s="6">
        <v>128310</v>
      </c>
    </row>
    <row r="105" spans="1:6" x14ac:dyDescent="0.35">
      <c r="A105" s="6" t="s">
        <v>283</v>
      </c>
      <c r="B105" s="6" t="s">
        <v>285</v>
      </c>
      <c r="C105" s="3">
        <v>2018</v>
      </c>
      <c r="D105" s="6">
        <v>3664651</v>
      </c>
      <c r="E105" s="6" t="s">
        <v>6</v>
      </c>
      <c r="F105" s="6">
        <v>123536</v>
      </c>
    </row>
    <row r="106" spans="1:6" x14ac:dyDescent="0.35">
      <c r="A106" s="6" t="s">
        <v>283</v>
      </c>
      <c r="B106" s="6" t="s">
        <v>285</v>
      </c>
      <c r="C106" s="3">
        <v>2019</v>
      </c>
      <c r="D106" s="3">
        <v>3623963</v>
      </c>
      <c r="E106" s="4" t="s">
        <v>6</v>
      </c>
      <c r="F106" s="3">
        <v>120291</v>
      </c>
    </row>
    <row r="107" spans="1:6" x14ac:dyDescent="0.35">
      <c r="A107" s="3" t="s">
        <v>283</v>
      </c>
      <c r="B107" s="6" t="s">
        <v>285</v>
      </c>
      <c r="C107" s="3">
        <v>2020</v>
      </c>
      <c r="D107" s="3">
        <v>3498335</v>
      </c>
      <c r="E107" s="4" t="s">
        <v>6</v>
      </c>
      <c r="F107" s="3">
        <v>112437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170B6-8996-4836-A844-E3EB4B1A96B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Countries</vt:lpstr>
      <vt:lpstr>Population</vt:lpstr>
      <vt:lpstr>AUS</vt:lpstr>
      <vt:lpstr>AUT</vt:lpstr>
      <vt:lpstr>CAD</vt:lpstr>
      <vt:lpstr>CHE</vt:lpstr>
      <vt:lpstr>CHL</vt:lpstr>
      <vt:lpstr>CZE</vt:lpstr>
      <vt:lpstr>DEU</vt:lpstr>
      <vt:lpstr>DNK</vt:lpstr>
      <vt:lpstr>ENW</vt:lpstr>
      <vt:lpstr>ESP</vt:lpstr>
      <vt:lpstr>FIN</vt:lpstr>
      <vt:lpstr>FRA</vt:lpstr>
      <vt:lpstr>GRC</vt:lpstr>
      <vt:lpstr>ISL</vt:lpstr>
      <vt:lpstr>ITA</vt:lpstr>
      <vt:lpstr>JPN</vt:lpstr>
      <vt:lpstr>KOR</vt:lpstr>
      <vt:lpstr>LTU</vt:lpstr>
      <vt:lpstr>NLD</vt:lpstr>
      <vt:lpstr>NOR</vt:lpstr>
      <vt:lpstr>NZL</vt:lpstr>
      <vt:lpstr>SCO</vt:lpstr>
      <vt:lpstr>SWE</vt:lpstr>
      <vt:lpstr>URY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Doi, Thiemi (She/Her) (MPBSDP)</dc:creator>
  <cp:lastModifiedBy>Doi, Thiemi (She/Her) (MPBSDP)</cp:lastModifiedBy>
  <dcterms:created xsi:type="dcterms:W3CDTF">2015-06-05T18:17:20Z</dcterms:created>
  <dcterms:modified xsi:type="dcterms:W3CDTF">2026-09-25T14:53:46Z</dcterms:modified>
</cp:coreProperties>
</file>